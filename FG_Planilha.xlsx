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
    </mc:Choice>
  </mc:AlternateContent>
  <xr:revisionPtr revIDLastSave="0" documentId="8_{A3A5F4E2-61AF-4138-B29C-8F71B878804A}" xr6:coauthVersionLast="47" xr6:coauthVersionMax="47" xr10:uidLastSave="{00000000-0000-0000-0000-000000000000}"/>
  <bookViews>
    <workbookView xWindow="-110" yWindow="-110" windowWidth="19420" windowHeight="10300" firstSheet="4" activeTab="7" xr2:uid="{00000000-000D-0000-FFFF-FFFF00000000}"/>
  </bookViews>
  <sheets>
    <sheet name="Base" sheetId="1" r:id="rId1"/>
    <sheet name="Controle de medidas" sheetId="2" r:id="rId2"/>
    <sheet name="Perimetros" sheetId="3" r:id="rId3"/>
    <sheet name="Plano treino" sheetId="4" r:id="rId4"/>
    <sheet name="Feedback semanal" sheetId="5" r:id="rId5"/>
    <sheet name="Suplementos" sheetId="6" r:id="rId6"/>
    <sheet name="Base dados Exercicios" sheetId="7" r:id="rId7"/>
    <sheet name="Dieta 1" sheetId="8" r:id="rId8"/>
    <sheet name="Base dados dieta" sheetId="9" r:id="rId9"/>
  </sheets>
  <definedNames>
    <definedName name="_xlnm._FilterDatabase" localSheetId="6" hidden="1">'Base dados Exercicios'!$L$3:$L$22</definedName>
    <definedName name="Proteina">'Base dados dieta'!$A$2:$F$198</definedName>
    <definedName name="Suplementação">#REF!</definedName>
  </definedNames>
  <calcPr calcId="181029"/>
  <fileRecoveryPr repairLoad="1"/>
  <extLst>
    <ext uri="GoogleSheetsCustomDataVersion2">
      <go:sheetsCustomData xmlns:go="http://customooxmlschemas.google.com/" r:id="rId13" roundtripDataChecksum="0REQROaZ6D81IVq9NTffI20Laiv4Rg0b2/WujuKOhuc="/>
    </ext>
  </extLst>
</workbook>
</file>

<file path=xl/calcChain.xml><?xml version="1.0" encoding="utf-8"?>
<calcChain xmlns="http://schemas.openxmlformats.org/spreadsheetml/2006/main">
  <c r="O54" i="8" l="1"/>
  <c r="F54" i="8"/>
  <c r="E54" i="8"/>
  <c r="D54" i="8"/>
  <c r="G54" i="8" s="1"/>
  <c r="N53" i="8"/>
  <c r="M53" i="8"/>
  <c r="L53" i="8"/>
  <c r="O53" i="8" s="1"/>
  <c r="F53" i="8"/>
  <c r="E53" i="8"/>
  <c r="D53" i="8"/>
  <c r="G53" i="8" s="1"/>
  <c r="N52" i="8"/>
  <c r="M52" i="8"/>
  <c r="L52" i="8"/>
  <c r="O52" i="8" s="1"/>
  <c r="F52" i="8"/>
  <c r="E52" i="8"/>
  <c r="D52" i="8"/>
  <c r="G52" i="8" s="1"/>
  <c r="N51" i="8"/>
  <c r="M51" i="8"/>
  <c r="L51" i="8"/>
  <c r="O51" i="8" s="1"/>
  <c r="F51" i="8"/>
  <c r="E51" i="8"/>
  <c r="D51" i="8"/>
  <c r="G51" i="8" s="1"/>
  <c r="N50" i="8"/>
  <c r="M50" i="8"/>
  <c r="L50" i="8"/>
  <c r="O50" i="8" s="1"/>
  <c r="F50" i="8"/>
  <c r="E50" i="8"/>
  <c r="D50" i="8"/>
  <c r="G50" i="8" s="1"/>
  <c r="N49" i="8"/>
  <c r="N55" i="8" s="1"/>
  <c r="M49" i="8"/>
  <c r="M55" i="8" s="1"/>
  <c r="L49" i="8"/>
  <c r="L55" i="8" s="1"/>
  <c r="F49" i="8"/>
  <c r="F55" i="8" s="1"/>
  <c r="E49" i="8"/>
  <c r="E55" i="8" s="1"/>
  <c r="D49" i="8"/>
  <c r="G49" i="8" s="1"/>
  <c r="L47" i="8"/>
  <c r="O46" i="8"/>
  <c r="F46" i="8"/>
  <c r="E46" i="8"/>
  <c r="D46" i="8"/>
  <c r="G46" i="8" s="1"/>
  <c r="N45" i="8"/>
  <c r="M45" i="8"/>
  <c r="O45" i="8" s="1"/>
  <c r="L45" i="8"/>
  <c r="F45" i="8"/>
  <c r="E45" i="8"/>
  <c r="D45" i="8"/>
  <c r="G45" i="8" s="1"/>
  <c r="N44" i="8"/>
  <c r="M44" i="8"/>
  <c r="O44" i="8" s="1"/>
  <c r="L44" i="8"/>
  <c r="F44" i="8"/>
  <c r="E44" i="8"/>
  <c r="D44" i="8"/>
  <c r="G44" i="8" s="1"/>
  <c r="N43" i="8"/>
  <c r="M43" i="8"/>
  <c r="L43" i="8"/>
  <c r="F43" i="8"/>
  <c r="E43" i="8"/>
  <c r="D43" i="8"/>
  <c r="N42" i="8"/>
  <c r="M42" i="8"/>
  <c r="L42" i="8"/>
  <c r="O42" i="8" s="1"/>
  <c r="F42" i="8"/>
  <c r="E42" i="8"/>
  <c r="D42" i="8"/>
  <c r="N41" i="8"/>
  <c r="N47" i="8" s="1"/>
  <c r="M41" i="8"/>
  <c r="M47" i="8" s="1"/>
  <c r="L41" i="8"/>
  <c r="F41" i="8"/>
  <c r="F47" i="8" s="1"/>
  <c r="E41" i="8"/>
  <c r="D41" i="8"/>
  <c r="D47" i="8" s="1"/>
  <c r="F39" i="8"/>
  <c r="E39" i="8"/>
  <c r="O38" i="8"/>
  <c r="G38" i="8"/>
  <c r="F38" i="8"/>
  <c r="E38" i="8"/>
  <c r="D38" i="8"/>
  <c r="N37" i="8"/>
  <c r="O37" i="8" s="1"/>
  <c r="M37" i="8"/>
  <c r="L37" i="8"/>
  <c r="G37" i="8"/>
  <c r="F37" i="8"/>
  <c r="E37" i="8"/>
  <c r="D37" i="8"/>
  <c r="N36" i="8"/>
  <c r="M36" i="8"/>
  <c r="L36" i="8"/>
  <c r="G36" i="8"/>
  <c r="F36" i="8"/>
  <c r="E36" i="8"/>
  <c r="D36" i="8"/>
  <c r="N35" i="8"/>
  <c r="M35" i="8"/>
  <c r="L35" i="8"/>
  <c r="G35" i="8"/>
  <c r="F35" i="8"/>
  <c r="E35" i="8"/>
  <c r="D35" i="8"/>
  <c r="N34" i="8"/>
  <c r="M34" i="8"/>
  <c r="L34" i="8"/>
  <c r="G34" i="8"/>
  <c r="F34" i="8"/>
  <c r="E34" i="8"/>
  <c r="D34" i="8"/>
  <c r="N33" i="8"/>
  <c r="N39" i="8" s="1"/>
  <c r="M33" i="8"/>
  <c r="L33" i="8"/>
  <c r="G33" i="8"/>
  <c r="F33" i="8"/>
  <c r="E33" i="8"/>
  <c r="D33" i="8"/>
  <c r="D39" i="8" s="1"/>
  <c r="N31" i="8"/>
  <c r="M31" i="8"/>
  <c r="L31" i="8"/>
  <c r="O30" i="8"/>
  <c r="F30" i="8"/>
  <c r="E30" i="8"/>
  <c r="G30" i="8" s="1"/>
  <c r="D30" i="8"/>
  <c r="N29" i="8"/>
  <c r="M29" i="8"/>
  <c r="L29" i="8"/>
  <c r="O29" i="8" s="1"/>
  <c r="F29" i="8"/>
  <c r="E29" i="8"/>
  <c r="D29" i="8"/>
  <c r="G29" i="8" s="1"/>
  <c r="N28" i="8"/>
  <c r="M28" i="8"/>
  <c r="L28" i="8"/>
  <c r="O28" i="8" s="1"/>
  <c r="G28" i="8"/>
  <c r="F28" i="8"/>
  <c r="E28" i="8"/>
  <c r="D28" i="8"/>
  <c r="N27" i="8"/>
  <c r="M27" i="8"/>
  <c r="L27" i="8"/>
  <c r="O27" i="8" s="1"/>
  <c r="F27" i="8"/>
  <c r="E27" i="8"/>
  <c r="D27" i="8"/>
  <c r="G27" i="8" s="1"/>
  <c r="N26" i="8"/>
  <c r="M26" i="8"/>
  <c r="L26" i="8"/>
  <c r="O26" i="8" s="1"/>
  <c r="F26" i="8"/>
  <c r="E26" i="8"/>
  <c r="D26" i="8"/>
  <c r="G26" i="8" s="1"/>
  <c r="N25" i="8"/>
  <c r="M25" i="8"/>
  <c r="L25" i="8"/>
  <c r="O25" i="8" s="1"/>
  <c r="O31" i="8" s="1"/>
  <c r="F25" i="8"/>
  <c r="E25" i="8"/>
  <c r="D25" i="8"/>
  <c r="L23" i="8"/>
  <c r="F23" i="8"/>
  <c r="E23" i="8"/>
  <c r="O22" i="8"/>
  <c r="F22" i="8"/>
  <c r="E22" i="8"/>
  <c r="D22" i="8"/>
  <c r="G22" i="8" s="1"/>
  <c r="N21" i="8"/>
  <c r="M21" i="8"/>
  <c r="O21" i="8" s="1"/>
  <c r="L21" i="8"/>
  <c r="F21" i="8"/>
  <c r="E21" i="8"/>
  <c r="D21" i="8"/>
  <c r="G21" i="8" s="1"/>
  <c r="N20" i="8"/>
  <c r="O20" i="8" s="1"/>
  <c r="M20" i="8"/>
  <c r="L20" i="8"/>
  <c r="F20" i="8"/>
  <c r="E20" i="8"/>
  <c r="D20" i="8"/>
  <c r="G20" i="8" s="1"/>
  <c r="O19" i="8"/>
  <c r="N19" i="8"/>
  <c r="M19" i="8"/>
  <c r="L19" i="8"/>
  <c r="F19" i="8"/>
  <c r="E19" i="8"/>
  <c r="D19" i="8"/>
  <c r="G19" i="8" s="1"/>
  <c r="N18" i="8"/>
  <c r="M18" i="8"/>
  <c r="O18" i="8" s="1"/>
  <c r="L18" i="8"/>
  <c r="F18" i="8"/>
  <c r="E18" i="8"/>
  <c r="D18" i="8"/>
  <c r="G18" i="8" s="1"/>
  <c r="N17" i="8"/>
  <c r="M17" i="8"/>
  <c r="L17" i="8"/>
  <c r="F17" i="8"/>
  <c r="E17" i="8"/>
  <c r="D17" i="8"/>
  <c r="G17" i="8" s="1"/>
  <c r="G23" i="8" s="1"/>
  <c r="N15" i="8"/>
  <c r="E15" i="8"/>
  <c r="D15" i="8"/>
  <c r="O14" i="8"/>
  <c r="F14" i="8"/>
  <c r="G14" i="8" s="1"/>
  <c r="E14" i="8"/>
  <c r="D14" i="8"/>
  <c r="N13" i="8"/>
  <c r="M13" i="8"/>
  <c r="L13" i="8"/>
  <c r="G13" i="8"/>
  <c r="F13" i="8"/>
  <c r="E13" i="8"/>
  <c r="D13" i="8"/>
  <c r="N12" i="8"/>
  <c r="M12" i="8"/>
  <c r="L12" i="8"/>
  <c r="O12" i="8" s="1"/>
  <c r="G12" i="8"/>
  <c r="F12" i="8"/>
  <c r="E12" i="8"/>
  <c r="D12" i="8"/>
  <c r="N11" i="8"/>
  <c r="M11" i="8"/>
  <c r="L11" i="8"/>
  <c r="O11" i="8" s="1"/>
  <c r="G11" i="8"/>
  <c r="F11" i="8"/>
  <c r="E11" i="8"/>
  <c r="D11" i="8"/>
  <c r="N10" i="8"/>
  <c r="M10" i="8"/>
  <c r="L10" i="8"/>
  <c r="O10" i="8" s="1"/>
  <c r="F10" i="8"/>
  <c r="G10" i="8" s="1"/>
  <c r="E10" i="8"/>
  <c r="D10" i="8"/>
  <c r="N9" i="8"/>
  <c r="M9" i="8"/>
  <c r="M15" i="8" s="1"/>
  <c r="L9" i="8"/>
  <c r="F9" i="8"/>
  <c r="E9" i="8"/>
  <c r="D9" i="8"/>
  <c r="N4" i="8"/>
  <c r="M4" i="8"/>
  <c r="L4" i="8"/>
  <c r="O4" i="8" s="1"/>
  <c r="G4" i="8"/>
  <c r="B16" i="5"/>
  <c r="B31" i="5" s="1"/>
  <c r="B46" i="5" s="1"/>
  <c r="B61" i="5" s="1"/>
  <c r="B76" i="5" s="1"/>
  <c r="B91" i="5" s="1"/>
  <c r="B106" i="5" s="1"/>
  <c r="M73" i="4"/>
  <c r="F73" i="4"/>
  <c r="E73" i="4"/>
  <c r="D73" i="4"/>
  <c r="C73" i="4"/>
  <c r="B73" i="4"/>
  <c r="A73" i="4"/>
  <c r="EE72" i="4"/>
  <c r="ED72" i="4"/>
  <c r="DP72" i="4"/>
  <c r="DO72" i="4"/>
  <c r="CZ72" i="4"/>
  <c r="CK72" i="4"/>
  <c r="BV72" i="4"/>
  <c r="BW72" i="4" s="1"/>
  <c r="BH72" i="4"/>
  <c r="BG72" i="4"/>
  <c r="AS72" i="4"/>
  <c r="AR72" i="4"/>
  <c r="AD72" i="4"/>
  <c r="M72" i="4"/>
  <c r="F72" i="4"/>
  <c r="E72" i="4"/>
  <c r="D72" i="4"/>
  <c r="C72" i="4"/>
  <c r="B72" i="4"/>
  <c r="A72" i="4"/>
  <c r="ED71" i="4"/>
  <c r="EE71" i="4" s="1"/>
  <c r="DO71" i="4"/>
  <c r="DP71" i="4" s="1"/>
  <c r="DA71" i="4"/>
  <c r="CZ71" i="4"/>
  <c r="CK71" i="4"/>
  <c r="BV71" i="4"/>
  <c r="BG71" i="4"/>
  <c r="BH71" i="4" s="1"/>
  <c r="AS71" i="4"/>
  <c r="AR71" i="4"/>
  <c r="AD71" i="4"/>
  <c r="M71" i="4"/>
  <c r="F71" i="4"/>
  <c r="E71" i="4"/>
  <c r="D71" i="4"/>
  <c r="C71" i="4"/>
  <c r="B71" i="4"/>
  <c r="A71" i="4"/>
  <c r="ED70" i="4"/>
  <c r="DO70" i="4"/>
  <c r="CZ70" i="4"/>
  <c r="DA70" i="4" s="1"/>
  <c r="CL70" i="4"/>
  <c r="CK70" i="4"/>
  <c r="BV70" i="4"/>
  <c r="BG70" i="4"/>
  <c r="AR70" i="4"/>
  <c r="AS70" i="4" s="1"/>
  <c r="AD70" i="4"/>
  <c r="M70" i="4"/>
  <c r="F70" i="4"/>
  <c r="E70" i="4"/>
  <c r="D70" i="4"/>
  <c r="C70" i="4"/>
  <c r="B70" i="4"/>
  <c r="A70" i="4"/>
  <c r="EE69" i="4"/>
  <c r="ED69" i="4"/>
  <c r="DO69" i="4"/>
  <c r="CZ69" i="4"/>
  <c r="CK69" i="4"/>
  <c r="CL69" i="4" s="1"/>
  <c r="BW69" i="4"/>
  <c r="BV69" i="4"/>
  <c r="BG69" i="4"/>
  <c r="AR69" i="4"/>
  <c r="AD69" i="4"/>
  <c r="M69" i="4"/>
  <c r="F69" i="4"/>
  <c r="E69" i="4"/>
  <c r="D69" i="4"/>
  <c r="C69" i="4"/>
  <c r="B69" i="4"/>
  <c r="A69" i="4"/>
  <c r="ED68" i="4"/>
  <c r="EE68" i="4" s="1"/>
  <c r="DP68" i="4"/>
  <c r="DO68" i="4"/>
  <c r="CZ68" i="4"/>
  <c r="CK68" i="4"/>
  <c r="BV68" i="4"/>
  <c r="BW68" i="4" s="1"/>
  <c r="BH68" i="4"/>
  <c r="BG68" i="4"/>
  <c r="AS68" i="4"/>
  <c r="AR68" i="4"/>
  <c r="AD68" i="4"/>
  <c r="M68" i="4"/>
  <c r="F68" i="4"/>
  <c r="E68" i="4"/>
  <c r="D68" i="4"/>
  <c r="C68" i="4"/>
  <c r="B68" i="4"/>
  <c r="A68" i="4"/>
  <c r="ED67" i="4"/>
  <c r="EE67" i="4" s="1"/>
  <c r="DP67" i="4"/>
  <c r="DO67" i="4"/>
  <c r="DA67" i="4"/>
  <c r="CZ67" i="4"/>
  <c r="CK67" i="4"/>
  <c r="BV67" i="4"/>
  <c r="BG67" i="4"/>
  <c r="BH67" i="4" s="1"/>
  <c r="AS67" i="4"/>
  <c r="AR67" i="4"/>
  <c r="AD67" i="4"/>
  <c r="M67" i="4"/>
  <c r="F67" i="4"/>
  <c r="E67" i="4"/>
  <c r="D67" i="4"/>
  <c r="C67" i="4"/>
  <c r="B67" i="4"/>
  <c r="A67" i="4"/>
  <c r="ED66" i="4"/>
  <c r="DO66" i="4"/>
  <c r="DA66" i="4"/>
  <c r="CZ66" i="4"/>
  <c r="CL66" i="4"/>
  <c r="CK66" i="4"/>
  <c r="BV66" i="4"/>
  <c r="BG66" i="4"/>
  <c r="AR66" i="4"/>
  <c r="AD66" i="4"/>
  <c r="AS66" i="4" s="1"/>
  <c r="M66" i="4"/>
  <c r="F66" i="4"/>
  <c r="E66" i="4"/>
  <c r="D66" i="4"/>
  <c r="C66" i="4"/>
  <c r="B66" i="4"/>
  <c r="A66" i="4"/>
  <c r="EE65" i="4"/>
  <c r="ED65" i="4"/>
  <c r="DO65" i="4"/>
  <c r="CZ65" i="4"/>
  <c r="CL65" i="4"/>
  <c r="CK65" i="4"/>
  <c r="BW65" i="4"/>
  <c r="BV65" i="4"/>
  <c r="BG65" i="4"/>
  <c r="AR65" i="4"/>
  <c r="AD65" i="4"/>
  <c r="M65" i="4"/>
  <c r="F65" i="4"/>
  <c r="E65" i="4"/>
  <c r="D65" i="4"/>
  <c r="C65" i="4"/>
  <c r="B65" i="4"/>
  <c r="A65" i="4"/>
  <c r="ED64" i="4"/>
  <c r="EE64" i="4" s="1"/>
  <c r="DP64" i="4"/>
  <c r="DO64" i="4"/>
  <c r="CZ64" i="4"/>
  <c r="CK64" i="4"/>
  <c r="BW64" i="4"/>
  <c r="BV64" i="4"/>
  <c r="BH64" i="4"/>
  <c r="BG64" i="4"/>
  <c r="AS64" i="4"/>
  <c r="AR64" i="4"/>
  <c r="AD64" i="4"/>
  <c r="M64" i="4"/>
  <c r="K64" i="4"/>
  <c r="F64" i="4"/>
  <c r="E64" i="4"/>
  <c r="D64" i="4"/>
  <c r="C64" i="4"/>
  <c r="B64" i="4"/>
  <c r="A64" i="4"/>
  <c r="M63" i="4"/>
  <c r="F63" i="4"/>
  <c r="E63" i="4"/>
  <c r="D63" i="4"/>
  <c r="C63" i="4"/>
  <c r="B63" i="4"/>
  <c r="A63" i="4"/>
  <c r="ED62" i="4"/>
  <c r="DO62" i="4"/>
  <c r="DP62" i="4" s="1"/>
  <c r="DA62" i="4"/>
  <c r="CZ62" i="4"/>
  <c r="CK62" i="4"/>
  <c r="BV62" i="4"/>
  <c r="BG62" i="4"/>
  <c r="BH62" i="4" s="1"/>
  <c r="AS62" i="4"/>
  <c r="AR62" i="4"/>
  <c r="AD62" i="4"/>
  <c r="M62" i="4"/>
  <c r="F62" i="4"/>
  <c r="E62" i="4"/>
  <c r="D62" i="4"/>
  <c r="C62" i="4"/>
  <c r="B62" i="4"/>
  <c r="A62" i="4"/>
  <c r="ED61" i="4"/>
  <c r="DO61" i="4"/>
  <c r="CZ61" i="4"/>
  <c r="DA61" i="4" s="1"/>
  <c r="CL61" i="4"/>
  <c r="CK61" i="4"/>
  <c r="BV61" i="4"/>
  <c r="BG61" i="4"/>
  <c r="AR61" i="4"/>
  <c r="AS61" i="4" s="1"/>
  <c r="AD61" i="4"/>
  <c r="M61" i="4"/>
  <c r="F61" i="4"/>
  <c r="E61" i="4"/>
  <c r="D61" i="4"/>
  <c r="C61" i="4"/>
  <c r="B61" i="4"/>
  <c r="A61" i="4"/>
  <c r="EE60" i="4"/>
  <c r="ED60" i="4"/>
  <c r="DO60" i="4"/>
  <c r="CZ60" i="4"/>
  <c r="CK60" i="4"/>
  <c r="CL60" i="4" s="1"/>
  <c r="BW60" i="4"/>
  <c r="BV60" i="4"/>
  <c r="BG60" i="4"/>
  <c r="AR60" i="4"/>
  <c r="AD60" i="4"/>
  <c r="M60" i="4"/>
  <c r="F60" i="4"/>
  <c r="E60" i="4"/>
  <c r="D60" i="4"/>
  <c r="C60" i="4"/>
  <c r="B60" i="4"/>
  <c r="A60" i="4"/>
  <c r="ED59" i="4"/>
  <c r="EE59" i="4" s="1"/>
  <c r="DP59" i="4"/>
  <c r="DO59" i="4"/>
  <c r="DA59" i="4"/>
  <c r="CZ59" i="4"/>
  <c r="CK59" i="4"/>
  <c r="BW59" i="4"/>
  <c r="BV59" i="4"/>
  <c r="BH59" i="4"/>
  <c r="BG59" i="4"/>
  <c r="AS59" i="4"/>
  <c r="AR59" i="4"/>
  <c r="AD59" i="4"/>
  <c r="M59" i="4"/>
  <c r="F59" i="4"/>
  <c r="E59" i="4"/>
  <c r="D59" i="4"/>
  <c r="C59" i="4"/>
  <c r="B59" i="4"/>
  <c r="A59" i="4"/>
  <c r="ED58" i="4"/>
  <c r="DO58" i="4"/>
  <c r="DP58" i="4" s="1"/>
  <c r="DA58" i="4"/>
  <c r="CZ58" i="4"/>
  <c r="CL58" i="4"/>
  <c r="CK58" i="4"/>
  <c r="BV58" i="4"/>
  <c r="BW58" i="4" s="1"/>
  <c r="BH58" i="4"/>
  <c r="BG58" i="4"/>
  <c r="AS58" i="4"/>
  <c r="AR58" i="4"/>
  <c r="AD58" i="4"/>
  <c r="M58" i="4"/>
  <c r="F58" i="4"/>
  <c r="E58" i="4"/>
  <c r="D58" i="4"/>
  <c r="C58" i="4"/>
  <c r="B58" i="4"/>
  <c r="A58" i="4"/>
  <c r="ED57" i="4"/>
  <c r="DO57" i="4"/>
  <c r="DP57" i="4" s="1"/>
  <c r="CZ57" i="4"/>
  <c r="DA57" i="4" s="1"/>
  <c r="CL57" i="4"/>
  <c r="CK57" i="4"/>
  <c r="BV57" i="4"/>
  <c r="BG57" i="4"/>
  <c r="AS57" i="4"/>
  <c r="AR57" i="4"/>
  <c r="AD57" i="4"/>
  <c r="M57" i="4"/>
  <c r="F57" i="4"/>
  <c r="E57" i="4"/>
  <c r="D57" i="4"/>
  <c r="C57" i="4"/>
  <c r="B57" i="4"/>
  <c r="A57" i="4"/>
  <c r="EE56" i="4"/>
  <c r="ED56" i="4"/>
  <c r="DP56" i="4"/>
  <c r="DO56" i="4"/>
  <c r="CZ56" i="4"/>
  <c r="CK56" i="4"/>
  <c r="CL56" i="4" s="1"/>
  <c r="BW56" i="4"/>
  <c r="BV56" i="4"/>
  <c r="BG56" i="4"/>
  <c r="AR56" i="4"/>
  <c r="AD56" i="4"/>
  <c r="M56" i="4"/>
  <c r="F56" i="4"/>
  <c r="E56" i="4"/>
  <c r="D56" i="4"/>
  <c r="C56" i="4"/>
  <c r="B56" i="4"/>
  <c r="A56" i="4"/>
  <c r="EE55" i="4"/>
  <c r="ED55" i="4"/>
  <c r="DP55" i="4"/>
  <c r="DO55" i="4"/>
  <c r="CZ55" i="4"/>
  <c r="CK55" i="4"/>
  <c r="CL55" i="4" s="1"/>
  <c r="BV55" i="4"/>
  <c r="BW55" i="4" s="1"/>
  <c r="BH55" i="4"/>
  <c r="BG55" i="4"/>
  <c r="AS55" i="4"/>
  <c r="AR55" i="4"/>
  <c r="AD55" i="4"/>
  <c r="M55" i="4"/>
  <c r="F55" i="4"/>
  <c r="E55" i="4"/>
  <c r="D55" i="4"/>
  <c r="C55" i="4"/>
  <c r="B55" i="4"/>
  <c r="A55" i="4"/>
  <c r="ED54" i="4"/>
  <c r="DP54" i="4"/>
  <c r="DO54" i="4"/>
  <c r="DA54" i="4"/>
  <c r="CZ54" i="4"/>
  <c r="CL54" i="4"/>
  <c r="CK54" i="4"/>
  <c r="BV54" i="4"/>
  <c r="BG54" i="4"/>
  <c r="BH54" i="4" s="1"/>
  <c r="AR54" i="4"/>
  <c r="AD54" i="4"/>
  <c r="AS54" i="4" s="1"/>
  <c r="M54" i="4"/>
  <c r="K54" i="4"/>
  <c r="F54" i="4"/>
  <c r="E54" i="4"/>
  <c r="D54" i="4"/>
  <c r="C54" i="4"/>
  <c r="B54" i="4"/>
  <c r="A54" i="4"/>
  <c r="M53" i="4"/>
  <c r="F53" i="4"/>
  <c r="E53" i="4"/>
  <c r="D53" i="4"/>
  <c r="C53" i="4"/>
  <c r="B53" i="4"/>
  <c r="A53" i="4"/>
  <c r="EE52" i="4"/>
  <c r="ED52" i="4"/>
  <c r="DO52" i="4"/>
  <c r="DP52" i="4" s="1"/>
  <c r="DA52" i="4"/>
  <c r="CZ52" i="4"/>
  <c r="CL52" i="4"/>
  <c r="CK52" i="4"/>
  <c r="BV52" i="4"/>
  <c r="BG52" i="4"/>
  <c r="BH52" i="4" s="1"/>
  <c r="AR52" i="4"/>
  <c r="AS52" i="4" s="1"/>
  <c r="AD52" i="4"/>
  <c r="M52" i="4"/>
  <c r="F52" i="4"/>
  <c r="E52" i="4"/>
  <c r="D52" i="4"/>
  <c r="C52" i="4"/>
  <c r="B52" i="4"/>
  <c r="A52" i="4"/>
  <c r="EE51" i="4"/>
  <c r="ED51" i="4"/>
  <c r="DP51" i="4"/>
  <c r="DO51" i="4"/>
  <c r="CZ51" i="4"/>
  <c r="CL51" i="4"/>
  <c r="CK51" i="4"/>
  <c r="BW51" i="4"/>
  <c r="BV51" i="4"/>
  <c r="BH51" i="4"/>
  <c r="BG51" i="4"/>
  <c r="AR51" i="4"/>
  <c r="AD51" i="4"/>
  <c r="M51" i="4"/>
  <c r="F51" i="4"/>
  <c r="E51" i="4"/>
  <c r="D51" i="4"/>
  <c r="C51" i="4"/>
  <c r="B51" i="4"/>
  <c r="A51" i="4"/>
  <c r="ED50" i="4"/>
  <c r="EE50" i="4" s="1"/>
  <c r="DP50" i="4"/>
  <c r="DO50" i="4"/>
  <c r="CZ50" i="4"/>
  <c r="CK50" i="4"/>
  <c r="CL50" i="4" s="1"/>
  <c r="BV50" i="4"/>
  <c r="BW50" i="4" s="1"/>
  <c r="BH50" i="4"/>
  <c r="BG50" i="4"/>
  <c r="AS50" i="4"/>
  <c r="AR50" i="4"/>
  <c r="AD50" i="4"/>
  <c r="M50" i="4"/>
  <c r="F50" i="4"/>
  <c r="E50" i="4"/>
  <c r="D50" i="4"/>
  <c r="C50" i="4"/>
  <c r="B50" i="4"/>
  <c r="A50" i="4"/>
  <c r="ED49" i="4"/>
  <c r="EE49" i="4" s="1"/>
  <c r="DP49" i="4"/>
  <c r="DO49" i="4"/>
  <c r="DA49" i="4"/>
  <c r="CZ49" i="4"/>
  <c r="CL49" i="4"/>
  <c r="CK49" i="4"/>
  <c r="BV49" i="4"/>
  <c r="BH49" i="4"/>
  <c r="BG49" i="4"/>
  <c r="AR49" i="4"/>
  <c r="AD49" i="4"/>
  <c r="AS49" i="4" s="1"/>
  <c r="M49" i="4"/>
  <c r="F49" i="4"/>
  <c r="E49" i="4"/>
  <c r="D49" i="4"/>
  <c r="C49" i="4"/>
  <c r="B49" i="4"/>
  <c r="A49" i="4"/>
  <c r="EE48" i="4"/>
  <c r="ED48" i="4"/>
  <c r="DO48" i="4"/>
  <c r="CZ48" i="4"/>
  <c r="DA48" i="4" s="1"/>
  <c r="CL48" i="4"/>
  <c r="CK48" i="4"/>
  <c r="BW48" i="4"/>
  <c r="BV48" i="4"/>
  <c r="BG48" i="4"/>
  <c r="BH48" i="4" s="1"/>
  <c r="AR48" i="4"/>
  <c r="AD48" i="4"/>
  <c r="AS48" i="4" s="1"/>
  <c r="M48" i="4"/>
  <c r="F48" i="4"/>
  <c r="E48" i="4"/>
  <c r="D48" i="4"/>
  <c r="C48" i="4"/>
  <c r="B48" i="4"/>
  <c r="A48" i="4"/>
  <c r="EE47" i="4"/>
  <c r="ED47" i="4"/>
  <c r="DO47" i="4"/>
  <c r="CZ47" i="4"/>
  <c r="DA47" i="4" s="1"/>
  <c r="CK47" i="4"/>
  <c r="CL47" i="4" s="1"/>
  <c r="BW47" i="4"/>
  <c r="BV47" i="4"/>
  <c r="BH47" i="4"/>
  <c r="BG47" i="4"/>
  <c r="AR47" i="4"/>
  <c r="AD47" i="4"/>
  <c r="M47" i="4"/>
  <c r="F47" i="4"/>
  <c r="E47" i="4"/>
  <c r="D47" i="4"/>
  <c r="C47" i="4"/>
  <c r="B47" i="4"/>
  <c r="A47" i="4"/>
  <c r="EE46" i="4"/>
  <c r="ED46" i="4"/>
  <c r="DP46" i="4"/>
  <c r="DO46" i="4"/>
  <c r="DA46" i="4"/>
  <c r="CZ46" i="4"/>
  <c r="CK46" i="4"/>
  <c r="BV46" i="4"/>
  <c r="BW46" i="4" s="1"/>
  <c r="BH46" i="4"/>
  <c r="BG46" i="4"/>
  <c r="AS46" i="4"/>
  <c r="AR46" i="4"/>
  <c r="AD46" i="4"/>
  <c r="M46" i="4"/>
  <c r="F46" i="4"/>
  <c r="E46" i="4"/>
  <c r="D46" i="4"/>
  <c r="C46" i="4"/>
  <c r="B46" i="4"/>
  <c r="A46" i="4"/>
  <c r="ED45" i="4"/>
  <c r="DO45" i="4"/>
  <c r="DP45" i="4" s="1"/>
  <c r="DA45" i="4"/>
  <c r="CZ45" i="4"/>
  <c r="CK45" i="4"/>
  <c r="BV45" i="4"/>
  <c r="BW45" i="4" s="1"/>
  <c r="BG45" i="4"/>
  <c r="BH45" i="4" s="1"/>
  <c r="AS45" i="4"/>
  <c r="AR45" i="4"/>
  <c r="AD45" i="4"/>
  <c r="M45" i="4"/>
  <c r="F45" i="4"/>
  <c r="E45" i="4"/>
  <c r="D45" i="4"/>
  <c r="C45" i="4"/>
  <c r="B45" i="4"/>
  <c r="A45" i="4"/>
  <c r="EE44" i="4"/>
  <c r="ED44" i="4"/>
  <c r="DO44" i="4"/>
  <c r="DA44" i="4"/>
  <c r="CZ44" i="4"/>
  <c r="CL44" i="4"/>
  <c r="CK44" i="4"/>
  <c r="BW44" i="4"/>
  <c r="BV44" i="4"/>
  <c r="BG44" i="4"/>
  <c r="AR44" i="4"/>
  <c r="AS44" i="4" s="1"/>
  <c r="AD44" i="4"/>
  <c r="M44" i="4"/>
  <c r="K44" i="4"/>
  <c r="F44" i="4"/>
  <c r="E44" i="4"/>
  <c r="D44" i="4"/>
  <c r="C44" i="4"/>
  <c r="B44" i="4"/>
  <c r="A44" i="4"/>
  <c r="M43" i="4"/>
  <c r="F43" i="4"/>
  <c r="E43" i="4"/>
  <c r="D43" i="4"/>
  <c r="C43" i="4"/>
  <c r="B43" i="4"/>
  <c r="A43" i="4"/>
  <c r="EE42" i="4"/>
  <c r="ED42" i="4"/>
  <c r="DP42" i="4"/>
  <c r="DO42" i="4"/>
  <c r="CZ42" i="4"/>
  <c r="CL42" i="4"/>
  <c r="CK42" i="4"/>
  <c r="BW42" i="4"/>
  <c r="BV42" i="4"/>
  <c r="BG42" i="4"/>
  <c r="AR42" i="4"/>
  <c r="AS42" i="4" s="1"/>
  <c r="AD42" i="4"/>
  <c r="M42" i="4"/>
  <c r="F42" i="4"/>
  <c r="E42" i="4"/>
  <c r="D42" i="4"/>
  <c r="C42" i="4"/>
  <c r="B42" i="4"/>
  <c r="A42" i="4"/>
  <c r="ED41" i="4"/>
  <c r="EE41" i="4" s="1"/>
  <c r="DP41" i="4"/>
  <c r="DO41" i="4"/>
  <c r="CZ41" i="4"/>
  <c r="CK41" i="4"/>
  <c r="CL41" i="4" s="1"/>
  <c r="BW41" i="4"/>
  <c r="BV41" i="4"/>
  <c r="BH41" i="4"/>
  <c r="BG41" i="4"/>
  <c r="AS41" i="4"/>
  <c r="AR41" i="4"/>
  <c r="AD41" i="4"/>
  <c r="M41" i="4"/>
  <c r="F41" i="4"/>
  <c r="E41" i="4"/>
  <c r="D41" i="4"/>
  <c r="C41" i="4"/>
  <c r="B41" i="4"/>
  <c r="A41" i="4"/>
  <c r="ED40" i="4"/>
  <c r="DO40" i="4"/>
  <c r="DP40" i="4" s="1"/>
  <c r="DA40" i="4"/>
  <c r="CZ40" i="4"/>
  <c r="CL40" i="4"/>
  <c r="CK40" i="4"/>
  <c r="BV40" i="4"/>
  <c r="BG40" i="4"/>
  <c r="BH40" i="4" s="1"/>
  <c r="AS40" i="4"/>
  <c r="AR40" i="4"/>
  <c r="AD40" i="4"/>
  <c r="M40" i="4"/>
  <c r="F40" i="4"/>
  <c r="E40" i="4"/>
  <c r="D40" i="4"/>
  <c r="C40" i="4"/>
  <c r="B40" i="4"/>
  <c r="A40" i="4"/>
  <c r="ED39" i="4"/>
  <c r="DO39" i="4"/>
  <c r="DP39" i="4" s="1"/>
  <c r="DA39" i="4"/>
  <c r="CZ39" i="4"/>
  <c r="CL39" i="4"/>
  <c r="CK39" i="4"/>
  <c r="BV39" i="4"/>
  <c r="BG39" i="4"/>
  <c r="AS39" i="4"/>
  <c r="AR39" i="4"/>
  <c r="AD39" i="4"/>
  <c r="M39" i="4"/>
  <c r="F39" i="4"/>
  <c r="E39" i="4"/>
  <c r="D39" i="4"/>
  <c r="C39" i="4"/>
  <c r="B39" i="4"/>
  <c r="A39" i="4"/>
  <c r="EE38" i="4"/>
  <c r="ED38" i="4"/>
  <c r="DP38" i="4"/>
  <c r="DO38" i="4"/>
  <c r="CZ38" i="4"/>
  <c r="CK38" i="4"/>
  <c r="CL38" i="4" s="1"/>
  <c r="BW38" i="4"/>
  <c r="BV38" i="4"/>
  <c r="BH38" i="4"/>
  <c r="BG38" i="4"/>
  <c r="AR38" i="4"/>
  <c r="AD38" i="4"/>
  <c r="M38" i="4"/>
  <c r="F38" i="4"/>
  <c r="E38" i="4"/>
  <c r="D38" i="4"/>
  <c r="C38" i="4"/>
  <c r="B38" i="4"/>
  <c r="A38" i="4"/>
  <c r="EE37" i="4"/>
  <c r="ED37" i="4"/>
  <c r="DP37" i="4"/>
  <c r="DO37" i="4"/>
  <c r="CZ37" i="4"/>
  <c r="CK37" i="4"/>
  <c r="CL37" i="4" s="1"/>
  <c r="BV37" i="4"/>
  <c r="BW37" i="4" s="1"/>
  <c r="BH37" i="4"/>
  <c r="BG37" i="4"/>
  <c r="AS37" i="4"/>
  <c r="AR37" i="4"/>
  <c r="AD37" i="4"/>
  <c r="M37" i="4"/>
  <c r="F37" i="4"/>
  <c r="E37" i="4"/>
  <c r="D37" i="4"/>
  <c r="C37" i="4"/>
  <c r="B37" i="4"/>
  <c r="A37" i="4"/>
  <c r="ED36" i="4"/>
  <c r="EE36" i="4" s="1"/>
  <c r="DP36" i="4"/>
  <c r="DO36" i="4"/>
  <c r="DA36" i="4"/>
  <c r="CZ36" i="4"/>
  <c r="CL36" i="4"/>
  <c r="CK36" i="4"/>
  <c r="BV36" i="4"/>
  <c r="BG36" i="4"/>
  <c r="BH36" i="4" s="1"/>
  <c r="AR36" i="4"/>
  <c r="AD36" i="4"/>
  <c r="AS36" i="4" s="1"/>
  <c r="M36" i="4"/>
  <c r="F36" i="4"/>
  <c r="E36" i="4"/>
  <c r="D36" i="4"/>
  <c r="C36" i="4"/>
  <c r="B36" i="4"/>
  <c r="A36" i="4"/>
  <c r="ED35" i="4"/>
  <c r="DO35" i="4"/>
  <c r="DP35" i="4" s="1"/>
  <c r="CZ35" i="4"/>
  <c r="DA35" i="4" s="1"/>
  <c r="CL35" i="4"/>
  <c r="CK35" i="4"/>
  <c r="BV35" i="4"/>
  <c r="BG35" i="4"/>
  <c r="BH35" i="4" s="1"/>
  <c r="AS35" i="4"/>
  <c r="AR35" i="4"/>
  <c r="AD35" i="4"/>
  <c r="M35" i="4"/>
  <c r="F35" i="4"/>
  <c r="E35" i="4"/>
  <c r="D35" i="4"/>
  <c r="C35" i="4"/>
  <c r="B35" i="4"/>
  <c r="A35" i="4"/>
  <c r="EE34" i="4"/>
  <c r="ED34" i="4"/>
  <c r="DP34" i="4"/>
  <c r="DO34" i="4"/>
  <c r="CZ34" i="4"/>
  <c r="CL34" i="4"/>
  <c r="CK34" i="4"/>
  <c r="BW34" i="4"/>
  <c r="BV34" i="4"/>
  <c r="BH34" i="4"/>
  <c r="BG34" i="4"/>
  <c r="AR34" i="4"/>
  <c r="AS34" i="4" s="1"/>
  <c r="AD34" i="4"/>
  <c r="M34" i="4"/>
  <c r="K34" i="4"/>
  <c r="F34" i="4"/>
  <c r="E34" i="4"/>
  <c r="D34" i="4"/>
  <c r="C34" i="4"/>
  <c r="B34" i="4"/>
  <c r="A34" i="4"/>
  <c r="M33" i="4"/>
  <c r="F33" i="4"/>
  <c r="E33" i="4"/>
  <c r="D33" i="4"/>
  <c r="C33" i="4"/>
  <c r="B33" i="4"/>
  <c r="A33" i="4"/>
  <c r="ED32" i="4"/>
  <c r="EE32" i="4" s="1"/>
  <c r="DP32" i="4"/>
  <c r="DO32" i="4"/>
  <c r="DA32" i="4"/>
  <c r="CZ32" i="4"/>
  <c r="CK32" i="4"/>
  <c r="BW32" i="4"/>
  <c r="BV32" i="4"/>
  <c r="BH32" i="4"/>
  <c r="BG32" i="4"/>
  <c r="AS32" i="4"/>
  <c r="AR32" i="4"/>
  <c r="AD32" i="4"/>
  <c r="M32" i="4"/>
  <c r="F32" i="4"/>
  <c r="E32" i="4"/>
  <c r="D32" i="4"/>
  <c r="C32" i="4"/>
  <c r="B32" i="4"/>
  <c r="A32" i="4"/>
  <c r="ED31" i="4"/>
  <c r="EE31" i="4" s="1"/>
  <c r="DO31" i="4"/>
  <c r="DP31" i="4" s="1"/>
  <c r="DA31" i="4"/>
  <c r="CZ31" i="4"/>
  <c r="CL31" i="4"/>
  <c r="CK31" i="4"/>
  <c r="BV31" i="4"/>
  <c r="BW31" i="4" s="1"/>
  <c r="BH31" i="4"/>
  <c r="BG31" i="4"/>
  <c r="AR31" i="4"/>
  <c r="AD31" i="4"/>
  <c r="AS31" i="4" s="1"/>
  <c r="M31" i="4"/>
  <c r="F31" i="4"/>
  <c r="E31" i="4"/>
  <c r="D31" i="4"/>
  <c r="C31" i="4"/>
  <c r="B31" i="4"/>
  <c r="A31" i="4"/>
  <c r="EE30" i="4"/>
  <c r="ED30" i="4"/>
  <c r="DO30" i="4"/>
  <c r="CZ30" i="4"/>
  <c r="DA30" i="4" s="1"/>
  <c r="CL30" i="4"/>
  <c r="CK30" i="4"/>
  <c r="BV30" i="4"/>
  <c r="BG30" i="4"/>
  <c r="AR30" i="4"/>
  <c r="AS30" i="4" s="1"/>
  <c r="AD30" i="4"/>
  <c r="M30" i="4"/>
  <c r="F30" i="4"/>
  <c r="E30" i="4"/>
  <c r="D30" i="4"/>
  <c r="C30" i="4"/>
  <c r="B30" i="4"/>
  <c r="A30" i="4"/>
  <c r="EE29" i="4"/>
  <c r="ED29" i="4"/>
  <c r="DO29" i="4"/>
  <c r="CZ29" i="4"/>
  <c r="DA29" i="4" s="1"/>
  <c r="CL29" i="4"/>
  <c r="CK29" i="4"/>
  <c r="BW29" i="4"/>
  <c r="BV29" i="4"/>
  <c r="BG29" i="4"/>
  <c r="AR29" i="4"/>
  <c r="AD29" i="4"/>
  <c r="M29" i="4"/>
  <c r="F29" i="4"/>
  <c r="E29" i="4"/>
  <c r="D29" i="4"/>
  <c r="C29" i="4"/>
  <c r="B29" i="4"/>
  <c r="A29" i="4"/>
  <c r="EE28" i="4"/>
  <c r="ED28" i="4"/>
  <c r="DP28" i="4"/>
  <c r="DO28" i="4"/>
  <c r="DA28" i="4"/>
  <c r="CZ28" i="4"/>
  <c r="CK28" i="4"/>
  <c r="BV28" i="4"/>
  <c r="BW28" i="4" s="1"/>
  <c r="BH28" i="4"/>
  <c r="BG28" i="4"/>
  <c r="AS28" i="4"/>
  <c r="AR28" i="4"/>
  <c r="AD28" i="4"/>
  <c r="M28" i="4"/>
  <c r="F28" i="4"/>
  <c r="E28" i="4"/>
  <c r="D28" i="4"/>
  <c r="C28" i="4"/>
  <c r="B28" i="4"/>
  <c r="A28" i="4"/>
  <c r="ED27" i="4"/>
  <c r="DP27" i="4"/>
  <c r="DO27" i="4"/>
  <c r="DA27" i="4"/>
  <c r="CZ27" i="4"/>
  <c r="CK27" i="4"/>
  <c r="BV27" i="4"/>
  <c r="BW27" i="4" s="1"/>
  <c r="BG27" i="4"/>
  <c r="BH27" i="4" s="1"/>
  <c r="AR27" i="4"/>
  <c r="AD27" i="4"/>
  <c r="AS27" i="4" s="1"/>
  <c r="M27" i="4"/>
  <c r="F27" i="4"/>
  <c r="E27" i="4"/>
  <c r="D27" i="4"/>
  <c r="C27" i="4"/>
  <c r="B27" i="4"/>
  <c r="A27" i="4"/>
  <c r="EE26" i="4"/>
  <c r="ED26" i="4"/>
  <c r="DO26" i="4"/>
  <c r="DP26" i="4" s="1"/>
  <c r="DA26" i="4"/>
  <c r="CZ26" i="4"/>
  <c r="CL26" i="4"/>
  <c r="CK26" i="4"/>
  <c r="BW26" i="4"/>
  <c r="BV26" i="4"/>
  <c r="BG26" i="4"/>
  <c r="BH26" i="4" s="1"/>
  <c r="AS26" i="4"/>
  <c r="AR26" i="4"/>
  <c r="AD26" i="4"/>
  <c r="M26" i="4"/>
  <c r="F26" i="4"/>
  <c r="E26" i="4"/>
  <c r="D26" i="4"/>
  <c r="C26" i="4"/>
  <c r="B26" i="4"/>
  <c r="A26" i="4"/>
  <c r="EE25" i="4"/>
  <c r="ED25" i="4"/>
  <c r="DP25" i="4"/>
  <c r="DO25" i="4"/>
  <c r="CZ25" i="4"/>
  <c r="DA25" i="4" s="1"/>
  <c r="CL25" i="4"/>
  <c r="CK25" i="4"/>
  <c r="BW25" i="4"/>
  <c r="BV25" i="4"/>
  <c r="BH25" i="4"/>
  <c r="BG25" i="4"/>
  <c r="AR25" i="4"/>
  <c r="AS25" i="4" s="1"/>
  <c r="AD25" i="4"/>
  <c r="M25" i="4"/>
  <c r="F25" i="4"/>
  <c r="E25" i="4"/>
  <c r="D25" i="4"/>
  <c r="C25" i="4"/>
  <c r="B25" i="4"/>
  <c r="A25" i="4"/>
  <c r="EE24" i="4"/>
  <c r="ED24" i="4"/>
  <c r="DP24" i="4"/>
  <c r="DO24" i="4"/>
  <c r="DA24" i="4"/>
  <c r="CZ24" i="4"/>
  <c r="CK24" i="4"/>
  <c r="CL24" i="4" s="1"/>
  <c r="BW24" i="4"/>
  <c r="BV24" i="4"/>
  <c r="BH24" i="4"/>
  <c r="BG24" i="4"/>
  <c r="AS24" i="4"/>
  <c r="AR24" i="4"/>
  <c r="AD24" i="4"/>
  <c r="M24" i="4"/>
  <c r="K24" i="4"/>
  <c r="F24" i="4"/>
  <c r="E24" i="4"/>
  <c r="D24" i="4"/>
  <c r="C24" i="4"/>
  <c r="B24" i="4"/>
  <c r="A24" i="4"/>
  <c r="M23" i="4"/>
  <c r="F23" i="4"/>
  <c r="E23" i="4"/>
  <c r="D23" i="4"/>
  <c r="C23" i="4"/>
  <c r="B23" i="4"/>
  <c r="A23" i="4"/>
  <c r="ED22" i="4"/>
  <c r="EE22" i="4" s="1"/>
  <c r="DP22" i="4"/>
  <c r="DO22" i="4"/>
  <c r="DA22" i="4"/>
  <c r="CZ22" i="4"/>
  <c r="CL22" i="4"/>
  <c r="CK22" i="4"/>
  <c r="BV22" i="4"/>
  <c r="BW22" i="4" s="1"/>
  <c r="BH22" i="4"/>
  <c r="BG22" i="4"/>
  <c r="AR22" i="4"/>
  <c r="AD22" i="4"/>
  <c r="AS22" i="4" s="1"/>
  <c r="M22" i="4"/>
  <c r="F22" i="4"/>
  <c r="E22" i="4"/>
  <c r="D22" i="4"/>
  <c r="C22" i="4"/>
  <c r="B22" i="4"/>
  <c r="A22" i="4"/>
  <c r="EE21" i="4"/>
  <c r="ED21" i="4"/>
  <c r="DO21" i="4"/>
  <c r="DP21" i="4" s="1"/>
  <c r="DA21" i="4"/>
  <c r="CZ21" i="4"/>
  <c r="CL21" i="4"/>
  <c r="CK21" i="4"/>
  <c r="BW21" i="4"/>
  <c r="BV21" i="4"/>
  <c r="BG21" i="4"/>
  <c r="BH21" i="4" s="1"/>
  <c r="AS21" i="4"/>
  <c r="AR21" i="4"/>
  <c r="AD21" i="4"/>
  <c r="M21" i="4"/>
  <c r="F21" i="4"/>
  <c r="E21" i="4"/>
  <c r="D21" i="4"/>
  <c r="C21" i="4"/>
  <c r="B21" i="4"/>
  <c r="A21" i="4"/>
  <c r="EE20" i="4"/>
  <c r="ED20" i="4"/>
  <c r="DP20" i="4"/>
  <c r="DO20" i="4"/>
  <c r="CZ20" i="4"/>
  <c r="DA20" i="4" s="1"/>
  <c r="CL20" i="4"/>
  <c r="CK20" i="4"/>
  <c r="BW20" i="4"/>
  <c r="BV20" i="4"/>
  <c r="BH20" i="4"/>
  <c r="BG20" i="4"/>
  <c r="AR20" i="4"/>
  <c r="AS20" i="4" s="1"/>
  <c r="AD20" i="4"/>
  <c r="M20" i="4"/>
  <c r="F20" i="4"/>
  <c r="E20" i="4"/>
  <c r="D20" i="4"/>
  <c r="C20" i="4"/>
  <c r="B20" i="4"/>
  <c r="A20" i="4"/>
  <c r="EE19" i="4"/>
  <c r="ED19" i="4"/>
  <c r="DP19" i="4"/>
  <c r="DO19" i="4"/>
  <c r="DA19" i="4"/>
  <c r="CZ19" i="4"/>
  <c r="CK19" i="4"/>
  <c r="CL19" i="4" s="1"/>
  <c r="BW19" i="4"/>
  <c r="BV19" i="4"/>
  <c r="BH19" i="4"/>
  <c r="BG19" i="4"/>
  <c r="AS19" i="4"/>
  <c r="AR19" i="4"/>
  <c r="AD19" i="4"/>
  <c r="M19" i="4"/>
  <c r="F19" i="4"/>
  <c r="E19" i="4"/>
  <c r="D19" i="4"/>
  <c r="C19" i="4"/>
  <c r="B19" i="4"/>
  <c r="A19" i="4"/>
  <c r="ED18" i="4"/>
  <c r="EE18" i="4" s="1"/>
  <c r="DP18" i="4"/>
  <c r="DO18" i="4"/>
  <c r="DA18" i="4"/>
  <c r="CZ18" i="4"/>
  <c r="CL18" i="4"/>
  <c r="CK18" i="4"/>
  <c r="BV18" i="4"/>
  <c r="BW18" i="4" s="1"/>
  <c r="BH18" i="4"/>
  <c r="BG18" i="4"/>
  <c r="AR18" i="4"/>
  <c r="AD18" i="4"/>
  <c r="AS18" i="4" s="1"/>
  <c r="M18" i="4"/>
  <c r="F18" i="4"/>
  <c r="E18" i="4"/>
  <c r="D18" i="4"/>
  <c r="C18" i="4"/>
  <c r="B18" i="4"/>
  <c r="A18" i="4"/>
  <c r="EE17" i="4"/>
  <c r="ED17" i="4"/>
  <c r="DO17" i="4"/>
  <c r="DP17" i="4" s="1"/>
  <c r="DA17" i="4"/>
  <c r="CZ17" i="4"/>
  <c r="CL17" i="4"/>
  <c r="CK17" i="4"/>
  <c r="BW17" i="4"/>
  <c r="BV17" i="4"/>
  <c r="BG17" i="4"/>
  <c r="BH17" i="4" s="1"/>
  <c r="AS17" i="4"/>
  <c r="AR17" i="4"/>
  <c r="AD17" i="4"/>
  <c r="M17" i="4"/>
  <c r="F17" i="4"/>
  <c r="E17" i="4"/>
  <c r="D17" i="4"/>
  <c r="C17" i="4"/>
  <c r="B17" i="4"/>
  <c r="A17" i="4"/>
  <c r="EE16" i="4"/>
  <c r="ED16" i="4"/>
  <c r="DP16" i="4"/>
  <c r="DO16" i="4"/>
  <c r="CZ16" i="4"/>
  <c r="DA16" i="4" s="1"/>
  <c r="CL16" i="4"/>
  <c r="CK16" i="4"/>
  <c r="BW16" i="4"/>
  <c r="BV16" i="4"/>
  <c r="BH16" i="4"/>
  <c r="BG16" i="4"/>
  <c r="AR16" i="4"/>
  <c r="AS16" i="4" s="1"/>
  <c r="AD16" i="4"/>
  <c r="M16" i="4"/>
  <c r="H16" i="4"/>
  <c r="F16" i="4"/>
  <c r="E16" i="4"/>
  <c r="D16" i="4"/>
  <c r="C16" i="4"/>
  <c r="B16" i="4"/>
  <c r="A16" i="4"/>
  <c r="EE15" i="4"/>
  <c r="ED15" i="4"/>
  <c r="DP15" i="4"/>
  <c r="DO15" i="4"/>
  <c r="CZ15" i="4"/>
  <c r="DA15" i="4" s="1"/>
  <c r="CL15" i="4"/>
  <c r="CK15" i="4"/>
  <c r="BW15" i="4"/>
  <c r="BV15" i="4"/>
  <c r="BH15" i="4"/>
  <c r="BG15" i="4"/>
  <c r="AR15" i="4"/>
  <c r="AS15" i="4" s="1"/>
  <c r="AD15" i="4"/>
  <c r="M15" i="4"/>
  <c r="H15" i="4"/>
  <c r="F15" i="4"/>
  <c r="E15" i="4"/>
  <c r="D15" i="4"/>
  <c r="C15" i="4"/>
  <c r="B15" i="4"/>
  <c r="A15" i="4"/>
  <c r="EE14" i="4"/>
  <c r="ED14" i="4"/>
  <c r="DP14" i="4"/>
  <c r="DO14" i="4"/>
  <c r="CZ14" i="4"/>
  <c r="DA14" i="4" s="1"/>
  <c r="CL14" i="4"/>
  <c r="CK14" i="4"/>
  <c r="BW14" i="4"/>
  <c r="BV14" i="4"/>
  <c r="BH14" i="4"/>
  <c r="BG14" i="4"/>
  <c r="AR14" i="4"/>
  <c r="AS14" i="4" s="1"/>
  <c r="AD14" i="4"/>
  <c r="M14" i="4"/>
  <c r="H14" i="4"/>
  <c r="F14" i="4"/>
  <c r="E14" i="4"/>
  <c r="D14" i="4"/>
  <c r="C14" i="4"/>
  <c r="B14" i="4"/>
  <c r="A14" i="4"/>
  <c r="M13" i="4"/>
  <c r="H13" i="4"/>
  <c r="F13" i="4"/>
  <c r="E13" i="4"/>
  <c r="D13" i="4"/>
  <c r="C13" i="4"/>
  <c r="B13" i="4"/>
  <c r="A13" i="4"/>
  <c r="ED12" i="4"/>
  <c r="DO12" i="4"/>
  <c r="DP12" i="4" s="1"/>
  <c r="CZ12" i="4"/>
  <c r="DA12" i="4" s="1"/>
  <c r="CK12" i="4"/>
  <c r="CL12" i="4" s="1"/>
  <c r="BV12" i="4"/>
  <c r="BW12" i="4" s="1"/>
  <c r="BH12" i="4"/>
  <c r="BG12" i="4"/>
  <c r="AS12" i="4"/>
  <c r="AR12" i="4"/>
  <c r="AD12" i="4"/>
  <c r="M12" i="4"/>
  <c r="H12" i="4"/>
  <c r="F12" i="4"/>
  <c r="E12" i="4"/>
  <c r="D12" i="4"/>
  <c r="C12" i="4"/>
  <c r="B12" i="4"/>
  <c r="A12" i="4"/>
  <c r="ED11" i="4"/>
  <c r="DP11" i="4"/>
  <c r="DO11" i="4"/>
  <c r="DA11" i="4"/>
  <c r="CZ11" i="4"/>
  <c r="CL11" i="4"/>
  <c r="CK11" i="4"/>
  <c r="BV11" i="4"/>
  <c r="BG11" i="4"/>
  <c r="BH11" i="4" s="1"/>
  <c r="AS11" i="4"/>
  <c r="AR11" i="4"/>
  <c r="AD11" i="4"/>
  <c r="M11" i="4"/>
  <c r="H11" i="4"/>
  <c r="F11" i="4"/>
  <c r="E11" i="4"/>
  <c r="D11" i="4"/>
  <c r="C11" i="4"/>
  <c r="B11" i="4"/>
  <c r="A11" i="4"/>
  <c r="ED10" i="4"/>
  <c r="EE10" i="4" s="1"/>
  <c r="DO10" i="4"/>
  <c r="DP10" i="4" s="1"/>
  <c r="CZ10" i="4"/>
  <c r="DA10" i="4" s="1"/>
  <c r="CL10" i="4"/>
  <c r="CK10" i="4"/>
  <c r="BV10" i="4"/>
  <c r="BW10" i="4" s="1"/>
  <c r="BH10" i="4"/>
  <c r="BG10" i="4"/>
  <c r="AR10" i="4"/>
  <c r="AS10" i="4" s="1"/>
  <c r="AD10" i="4"/>
  <c r="M10" i="4"/>
  <c r="H10" i="4"/>
  <c r="F10" i="4"/>
  <c r="E10" i="4"/>
  <c r="D10" i="4"/>
  <c r="C10" i="4"/>
  <c r="B10" i="4"/>
  <c r="A10" i="4"/>
  <c r="ED9" i="4"/>
  <c r="EE9" i="4" s="1"/>
  <c r="DO9" i="4"/>
  <c r="DP9" i="4" s="1"/>
  <c r="DA9" i="4"/>
  <c r="CZ9" i="4"/>
  <c r="CK9" i="4"/>
  <c r="CL9" i="4" s="1"/>
  <c r="BV9" i="4"/>
  <c r="BW9" i="4" s="1"/>
  <c r="BG9" i="4"/>
  <c r="AR9" i="4"/>
  <c r="BH9" i="4" s="1"/>
  <c r="AD9" i="4"/>
  <c r="M9" i="4"/>
  <c r="H9" i="4"/>
  <c r="F9" i="4"/>
  <c r="E9" i="4"/>
  <c r="D9" i="4"/>
  <c r="C9" i="4"/>
  <c r="B9" i="4"/>
  <c r="A9" i="4"/>
  <c r="ED8" i="4"/>
  <c r="DO8" i="4"/>
  <c r="DP8" i="4" s="1"/>
  <c r="CZ8" i="4"/>
  <c r="CK8" i="4"/>
  <c r="DA8" i="4" s="1"/>
  <c r="BV8" i="4"/>
  <c r="BG8" i="4"/>
  <c r="BH8" i="4" s="1"/>
  <c r="AS8" i="4"/>
  <c r="AR8" i="4"/>
  <c r="AD8" i="4"/>
  <c r="M8" i="4"/>
  <c r="H8" i="4"/>
  <c r="F8" i="4"/>
  <c r="E8" i="4"/>
  <c r="D8" i="4"/>
  <c r="C8" i="4"/>
  <c r="B8" i="4"/>
  <c r="A8" i="4"/>
  <c r="ED7" i="4"/>
  <c r="EE7" i="4" s="1"/>
  <c r="DP7" i="4"/>
  <c r="DO7" i="4"/>
  <c r="CZ7" i="4"/>
  <c r="DA7" i="4" s="1"/>
  <c r="CL7" i="4"/>
  <c r="CK7" i="4"/>
  <c r="BV7" i="4"/>
  <c r="BG7" i="4"/>
  <c r="BH7" i="4" s="1"/>
  <c r="AR7" i="4"/>
  <c r="AS7" i="4" s="1"/>
  <c r="AD7" i="4"/>
  <c r="M7" i="4"/>
  <c r="H7" i="4"/>
  <c r="F7" i="4"/>
  <c r="E7" i="4"/>
  <c r="D7" i="4"/>
  <c r="C7" i="4"/>
  <c r="B7" i="4"/>
  <c r="A7" i="4"/>
  <c r="ED6" i="4"/>
  <c r="EE6" i="4" s="1"/>
  <c r="DP6" i="4"/>
  <c r="DO6" i="4"/>
  <c r="CZ6" i="4"/>
  <c r="DA6" i="4" s="1"/>
  <c r="CK6" i="4"/>
  <c r="CL6" i="4" s="1"/>
  <c r="BV6" i="4"/>
  <c r="BH6" i="4"/>
  <c r="BG6" i="4"/>
  <c r="AR6" i="4"/>
  <c r="AS6" i="4" s="1"/>
  <c r="AD6" i="4"/>
  <c r="M6" i="4"/>
  <c r="H6" i="4"/>
  <c r="F6" i="4"/>
  <c r="E6" i="4"/>
  <c r="D6" i="4"/>
  <c r="C6" i="4"/>
  <c r="B6" i="4"/>
  <c r="A6" i="4"/>
  <c r="ED5" i="4"/>
  <c r="DO5" i="4"/>
  <c r="DP5" i="4" s="1"/>
  <c r="DA5" i="4"/>
  <c r="CZ5" i="4"/>
  <c r="CK5" i="4"/>
  <c r="CL5" i="4" s="1"/>
  <c r="BV5" i="4"/>
  <c r="BW5" i="4" s="1"/>
  <c r="BG5" i="4"/>
  <c r="BH5" i="4" s="1"/>
  <c r="AR5" i="4"/>
  <c r="AS5" i="4" s="1"/>
  <c r="AD5" i="4"/>
  <c r="M5" i="4"/>
  <c r="H5" i="4"/>
  <c r="F5" i="4"/>
  <c r="E5" i="4"/>
  <c r="D5" i="4"/>
  <c r="C5" i="4"/>
  <c r="B5" i="4"/>
  <c r="A5" i="4"/>
  <c r="ED4" i="4"/>
  <c r="DO4" i="4"/>
  <c r="DP4" i="4" s="1"/>
  <c r="CZ4" i="4"/>
  <c r="DA4" i="4" s="1"/>
  <c r="CK4" i="4"/>
  <c r="CL4" i="4" s="1"/>
  <c r="BV4" i="4"/>
  <c r="BW4" i="4" s="1"/>
  <c r="BG4" i="4"/>
  <c r="BH4" i="4" s="1"/>
  <c r="AS4" i="4"/>
  <c r="AR4" i="4"/>
  <c r="AD4" i="4"/>
  <c r="M4" i="4"/>
  <c r="H4" i="4"/>
  <c r="F4" i="4"/>
  <c r="E4" i="4"/>
  <c r="D4" i="4"/>
  <c r="C4" i="4"/>
  <c r="B4" i="4"/>
  <c r="A4" i="4"/>
  <c r="K4" i="3"/>
  <c r="H4" i="3"/>
  <c r="F4" i="3"/>
  <c r="E4" i="3"/>
  <c r="D4" i="3"/>
  <c r="C4" i="3"/>
  <c r="AB52" i="2"/>
  <c r="Y52" i="2"/>
  <c r="V52" i="2"/>
  <c r="U52" i="2"/>
  <c r="R52" i="2"/>
  <c r="S52" i="2" s="1"/>
  <c r="L52" i="2"/>
  <c r="J52" i="2"/>
  <c r="H52" i="2"/>
  <c r="F52" i="2"/>
  <c r="G52" i="2" s="1"/>
  <c r="AB45" i="2"/>
  <c r="Y45" i="2"/>
  <c r="V45" i="2"/>
  <c r="U45" i="2"/>
  <c r="R45" i="2"/>
  <c r="S45" i="2" s="1"/>
  <c r="L45" i="2"/>
  <c r="J45" i="2"/>
  <c r="F45" i="2"/>
  <c r="G45" i="2" s="1"/>
  <c r="AB38" i="2"/>
  <c r="Y38" i="2"/>
  <c r="V38" i="2"/>
  <c r="U38" i="2"/>
  <c r="R38" i="2"/>
  <c r="S38" i="2" s="1"/>
  <c r="L38" i="2"/>
  <c r="J38" i="2"/>
  <c r="F38" i="2"/>
  <c r="G38" i="2" s="1"/>
  <c r="AB31" i="2"/>
  <c r="Y31" i="2"/>
  <c r="V31" i="2"/>
  <c r="U31" i="2"/>
  <c r="R31" i="2"/>
  <c r="S31" i="2" s="1"/>
  <c r="L31" i="2"/>
  <c r="J31" i="2"/>
  <c r="F31" i="2"/>
  <c r="H38" i="2" s="1"/>
  <c r="AB24" i="2"/>
  <c r="Y24" i="2"/>
  <c r="V24" i="2"/>
  <c r="U24" i="2"/>
  <c r="S24" i="2"/>
  <c r="R24" i="2"/>
  <c r="L24" i="2"/>
  <c r="J24" i="2"/>
  <c r="F24" i="2"/>
  <c r="H24" i="2" s="1"/>
  <c r="AB17" i="2"/>
  <c r="Y17" i="2"/>
  <c r="V17" i="2"/>
  <c r="U17" i="2"/>
  <c r="S17" i="2"/>
  <c r="R17" i="2"/>
  <c r="L17" i="2"/>
  <c r="J17" i="2"/>
  <c r="H17" i="2"/>
  <c r="F17" i="2"/>
  <c r="G17" i="2" s="1"/>
  <c r="C17" i="2"/>
  <c r="C24" i="2" s="1"/>
  <c r="C31" i="2" s="1"/>
  <c r="C38" i="2" s="1"/>
  <c r="C45" i="2" s="1"/>
  <c r="C52" i="2" s="1"/>
  <c r="AB10" i="2"/>
  <c r="Y10" i="2"/>
  <c r="V10" i="2"/>
  <c r="U10" i="2"/>
  <c r="R10" i="2"/>
  <c r="S10" i="2" s="1"/>
  <c r="L10" i="2"/>
  <c r="J10" i="2"/>
  <c r="H10" i="2"/>
  <c r="G10" i="2"/>
  <c r="F10" i="2"/>
  <c r="C10" i="2"/>
  <c r="B5" i="2"/>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4" i="2"/>
  <c r="AB3" i="2"/>
  <c r="Y3" i="2"/>
  <c r="V3" i="2"/>
  <c r="U3" i="2"/>
  <c r="R3" i="2"/>
  <c r="S3" i="2" s="1"/>
  <c r="L3" i="2"/>
  <c r="J3" i="2"/>
  <c r="F3" i="2"/>
  <c r="K44" i="1"/>
  <c r="J44" i="1"/>
  <c r="K43" i="1"/>
  <c r="J43" i="1"/>
  <c r="K42" i="1"/>
  <c r="J42" i="1"/>
  <c r="K41" i="1"/>
  <c r="J41" i="1"/>
  <c r="L36" i="1"/>
  <c r="M32" i="1"/>
  <c r="L32" i="1"/>
  <c r="K32" i="1"/>
  <c r="J32" i="1"/>
  <c r="M31" i="1"/>
  <c r="L31" i="1"/>
  <c r="K31" i="1"/>
  <c r="J31" i="1"/>
  <c r="M30" i="1"/>
  <c r="L30" i="1"/>
  <c r="K30" i="1"/>
  <c r="J30" i="1"/>
  <c r="M14" i="1"/>
  <c r="L14" i="1"/>
  <c r="R13" i="1"/>
  <c r="Q13" i="1"/>
  <c r="P13" i="1"/>
  <c r="M13" i="1"/>
  <c r="L13" i="1"/>
  <c r="H13" i="1"/>
  <c r="G13" i="1"/>
  <c r="F13" i="1"/>
  <c r="E13" i="1"/>
  <c r="D13" i="1"/>
  <c r="L12" i="1" s="1"/>
  <c r="L15" i="1" s="1"/>
  <c r="M8" i="1"/>
  <c r="L8" i="1"/>
  <c r="M7" i="1"/>
  <c r="L7" i="1"/>
  <c r="H7" i="1"/>
  <c r="G7" i="1"/>
  <c r="F7" i="1"/>
  <c r="E7" i="1"/>
  <c r="R9" i="1" s="1"/>
  <c r="D7" i="1"/>
  <c r="L6" i="1" s="1"/>
  <c r="I16" i="4" l="1"/>
  <c r="I8" i="4"/>
  <c r="T13" i="1"/>
  <c r="M15" i="1"/>
  <c r="M9" i="1"/>
  <c r="L9" i="1"/>
  <c r="BW61" i="4"/>
  <c r="BH61" i="4"/>
  <c r="DP69" i="4"/>
  <c r="DA69" i="4"/>
  <c r="P14" i="1"/>
  <c r="Q14" i="1"/>
  <c r="BW6" i="4"/>
  <c r="I9" i="4"/>
  <c r="EE11" i="4"/>
  <c r="AS47" i="4"/>
  <c r="DA51" i="4"/>
  <c r="BH57" i="4"/>
  <c r="DA64" i="4"/>
  <c r="CL64" i="4"/>
  <c r="EE66" i="4"/>
  <c r="DP66" i="4"/>
  <c r="O36" i="8"/>
  <c r="G42" i="8"/>
  <c r="I12" i="4"/>
  <c r="R14" i="1"/>
  <c r="H31" i="2"/>
  <c r="I6" i="4"/>
  <c r="EE8" i="4"/>
  <c r="BW11" i="4"/>
  <c r="CL27" i="4"/>
  <c r="DP30" i="4"/>
  <c r="BW36" i="4"/>
  <c r="DA37" i="4"/>
  <c r="EE40" i="4"/>
  <c r="BH42" i="4"/>
  <c r="CL46" i="4"/>
  <c r="DP47" i="4"/>
  <c r="AS51" i="4"/>
  <c r="BW52" i="4"/>
  <c r="DA56" i="4"/>
  <c r="EE57" i="4"/>
  <c r="DP60" i="4"/>
  <c r="DA60" i="4"/>
  <c r="EE62" i="4"/>
  <c r="BH69" i="4"/>
  <c r="AS69" i="4"/>
  <c r="CL71" i="4"/>
  <c r="BW71" i="4"/>
  <c r="O35" i="8"/>
  <c r="O43" i="8"/>
  <c r="I4" i="4"/>
  <c r="G31" i="2"/>
  <c r="P9" i="1"/>
  <c r="EE5" i="4"/>
  <c r="BW8" i="4"/>
  <c r="I11" i="4"/>
  <c r="BH30" i="4"/>
  <c r="BW40" i="4"/>
  <c r="DA41" i="4"/>
  <c r="EE45" i="4"/>
  <c r="AS56" i="4"/>
  <c r="BW57" i="4"/>
  <c r="BW66" i="4"/>
  <c r="BH66" i="4"/>
  <c r="O13" i="8"/>
  <c r="G39" i="8"/>
  <c r="O34" i="8"/>
  <c r="Q9" i="1"/>
  <c r="BH60" i="4"/>
  <c r="AS60" i="4"/>
  <c r="CL62" i="4"/>
  <c r="BW62" i="4"/>
  <c r="DA68" i="4"/>
  <c r="CL68" i="4"/>
  <c r="EE70" i="4"/>
  <c r="DP70" i="4"/>
  <c r="M23" i="8"/>
  <c r="M5" i="8" s="1"/>
  <c r="M6" i="8" s="1"/>
  <c r="D31" i="8"/>
  <c r="L39" i="8"/>
  <c r="O33" i="8"/>
  <c r="E47" i="8"/>
  <c r="H45" i="2"/>
  <c r="I5" i="4"/>
  <c r="CL8" i="4"/>
  <c r="AS9" i="4"/>
  <c r="I13" i="4"/>
  <c r="AS29" i="4"/>
  <c r="BW30" i="4"/>
  <c r="DA34" i="4"/>
  <c r="EE35" i="4"/>
  <c r="BH39" i="4"/>
  <c r="DP44" i="4"/>
  <c r="BW49" i="4"/>
  <c r="DA50" i="4"/>
  <c r="EE54" i="4"/>
  <c r="BH56" i="4"/>
  <c r="CL59" i="4"/>
  <c r="DP65" i="4"/>
  <c r="DA65" i="4"/>
  <c r="F15" i="8"/>
  <c r="F5" i="8" s="1"/>
  <c r="F6" i="8" s="1"/>
  <c r="N23" i="8"/>
  <c r="N5" i="8" s="1"/>
  <c r="N6" i="8" s="1"/>
  <c r="E31" i="8"/>
  <c r="E5" i="8" s="1"/>
  <c r="E6" i="8" s="1"/>
  <c r="M39" i="8"/>
  <c r="G24" i="2"/>
  <c r="EE4" i="4"/>
  <c r="BW7" i="4"/>
  <c r="I10" i="4"/>
  <c r="EE12" i="4"/>
  <c r="I14" i="4"/>
  <c r="I15" i="4"/>
  <c r="CL28" i="4"/>
  <c r="DP29" i="4"/>
  <c r="BW35" i="4"/>
  <c r="DA38" i="4"/>
  <c r="EE39" i="4"/>
  <c r="BH44" i="4"/>
  <c r="CL45" i="4"/>
  <c r="DP48" i="4"/>
  <c r="BW54" i="4"/>
  <c r="DA55" i="4"/>
  <c r="EE58" i="4"/>
  <c r="EE61" i="4"/>
  <c r="DP61" i="4"/>
  <c r="BW70" i="4"/>
  <c r="BH70" i="4"/>
  <c r="G9" i="8"/>
  <c r="G15" i="8" s="1"/>
  <c r="O17" i="8"/>
  <c r="O23" i="8" s="1"/>
  <c r="F31" i="8"/>
  <c r="O41" i="8"/>
  <c r="O47" i="8" s="1"/>
  <c r="G55" i="8"/>
  <c r="I7" i="4"/>
  <c r="EE27" i="4"/>
  <c r="BH29" i="4"/>
  <c r="CL32" i="4"/>
  <c r="AS38" i="4"/>
  <c r="BW39" i="4"/>
  <c r="DA42" i="4"/>
  <c r="BH65" i="4"/>
  <c r="AS65" i="4"/>
  <c r="CL67" i="4"/>
  <c r="BW67" i="4"/>
  <c r="DA72" i="4"/>
  <c r="CL72" i="4"/>
  <c r="L15" i="8"/>
  <c r="L5" i="8" s="1"/>
  <c r="L6" i="8" s="1"/>
  <c r="O9" i="8"/>
  <c r="O15" i="8" s="1"/>
  <c r="D23" i="8"/>
  <c r="D5" i="8" s="1"/>
  <c r="D6" i="8" s="1"/>
  <c r="G25" i="8"/>
  <c r="G31" i="8" s="1"/>
  <c r="G43" i="8"/>
  <c r="D55" i="8"/>
  <c r="G41" i="8"/>
  <c r="O49" i="8"/>
  <c r="O55" i="8" s="1"/>
  <c r="T9" i="1" l="1"/>
  <c r="R10" i="1" s="1"/>
  <c r="O39" i="8"/>
  <c r="O5" i="8" s="1"/>
  <c r="O6" i="8" s="1"/>
  <c r="G47" i="8"/>
  <c r="G5" i="8"/>
  <c r="G6" i="8" s="1"/>
  <c r="P10" i="1" l="1"/>
  <c r="Q10" i="1"/>
</calcChain>
</file>

<file path=xl/sharedStrings.xml><?xml version="1.0" encoding="utf-8"?>
<sst xmlns="http://schemas.openxmlformats.org/spreadsheetml/2006/main" count="5277" uniqueCount="2286">
  <si>
    <t>Suplementos Recomendados:</t>
  </si>
  <si>
    <t>Próxima atualização:</t>
  </si>
  <si>
    <t>Ver folha de suplementos</t>
  </si>
  <si>
    <t>Fim do Pack:</t>
  </si>
  <si>
    <t>DADOS PESSOAIS</t>
  </si>
  <si>
    <t>HOMEM</t>
  </si>
  <si>
    <t>METAS DIÁRIAS</t>
  </si>
  <si>
    <t>Calculo Macros</t>
  </si>
  <si>
    <t>Peso</t>
  </si>
  <si>
    <t xml:space="preserve">Taxa Metabólica Basal </t>
  </si>
  <si>
    <t>Peso(kg)</t>
  </si>
  <si>
    <t>Altura(cm)</t>
  </si>
  <si>
    <t>Idade</t>
  </si>
  <si>
    <t>Nivel Actividade Fisica</t>
  </si>
  <si>
    <t>Ajuste</t>
  </si>
  <si>
    <t>Kcal</t>
  </si>
  <si>
    <t>Kcal diárias</t>
  </si>
  <si>
    <t>Altura</t>
  </si>
  <si>
    <t>Proteina</t>
  </si>
  <si>
    <t xml:space="preserve">Gordura </t>
  </si>
  <si>
    <t>Hidratos</t>
  </si>
  <si>
    <t>Gordura</t>
  </si>
  <si>
    <t>Objectivo (g/kg)</t>
  </si>
  <si>
    <t>Tipo actividade fisica</t>
  </si>
  <si>
    <t>Total (gramas)</t>
  </si>
  <si>
    <t>Total (% Kcal)</t>
  </si>
  <si>
    <t>OBJETIVO</t>
  </si>
  <si>
    <t>MULHER</t>
  </si>
  <si>
    <t>Ganhar massa muscular e melhorar mobilidade</t>
  </si>
  <si>
    <t>Objectivo (%)</t>
  </si>
  <si>
    <t>Limitações</t>
  </si>
  <si>
    <t>Total (g/kg)</t>
  </si>
  <si>
    <t xml:space="preserve">Trombo na perna que apanhou os dois pulmões </t>
  </si>
  <si>
    <t>Artrite</t>
  </si>
  <si>
    <t>Macros a utilizar</t>
  </si>
  <si>
    <r>
      <rPr>
        <i/>
        <sz val="12"/>
        <color theme="1"/>
        <rFont val="Calibri"/>
      </rPr>
      <t>1. Sedentários</t>
    </r>
    <r>
      <rPr>
        <sz val="12"/>
        <color theme="1"/>
        <rFont val="Calibri"/>
      </rPr>
      <t xml:space="preserve"> = </t>
    </r>
    <r>
      <rPr>
        <b/>
        <sz val="12"/>
        <color theme="1"/>
        <rFont val="Calibri"/>
      </rPr>
      <t>1.2</t>
    </r>
    <r>
      <rPr>
        <sz val="12"/>
        <color theme="1"/>
        <rFont val="Calibri"/>
      </rPr>
      <t xml:space="preserve"> (pouco ou nenhum exercício)</t>
    </r>
  </si>
  <si>
    <t>Observações</t>
  </si>
  <si>
    <r>
      <rPr>
        <i/>
        <sz val="12"/>
        <color theme="1"/>
        <rFont val="Calibri"/>
      </rPr>
      <t>2. Levemente ativo</t>
    </r>
    <r>
      <rPr>
        <sz val="12"/>
        <color theme="1"/>
        <rFont val="Calibri"/>
      </rPr>
      <t xml:space="preserve"> = </t>
    </r>
    <r>
      <rPr>
        <b/>
        <sz val="12"/>
        <color theme="1"/>
        <rFont val="Calibri"/>
      </rPr>
      <t>1.375</t>
    </r>
    <r>
      <rPr>
        <sz val="12"/>
        <color theme="1"/>
        <rFont val="Calibri"/>
      </rPr>
      <t xml:space="preserve"> (exercício leve 1 a 3 dias por semana)</t>
    </r>
  </si>
  <si>
    <t>Consumos</t>
  </si>
  <si>
    <t>Treino</t>
  </si>
  <si>
    <r>
      <rPr>
        <i/>
        <sz val="12"/>
        <color theme="1"/>
        <rFont val="Calibri"/>
      </rPr>
      <t>3. Moderadamente ativo</t>
    </r>
    <r>
      <rPr>
        <sz val="12"/>
        <color theme="1"/>
        <rFont val="Calibri"/>
      </rPr>
      <t xml:space="preserve"> = </t>
    </r>
    <r>
      <rPr>
        <b/>
        <sz val="12"/>
        <color theme="1"/>
        <rFont val="Calibri"/>
      </rPr>
      <t>1.55</t>
    </r>
    <r>
      <rPr>
        <sz val="12"/>
        <color theme="1"/>
        <rFont val="Calibri"/>
      </rPr>
      <t xml:space="preserve"> (exercício moderado, faz desporto 3 a 5 dias por semana)</t>
    </r>
  </si>
  <si>
    <t>Frequência semanal</t>
  </si>
  <si>
    <r>
      <rPr>
        <i/>
        <sz val="12"/>
        <color theme="1"/>
        <rFont val="Calibri"/>
      </rPr>
      <t>4. Altamente ativo</t>
    </r>
    <r>
      <rPr>
        <sz val="12"/>
        <color theme="1"/>
        <rFont val="Calibri"/>
      </rPr>
      <t xml:space="preserve"> = </t>
    </r>
    <r>
      <rPr>
        <b/>
        <sz val="12"/>
        <color theme="1"/>
        <rFont val="Calibri"/>
      </rPr>
      <t>1.725</t>
    </r>
    <r>
      <rPr>
        <sz val="12"/>
        <color theme="1"/>
        <rFont val="Calibri"/>
      </rPr>
      <t xml:space="preserve"> (exercício pesado de 5 a 6 dias por semana)</t>
    </r>
  </si>
  <si>
    <t>Duração treino</t>
  </si>
  <si>
    <r>
      <rPr>
        <i/>
        <sz val="12"/>
        <color theme="1"/>
        <rFont val="Calibri"/>
      </rPr>
      <t>5. Extremamente ativo</t>
    </r>
    <r>
      <rPr>
        <sz val="12"/>
        <color theme="1"/>
        <rFont val="Calibri"/>
      </rPr>
      <t xml:space="preserve"> = </t>
    </r>
    <r>
      <rPr>
        <b/>
        <sz val="12"/>
        <color theme="1"/>
        <rFont val="Calibri"/>
      </rPr>
      <t>1.9</t>
    </r>
    <r>
      <rPr>
        <sz val="12"/>
        <color theme="1"/>
        <rFont val="Calibri"/>
      </rPr>
      <t xml:space="preserve"> (exercício pesado diariamente e até 2 vezes por dia)</t>
    </r>
  </si>
  <si>
    <t>Alimentação</t>
  </si>
  <si>
    <t>Rótulo</t>
  </si>
  <si>
    <t>CUPÃO DE DESCONTO NA PROZIS</t>
  </si>
  <si>
    <t>Ganhos de músculo</t>
  </si>
  <si>
    <t>Contou Kcal</t>
  </si>
  <si>
    <t>Mês</t>
  </si>
  <si>
    <t>homem</t>
  </si>
  <si>
    <t>mulher</t>
  </si>
  <si>
    <t>Balança cozinha</t>
  </si>
  <si>
    <t>http://prozis.com/nBW7</t>
  </si>
  <si>
    <t>Iniciantes</t>
  </si>
  <si>
    <t>Sono</t>
  </si>
  <si>
    <t>Intermediários</t>
  </si>
  <si>
    <t>Hidratação</t>
  </si>
  <si>
    <t>Pontos Chave Alimentação</t>
  </si>
  <si>
    <t>Avançados</t>
  </si>
  <si>
    <t>Compromisso</t>
  </si>
  <si>
    <t>20-40g Proteina por refeição (ou 0,25-0,4g/kg) entre cada 3-4h</t>
  </si>
  <si>
    <t>gramas/semana</t>
  </si>
  <si>
    <t>Perspectiva</t>
  </si>
  <si>
    <t>3-6 refeições por dia</t>
  </si>
  <si>
    <t>40-50% dos hidratos diários consumidos nas refeições antes e depois do treino</t>
  </si>
  <si>
    <t>Consumir 10g de Fibra por cada 1000kcal</t>
  </si>
  <si>
    <t>2 Porções de fruta e 2 de Vegetais</t>
  </si>
  <si>
    <t>Perda peso</t>
  </si>
  <si>
    <t>Refeição até uma hora antes do treino</t>
  </si>
  <si>
    <t>% peso a perder</t>
  </si>
  <si>
    <t>IMC</t>
  </si>
  <si>
    <t>Mais Hidratos</t>
  </si>
  <si>
    <t>Obeso</t>
  </si>
  <si>
    <t>Menos Gordura</t>
  </si>
  <si>
    <t>Excesso peso</t>
  </si>
  <si>
    <t>Menos Fibra</t>
  </si>
  <si>
    <t>Normal</t>
  </si>
  <si>
    <t>Razoavel Proteina</t>
  </si>
  <si>
    <t>Atlético</t>
  </si>
  <si>
    <t>Gramas perdidas por semana</t>
  </si>
  <si>
    <t>Data</t>
  </si>
  <si>
    <t>Semana</t>
  </si>
  <si>
    <t>Fase</t>
  </si>
  <si>
    <t>diário</t>
  </si>
  <si>
    <t>média</t>
  </si>
  <si>
    <t>Dif</t>
  </si>
  <si>
    <t>%</t>
  </si>
  <si>
    <t xml:space="preserve">Passos </t>
  </si>
  <si>
    <t>Horas de sono</t>
  </si>
  <si>
    <t>Stress</t>
  </si>
  <si>
    <t>Energia</t>
  </si>
  <si>
    <t>Fome</t>
  </si>
  <si>
    <t>Meta</t>
  </si>
  <si>
    <t>ingerido</t>
  </si>
  <si>
    <t>diferença</t>
  </si>
  <si>
    <t>Hidratos (gr)</t>
  </si>
  <si>
    <t>Meta Hidratos</t>
  </si>
  <si>
    <t>Média semanal</t>
  </si>
  <si>
    <t>Proteína (gr)</t>
  </si>
  <si>
    <t>Meta Proteína</t>
  </si>
  <si>
    <t>Gordura (gr)</t>
  </si>
  <si>
    <t>Meta  Gordura</t>
  </si>
  <si>
    <t>Fibra</t>
  </si>
  <si>
    <t>(1-5)</t>
  </si>
  <si>
    <t>Macros</t>
  </si>
  <si>
    <t>s</t>
  </si>
  <si>
    <t>d</t>
  </si>
  <si>
    <t>t</t>
  </si>
  <si>
    <t>q</t>
  </si>
  <si>
    <t>Perimetros</t>
  </si>
  <si>
    <t>Objectivo:</t>
  </si>
  <si>
    <t xml:space="preserve">Data proximo update: </t>
  </si>
  <si>
    <t>Diferenças</t>
  </si>
  <si>
    <t>Cintura</t>
  </si>
  <si>
    <t>Glúteo</t>
  </si>
  <si>
    <t>Coxa Drt.</t>
  </si>
  <si>
    <t>Coxa Esq.</t>
  </si>
  <si>
    <t>Braço Drt.</t>
  </si>
  <si>
    <t>Braço Esq.</t>
  </si>
  <si>
    <t>Gémeo Drt</t>
  </si>
  <si>
    <t>Gémeo Esq.</t>
  </si>
  <si>
    <t>Plano de Treino</t>
  </si>
  <si>
    <t xml:space="preserve">Semana 1 </t>
  </si>
  <si>
    <t xml:space="preserve">Semana 2 </t>
  </si>
  <si>
    <t xml:space="preserve">Semana 3 </t>
  </si>
  <si>
    <t>Semana 4</t>
  </si>
  <si>
    <t>Semana 5</t>
  </si>
  <si>
    <t>Semana 6</t>
  </si>
  <si>
    <t>Semana 7</t>
  </si>
  <si>
    <t>Semana 8</t>
  </si>
  <si>
    <t>Power inicial</t>
  </si>
  <si>
    <t>Total</t>
  </si>
  <si>
    <t>MÚSCULO</t>
  </si>
  <si>
    <t>TOTAL DE SERIES</t>
  </si>
  <si>
    <t>TREINO</t>
  </si>
  <si>
    <t>EXERCÍCIO</t>
  </si>
  <si>
    <t>Video</t>
  </si>
  <si>
    <t>Séries</t>
  </si>
  <si>
    <t>Reps</t>
  </si>
  <si>
    <t>Descanso</t>
  </si>
  <si>
    <t>R</t>
  </si>
  <si>
    <t>C</t>
  </si>
  <si>
    <t>F</t>
  </si>
  <si>
    <t>Sem.</t>
  </si>
  <si>
    <t>Dif.</t>
  </si>
  <si>
    <t>Agachamento cadeira</t>
  </si>
  <si>
    <t>Flexões mão elevadas</t>
  </si>
  <si>
    <t>Ponte Glúteos Chão</t>
  </si>
  <si>
    <t>Puxador vertical dorsal pronado</t>
  </si>
  <si>
    <t>Gémeos pé peso corpo</t>
  </si>
  <si>
    <t>Press ombro pé mochila</t>
  </si>
  <si>
    <t>Abdominal crunch</t>
  </si>
  <si>
    <t>NOTAS:</t>
  </si>
  <si>
    <t>Agachamento TRX</t>
  </si>
  <si>
    <t>Remada fechada TRX</t>
  </si>
  <si>
    <t>Peso morto romeno com elastico</t>
  </si>
  <si>
    <t>Flexões joelhos chão</t>
  </si>
  <si>
    <t>Cardio</t>
  </si>
  <si>
    <t>Press ombro sentado halteres</t>
  </si>
  <si>
    <t>Prancha frontal solo</t>
  </si>
  <si>
    <t>Dia 1</t>
  </si>
  <si>
    <t>Dia 2</t>
  </si>
  <si>
    <t>Dia 3</t>
  </si>
  <si>
    <t>Dia 4</t>
  </si>
  <si>
    <t>Dia 5</t>
  </si>
  <si>
    <t>Dia 6</t>
  </si>
  <si>
    <t>Dia 7</t>
  </si>
  <si>
    <t>NOTAS IMPORTANTES</t>
  </si>
  <si>
    <r>
      <rPr>
        <sz val="10"/>
        <color theme="1"/>
        <rFont val="Arial"/>
      </rPr>
      <t xml:space="preserve">Aquecimento para primeiro exercicio: 30% da carga, 15 repetições/ 60% da carga, 8-10 repetições/ 80% da carga, 5 a 6 repetições, 100% da carga 2 a 3 repetições </t>
    </r>
    <r>
      <rPr>
        <u/>
        <sz val="10"/>
        <color rgb="FF1155CC"/>
        <rFont val="Arial"/>
      </rPr>
      <t>https://www.instagram.com/reel/CrWG0H9A7KB/?igshid=YmMyMTA2M2Y=</t>
    </r>
  </si>
  <si>
    <t>As séries do treino são séries de trabalho, deves ficar entre as 2 e as 0 repetições da falhga muscular</t>
  </si>
  <si>
    <t xml:space="preserve">Sempre que conseguires fazer o limite máximo de repetições, na série seguinte aumenta a carga. Sempre que não conseguiures fazer o limite minimo de repetições, na série seguinte diminui a carga.
</t>
  </si>
  <si>
    <t>O foco deve estar na técnica, amplitude e controle do movmento</t>
  </si>
  <si>
    <t xml:space="preserve">FEEDBACK SEMANAL </t>
  </si>
  <si>
    <t>Ajuda-me a ajudar-te! Responde ás seguintes questões para que eu possa da melhor forma ajustar todas as variáveis para a próxima semana.</t>
  </si>
  <si>
    <r>
      <rPr>
        <sz val="11"/>
        <color theme="1"/>
        <rFont val="Noto Sans Symbols"/>
      </rPr>
      <t>·</t>
    </r>
    <r>
      <rPr>
        <sz val="7"/>
        <color theme="1"/>
        <rFont val="Times New Roman"/>
      </rPr>
      <t xml:space="preserve">         </t>
    </r>
    <r>
      <rPr>
        <sz val="11"/>
        <color theme="1"/>
        <rFont val="Calibri"/>
      </rPr>
      <t>O que achaste da semana em geral (progressão/regressão)?</t>
    </r>
  </si>
  <si>
    <r>
      <rPr>
        <sz val="11"/>
        <color theme="1"/>
        <rFont val="Noto Sans Symbols"/>
      </rPr>
      <t>·</t>
    </r>
    <r>
      <rPr>
        <sz val="7"/>
        <color theme="1"/>
        <rFont val="Times New Roman"/>
      </rPr>
      <t xml:space="preserve">         </t>
    </r>
    <r>
      <rPr>
        <sz val="11"/>
        <color theme="1"/>
        <rFont val="Calibri"/>
      </rPr>
      <t>O que correu bem (dieta/treino/descanso)?</t>
    </r>
  </si>
  <si>
    <r>
      <rPr>
        <sz val="11"/>
        <color theme="1"/>
        <rFont val="Noto Sans Symbols"/>
      </rPr>
      <t>·</t>
    </r>
    <r>
      <rPr>
        <sz val="7"/>
        <color theme="1"/>
        <rFont val="Times New Roman"/>
      </rPr>
      <t xml:space="preserve">         </t>
    </r>
    <r>
      <rPr>
        <sz val="11"/>
        <color theme="1"/>
        <rFont val="Calibri"/>
      </rPr>
      <t>Que dificuldade sentiste (dieta/treino/descanso)?</t>
    </r>
  </si>
  <si>
    <r>
      <rPr>
        <sz val="11"/>
        <color theme="1"/>
        <rFont val="Noto Sans Symbols"/>
      </rPr>
      <t>·</t>
    </r>
    <r>
      <rPr>
        <sz val="7"/>
        <color theme="1"/>
        <rFont val="Times New Roman"/>
      </rPr>
      <t xml:space="preserve">         </t>
    </r>
    <r>
      <rPr>
        <sz val="11"/>
        <color theme="1"/>
        <rFont val="Calibri"/>
      </rPr>
      <t>Qual a tua perspectiva para a próxima semana?</t>
    </r>
  </si>
  <si>
    <r>
      <rPr>
        <sz val="11"/>
        <color theme="1"/>
        <rFont val="Noto Sans Symbols"/>
      </rPr>
      <t>·</t>
    </r>
    <r>
      <rPr>
        <sz val="7"/>
        <color theme="1"/>
        <rFont val="Times New Roman"/>
      </rPr>
      <t xml:space="preserve">         </t>
    </r>
    <r>
      <rPr>
        <sz val="11"/>
        <color theme="1"/>
        <rFont val="Calibri"/>
      </rPr>
      <t>Qual a tua motivação para a próxima semana (1-10)?</t>
    </r>
  </si>
  <si>
    <r>
      <rPr>
        <sz val="11"/>
        <color theme="1"/>
        <rFont val="Noto Sans Symbols"/>
      </rPr>
      <t>·</t>
    </r>
    <r>
      <rPr>
        <sz val="7"/>
        <color theme="1"/>
        <rFont val="Times New Roman"/>
      </rPr>
      <t xml:space="preserve">         </t>
    </r>
    <r>
      <rPr>
        <sz val="11"/>
        <color theme="1"/>
        <rFont val="Calibri"/>
      </rPr>
      <t>O que achaste da semana em geral (progressão/regressão)?</t>
    </r>
  </si>
  <si>
    <r>
      <rPr>
        <sz val="11"/>
        <color theme="1"/>
        <rFont val="Noto Sans Symbols"/>
      </rPr>
      <t>·</t>
    </r>
    <r>
      <rPr>
        <sz val="7"/>
        <color theme="1"/>
        <rFont val="Times New Roman"/>
      </rPr>
      <t xml:space="preserve">         </t>
    </r>
    <r>
      <rPr>
        <sz val="11"/>
        <color theme="1"/>
        <rFont val="Calibri"/>
      </rPr>
      <t>O que correu bem (dieta/treino/descanso)?</t>
    </r>
  </si>
  <si>
    <r>
      <rPr>
        <sz val="11"/>
        <color theme="1"/>
        <rFont val="Noto Sans Symbols"/>
      </rPr>
      <t>·</t>
    </r>
    <r>
      <rPr>
        <sz val="7"/>
        <color theme="1"/>
        <rFont val="Times New Roman"/>
      </rPr>
      <t xml:space="preserve">         </t>
    </r>
    <r>
      <rPr>
        <sz val="11"/>
        <color theme="1"/>
        <rFont val="Calibri"/>
      </rPr>
      <t>Que dificuldade sentiste (dieta/treino/descanso)?</t>
    </r>
  </si>
  <si>
    <r>
      <rPr>
        <sz val="11"/>
        <color theme="1"/>
        <rFont val="Noto Sans Symbols"/>
      </rPr>
      <t>·</t>
    </r>
    <r>
      <rPr>
        <sz val="7"/>
        <color theme="1"/>
        <rFont val="Times New Roman"/>
      </rPr>
      <t xml:space="preserve">         </t>
    </r>
    <r>
      <rPr>
        <sz val="11"/>
        <color theme="1"/>
        <rFont val="Calibri"/>
      </rPr>
      <t>Qual a tua perspectiva para a próxima semana?</t>
    </r>
  </si>
  <si>
    <r>
      <rPr>
        <sz val="11"/>
        <color theme="1"/>
        <rFont val="Noto Sans Symbols"/>
      </rPr>
      <t>·</t>
    </r>
    <r>
      <rPr>
        <sz val="7"/>
        <color theme="1"/>
        <rFont val="Times New Roman"/>
      </rPr>
      <t xml:space="preserve">         </t>
    </r>
    <r>
      <rPr>
        <sz val="11"/>
        <color theme="1"/>
        <rFont val="Calibri"/>
      </rPr>
      <t>Qual a tua motivação para a próxima semana (1-10)?</t>
    </r>
  </si>
  <si>
    <r>
      <rPr>
        <sz val="11"/>
        <color theme="1"/>
        <rFont val="Noto Sans Symbols"/>
      </rPr>
      <t>·</t>
    </r>
    <r>
      <rPr>
        <sz val="7"/>
        <color theme="1"/>
        <rFont val="Times New Roman"/>
      </rPr>
      <t xml:space="preserve">         </t>
    </r>
    <r>
      <rPr>
        <sz val="11"/>
        <color theme="1"/>
        <rFont val="Calibri"/>
      </rPr>
      <t>O que achaste da semana em geral (progressão/regressão)?</t>
    </r>
  </si>
  <si>
    <r>
      <rPr>
        <sz val="11"/>
        <color theme="1"/>
        <rFont val="Noto Sans Symbols"/>
      </rPr>
      <t>·</t>
    </r>
    <r>
      <rPr>
        <sz val="7"/>
        <color theme="1"/>
        <rFont val="Times New Roman"/>
      </rPr>
      <t xml:space="preserve">         </t>
    </r>
    <r>
      <rPr>
        <sz val="11"/>
        <color theme="1"/>
        <rFont val="Calibri"/>
      </rPr>
      <t>O que correu bem (dieta/treino/descanso)?</t>
    </r>
  </si>
  <si>
    <r>
      <rPr>
        <sz val="11"/>
        <color theme="1"/>
        <rFont val="Noto Sans Symbols"/>
      </rPr>
      <t>·</t>
    </r>
    <r>
      <rPr>
        <sz val="7"/>
        <color theme="1"/>
        <rFont val="Times New Roman"/>
      </rPr>
      <t xml:space="preserve">         </t>
    </r>
    <r>
      <rPr>
        <sz val="11"/>
        <color theme="1"/>
        <rFont val="Calibri"/>
      </rPr>
      <t>Que dificuldade sentiste (dieta/treino/descanso)?</t>
    </r>
  </si>
  <si>
    <r>
      <rPr>
        <sz val="11"/>
        <color theme="1"/>
        <rFont val="Noto Sans Symbols"/>
      </rPr>
      <t>·</t>
    </r>
    <r>
      <rPr>
        <sz val="7"/>
        <color theme="1"/>
        <rFont val="Times New Roman"/>
      </rPr>
      <t xml:space="preserve">         </t>
    </r>
    <r>
      <rPr>
        <sz val="11"/>
        <color theme="1"/>
        <rFont val="Calibri"/>
      </rPr>
      <t>Qual a tua perspectiva para a próxima semana?</t>
    </r>
  </si>
  <si>
    <r>
      <rPr>
        <sz val="11"/>
        <color theme="1"/>
        <rFont val="Noto Sans Symbols"/>
      </rPr>
      <t>·</t>
    </r>
    <r>
      <rPr>
        <sz val="7"/>
        <color theme="1"/>
        <rFont val="Times New Roman"/>
      </rPr>
      <t xml:space="preserve">         </t>
    </r>
    <r>
      <rPr>
        <sz val="11"/>
        <color theme="1"/>
        <rFont val="Calibri"/>
      </rPr>
      <t>Qual a tua motivação para a próxima semana (1-10)?</t>
    </r>
  </si>
  <si>
    <r>
      <rPr>
        <sz val="11"/>
        <color theme="1"/>
        <rFont val="Noto Sans Symbols"/>
      </rPr>
      <t>·</t>
    </r>
    <r>
      <rPr>
        <sz val="7"/>
        <color theme="1"/>
        <rFont val="Times New Roman"/>
      </rPr>
      <t xml:space="preserve">         </t>
    </r>
    <r>
      <rPr>
        <sz val="11"/>
        <color theme="1"/>
        <rFont val="Calibri"/>
      </rPr>
      <t>O que achaste da semana em geral (progressão/regressão)?</t>
    </r>
  </si>
  <si>
    <r>
      <rPr>
        <sz val="11"/>
        <color theme="1"/>
        <rFont val="Noto Sans Symbols"/>
      </rPr>
      <t>·</t>
    </r>
    <r>
      <rPr>
        <sz val="7"/>
        <color theme="1"/>
        <rFont val="Times New Roman"/>
      </rPr>
      <t xml:space="preserve">         </t>
    </r>
    <r>
      <rPr>
        <sz val="11"/>
        <color theme="1"/>
        <rFont val="Calibri"/>
      </rPr>
      <t>O que correu bem (dieta/treino/descanso)?</t>
    </r>
  </si>
  <si>
    <r>
      <rPr>
        <sz val="11"/>
        <color theme="1"/>
        <rFont val="Noto Sans Symbols"/>
      </rPr>
      <t>·</t>
    </r>
    <r>
      <rPr>
        <sz val="7"/>
        <color theme="1"/>
        <rFont val="Times New Roman"/>
      </rPr>
      <t xml:space="preserve">         </t>
    </r>
    <r>
      <rPr>
        <sz val="11"/>
        <color theme="1"/>
        <rFont val="Calibri"/>
      </rPr>
      <t>Que dificuldade sentiste (dieta/treino/descanso)?</t>
    </r>
  </si>
  <si>
    <r>
      <rPr>
        <sz val="11"/>
        <color theme="1"/>
        <rFont val="Noto Sans Symbols"/>
      </rPr>
      <t>·</t>
    </r>
    <r>
      <rPr>
        <sz val="7"/>
        <color theme="1"/>
        <rFont val="Times New Roman"/>
      </rPr>
      <t xml:space="preserve">         </t>
    </r>
    <r>
      <rPr>
        <sz val="11"/>
        <color theme="1"/>
        <rFont val="Calibri"/>
      </rPr>
      <t>Qual a tua perspectiva para a próxima semana?</t>
    </r>
  </si>
  <si>
    <r>
      <rPr>
        <sz val="11"/>
        <color theme="1"/>
        <rFont val="Noto Sans Symbols"/>
      </rPr>
      <t>·</t>
    </r>
    <r>
      <rPr>
        <sz val="7"/>
        <color theme="1"/>
        <rFont val="Times New Roman"/>
      </rPr>
      <t xml:space="preserve">         </t>
    </r>
    <r>
      <rPr>
        <sz val="11"/>
        <color theme="1"/>
        <rFont val="Calibri"/>
      </rPr>
      <t>Qual a tua motivação para a próxima semana (1-10)?</t>
    </r>
  </si>
  <si>
    <r>
      <rPr>
        <sz val="11"/>
        <color theme="1"/>
        <rFont val="Noto Sans Symbols"/>
      </rPr>
      <t>·</t>
    </r>
    <r>
      <rPr>
        <sz val="7"/>
        <color theme="1"/>
        <rFont val="Times New Roman"/>
      </rPr>
      <t xml:space="preserve">         </t>
    </r>
    <r>
      <rPr>
        <sz val="11"/>
        <color theme="1"/>
        <rFont val="Calibri"/>
      </rPr>
      <t>O que achaste da semana em geral (progressão/regressão)?</t>
    </r>
  </si>
  <si>
    <r>
      <rPr>
        <sz val="11"/>
        <color theme="1"/>
        <rFont val="Noto Sans Symbols"/>
      </rPr>
      <t>·</t>
    </r>
    <r>
      <rPr>
        <sz val="7"/>
        <color theme="1"/>
        <rFont val="Times New Roman"/>
      </rPr>
      <t xml:space="preserve">         </t>
    </r>
    <r>
      <rPr>
        <sz val="11"/>
        <color theme="1"/>
        <rFont val="Calibri"/>
      </rPr>
      <t>O que correu bem (dieta/treino/descanso)?</t>
    </r>
  </si>
  <si>
    <r>
      <rPr>
        <sz val="11"/>
        <color theme="1"/>
        <rFont val="Noto Sans Symbols"/>
      </rPr>
      <t>·</t>
    </r>
    <r>
      <rPr>
        <sz val="7"/>
        <color theme="1"/>
        <rFont val="Times New Roman"/>
      </rPr>
      <t xml:space="preserve">         </t>
    </r>
    <r>
      <rPr>
        <sz val="11"/>
        <color theme="1"/>
        <rFont val="Calibri"/>
      </rPr>
      <t>Que dificuldade sentiste (dieta/treino/descanso)?</t>
    </r>
  </si>
  <si>
    <r>
      <rPr>
        <sz val="11"/>
        <color theme="1"/>
        <rFont val="Noto Sans Symbols"/>
      </rPr>
      <t>·</t>
    </r>
    <r>
      <rPr>
        <sz val="7"/>
        <color theme="1"/>
        <rFont val="Times New Roman"/>
      </rPr>
      <t xml:space="preserve">         </t>
    </r>
    <r>
      <rPr>
        <sz val="11"/>
        <color theme="1"/>
        <rFont val="Calibri"/>
      </rPr>
      <t>Qual a tua perspectiva para a próxima semana?</t>
    </r>
  </si>
  <si>
    <r>
      <rPr>
        <sz val="11"/>
        <color theme="1"/>
        <rFont val="Noto Sans Symbols"/>
      </rPr>
      <t>·</t>
    </r>
    <r>
      <rPr>
        <sz val="7"/>
        <color theme="1"/>
        <rFont val="Times New Roman"/>
      </rPr>
      <t xml:space="preserve">         </t>
    </r>
    <r>
      <rPr>
        <sz val="11"/>
        <color theme="1"/>
        <rFont val="Calibri"/>
      </rPr>
      <t>Qual a tua motivação para a próxima semana (1-10)?</t>
    </r>
  </si>
  <si>
    <r>
      <rPr>
        <sz val="11"/>
        <color theme="1"/>
        <rFont val="Noto Sans Symbols"/>
      </rPr>
      <t>·</t>
    </r>
    <r>
      <rPr>
        <sz val="7"/>
        <color theme="1"/>
        <rFont val="Times New Roman"/>
      </rPr>
      <t xml:space="preserve">         </t>
    </r>
    <r>
      <rPr>
        <sz val="11"/>
        <color theme="1"/>
        <rFont val="Calibri"/>
      </rPr>
      <t>O que achaste da semana em geral (progressão/regressão)?</t>
    </r>
  </si>
  <si>
    <r>
      <rPr>
        <sz val="11"/>
        <color theme="1"/>
        <rFont val="Noto Sans Symbols"/>
      </rPr>
      <t>·</t>
    </r>
    <r>
      <rPr>
        <sz val="7"/>
        <color theme="1"/>
        <rFont val="Times New Roman"/>
      </rPr>
      <t xml:space="preserve">         </t>
    </r>
    <r>
      <rPr>
        <sz val="11"/>
        <color theme="1"/>
        <rFont val="Calibri"/>
      </rPr>
      <t>O que correu bem (dieta/treino/descanso)?</t>
    </r>
  </si>
  <si>
    <r>
      <rPr>
        <sz val="11"/>
        <color theme="1"/>
        <rFont val="Noto Sans Symbols"/>
      </rPr>
      <t>·</t>
    </r>
    <r>
      <rPr>
        <sz val="7"/>
        <color theme="1"/>
        <rFont val="Times New Roman"/>
      </rPr>
      <t xml:space="preserve">         </t>
    </r>
    <r>
      <rPr>
        <sz val="11"/>
        <color theme="1"/>
        <rFont val="Calibri"/>
      </rPr>
      <t>Que dificuldade sentiste (dieta/treino/descanso)?</t>
    </r>
  </si>
  <si>
    <r>
      <rPr>
        <sz val="11"/>
        <color theme="1"/>
        <rFont val="Noto Sans Symbols"/>
      </rPr>
      <t>·</t>
    </r>
    <r>
      <rPr>
        <sz val="7"/>
        <color theme="1"/>
        <rFont val="Times New Roman"/>
      </rPr>
      <t xml:space="preserve">         </t>
    </r>
    <r>
      <rPr>
        <sz val="11"/>
        <color theme="1"/>
        <rFont val="Calibri"/>
      </rPr>
      <t>Qual a tua perspectiva para a próxima semana?</t>
    </r>
  </si>
  <si>
    <r>
      <rPr>
        <sz val="11"/>
        <color theme="1"/>
        <rFont val="Noto Sans Symbols"/>
      </rPr>
      <t>·</t>
    </r>
    <r>
      <rPr>
        <sz val="7"/>
        <color theme="1"/>
        <rFont val="Times New Roman"/>
      </rPr>
      <t xml:space="preserve">         </t>
    </r>
    <r>
      <rPr>
        <sz val="11"/>
        <color theme="1"/>
        <rFont val="Calibri"/>
      </rPr>
      <t>Qual a tua motivação para a próxima semana (1-10)?</t>
    </r>
  </si>
  <si>
    <r>
      <rPr>
        <sz val="11"/>
        <color theme="1"/>
        <rFont val="Noto Sans Symbols"/>
      </rPr>
      <t>·</t>
    </r>
    <r>
      <rPr>
        <sz val="7"/>
        <color theme="1"/>
        <rFont val="Times New Roman"/>
      </rPr>
      <t xml:space="preserve">         </t>
    </r>
    <r>
      <rPr>
        <sz val="11"/>
        <color theme="1"/>
        <rFont val="Calibri"/>
      </rPr>
      <t>O que achaste da semana em geral (progressão/regressão)?</t>
    </r>
  </si>
  <si>
    <r>
      <rPr>
        <sz val="11"/>
        <color theme="1"/>
        <rFont val="Noto Sans Symbols"/>
      </rPr>
      <t>·</t>
    </r>
    <r>
      <rPr>
        <sz val="7"/>
        <color theme="1"/>
        <rFont val="Times New Roman"/>
      </rPr>
      <t xml:space="preserve">         </t>
    </r>
    <r>
      <rPr>
        <sz val="11"/>
        <color theme="1"/>
        <rFont val="Calibri"/>
      </rPr>
      <t>O que correu bem (dieta/treino/descanso)?</t>
    </r>
  </si>
  <si>
    <r>
      <rPr>
        <sz val="11"/>
        <color theme="1"/>
        <rFont val="Noto Sans Symbols"/>
      </rPr>
      <t>·</t>
    </r>
    <r>
      <rPr>
        <sz val="7"/>
        <color theme="1"/>
        <rFont val="Times New Roman"/>
      </rPr>
      <t xml:space="preserve">         </t>
    </r>
    <r>
      <rPr>
        <sz val="11"/>
        <color theme="1"/>
        <rFont val="Calibri"/>
      </rPr>
      <t>Que dificuldade sentiste (dieta/treino/descanso)?</t>
    </r>
  </si>
  <si>
    <r>
      <rPr>
        <sz val="11"/>
        <color theme="1"/>
        <rFont val="Noto Sans Symbols"/>
      </rPr>
      <t>·</t>
    </r>
    <r>
      <rPr>
        <sz val="7"/>
        <color theme="1"/>
        <rFont val="Times New Roman"/>
      </rPr>
      <t xml:space="preserve">         </t>
    </r>
    <r>
      <rPr>
        <sz val="11"/>
        <color theme="1"/>
        <rFont val="Calibri"/>
      </rPr>
      <t>Qual a tua perspectiva para a próxima semana?</t>
    </r>
  </si>
  <si>
    <r>
      <rPr>
        <sz val="11"/>
        <color theme="1"/>
        <rFont val="Noto Sans Symbols"/>
      </rPr>
      <t>·</t>
    </r>
    <r>
      <rPr>
        <sz val="7"/>
        <color theme="1"/>
        <rFont val="Times New Roman"/>
      </rPr>
      <t xml:space="preserve">         </t>
    </r>
    <r>
      <rPr>
        <sz val="11"/>
        <color theme="1"/>
        <rFont val="Calibri"/>
      </rPr>
      <t>Qual a tua motivação para a próxima semana (1-10)?</t>
    </r>
  </si>
  <si>
    <r>
      <rPr>
        <sz val="11"/>
        <color theme="1"/>
        <rFont val="Noto Sans Symbols"/>
      </rPr>
      <t>·</t>
    </r>
    <r>
      <rPr>
        <sz val="7"/>
        <color theme="1"/>
        <rFont val="Times New Roman"/>
      </rPr>
      <t xml:space="preserve">         </t>
    </r>
    <r>
      <rPr>
        <sz val="11"/>
        <color theme="1"/>
        <rFont val="Calibri"/>
      </rPr>
      <t>O que achaste da semana em geral (progressão/regressão)?</t>
    </r>
  </si>
  <si>
    <r>
      <rPr>
        <sz val="11"/>
        <color theme="1"/>
        <rFont val="Noto Sans Symbols"/>
      </rPr>
      <t>·</t>
    </r>
    <r>
      <rPr>
        <sz val="7"/>
        <color theme="1"/>
        <rFont val="Times New Roman"/>
      </rPr>
      <t xml:space="preserve">         </t>
    </r>
    <r>
      <rPr>
        <sz val="11"/>
        <color theme="1"/>
        <rFont val="Calibri"/>
      </rPr>
      <t>O que correu bem (dieta/treino/descanso)?</t>
    </r>
  </si>
  <si>
    <r>
      <rPr>
        <sz val="11"/>
        <color theme="1"/>
        <rFont val="Noto Sans Symbols"/>
      </rPr>
      <t>·</t>
    </r>
    <r>
      <rPr>
        <sz val="7"/>
        <color theme="1"/>
        <rFont val="Times New Roman"/>
      </rPr>
      <t xml:space="preserve">         </t>
    </r>
    <r>
      <rPr>
        <sz val="11"/>
        <color theme="1"/>
        <rFont val="Calibri"/>
      </rPr>
      <t>Que dificuldade sentiste (dieta/treino/descanso)?</t>
    </r>
  </si>
  <si>
    <r>
      <rPr>
        <sz val="11"/>
        <color theme="1"/>
        <rFont val="Noto Sans Symbols"/>
      </rPr>
      <t>·</t>
    </r>
    <r>
      <rPr>
        <sz val="7"/>
        <color theme="1"/>
        <rFont val="Times New Roman"/>
      </rPr>
      <t xml:space="preserve">         </t>
    </r>
    <r>
      <rPr>
        <sz val="11"/>
        <color theme="1"/>
        <rFont val="Calibri"/>
      </rPr>
      <t>Qual a tua perspectiva para a próxima semana?</t>
    </r>
  </si>
  <si>
    <r>
      <rPr>
        <sz val="11"/>
        <color theme="1"/>
        <rFont val="Noto Sans Symbols"/>
      </rPr>
      <t>·</t>
    </r>
    <r>
      <rPr>
        <sz val="7"/>
        <color theme="1"/>
        <rFont val="Times New Roman"/>
      </rPr>
      <t xml:space="preserve">         </t>
    </r>
    <r>
      <rPr>
        <sz val="11"/>
        <color theme="1"/>
        <rFont val="Calibri"/>
      </rPr>
      <t>Qual a tua motivação para a próxima semana (1-10)?</t>
    </r>
  </si>
  <si>
    <t>Base</t>
  </si>
  <si>
    <t>Produto</t>
  </si>
  <si>
    <t>link</t>
  </si>
  <si>
    <t>Dose</t>
  </si>
  <si>
    <t>Motivo</t>
  </si>
  <si>
    <t>Omega 3 concentrado</t>
  </si>
  <si>
    <t>https://www.prozis.com/pt/pt/prozis/omega-3-epa-plus-90-softgels</t>
  </si>
  <si>
    <t>1 almoço ou jantar</t>
  </si>
  <si>
    <t>Antiinflamatório  e saúde</t>
  </si>
  <si>
    <t>Multivitaminico</t>
  </si>
  <si>
    <t>https://www.prozis.com/pt/pt/prozis/multi-prz-200-caps</t>
  </si>
  <si>
    <t>Se não comes vegetais nem fruta</t>
  </si>
  <si>
    <t>Creatina</t>
  </si>
  <si>
    <t>https://www.prozis.com/pt/pt/prozis/creatina-mono-hidratada-300-g</t>
  </si>
  <si>
    <t>5g por dia em qualquer altura</t>
  </si>
  <si>
    <t>Mais força, músculo e recuperação fisica</t>
  </si>
  <si>
    <t>Cafeína</t>
  </si>
  <si>
    <t>https://www.prozis.com/pt/pt/prozis/cafeina-200-mg-90-capsulas</t>
  </si>
  <si>
    <t>Depende, fala comigo</t>
  </si>
  <si>
    <t>Mais energia, foco e concentração</t>
  </si>
  <si>
    <t>Beta-Alanina</t>
  </si>
  <si>
    <t>https://www.prozis.com/pt/pt/prozis/beta-alanina-300-g?label=TlVUMDAvMTM5MDk2MDE2Mg%3D%3D</t>
  </si>
  <si>
    <t>3g dia</t>
  </si>
  <si>
    <t>Retardador de fadiga</t>
  </si>
  <si>
    <t>Melatonina</t>
  </si>
  <si>
    <t>https://www.prozis.com/pt/pt/prozis/melatonina-180-capsulas</t>
  </si>
  <si>
    <t>1 ao deitar</t>
  </si>
  <si>
    <t>Ajuda na qualidade do sono</t>
  </si>
  <si>
    <t>Aswaganda</t>
  </si>
  <si>
    <t>https://www.prozis.com/pt/pt/prozis/extrato-de-ashwagandha-450-mg-90-capsulas-vegetarianas</t>
  </si>
  <si>
    <t>1 dia ao acordar ou deitar</t>
  </si>
  <si>
    <t>Controle de ansiedade e stress</t>
  </si>
  <si>
    <t>H2O Infusion</t>
  </si>
  <si>
    <t>https://www.prozis.com/pt/pt/prozis/36-x-h2o-infusion-9-g</t>
  </si>
  <si>
    <t>-</t>
  </si>
  <si>
    <t>Cookin'Spray - Óleo Antiaderente</t>
  </si>
  <si>
    <t>https://www.prozis.com/pt/pt/prozis/cookinspray-oleo-antiaderente-em-spray-200-ml</t>
  </si>
  <si>
    <t>Snacks Proteicos</t>
  </si>
  <si>
    <t>Nome</t>
  </si>
  <si>
    <t>kcal</t>
  </si>
  <si>
    <t>proteina</t>
  </si>
  <si>
    <t>XTRACORE 80 g</t>
  </si>
  <si>
    <t>https://www.prozis.com/pt/pt/prozis/8-x-xtracore-80-g?label=TlVUMDAvMTUxODkwMDczNg%3D%3D</t>
  </si>
  <si>
    <t>Protein Gourmet Bar 80 g</t>
  </si>
  <si>
    <t>https://www.prozis.com/pt/pt/prozis/12-x-protein-gourmet-bar-80-g</t>
  </si>
  <si>
    <t>ZERO Cookie 60 g</t>
  </si>
  <si>
    <t>https://www.prozis.com/pt/pt/prozis/12-x-zero-cookie-60-g</t>
  </si>
  <si>
    <t>Protein Brownie - Original 80 g</t>
  </si>
  <si>
    <t>https://www.prozis.com/pt/pt/prozis/8-x-protein-brownie-original-80-g?label=TlVUMDAvMTc1MDYwMDYzMw%3D%3D</t>
  </si>
  <si>
    <t>POW! - Protein Cookie 60 g</t>
  </si>
  <si>
    <t>https://www.prozis.com/pt/pt/prozis/12-x-pow-protein-cookie-60-g</t>
  </si>
  <si>
    <t>Melty 60 g</t>
  </si>
  <si>
    <t>https://www.prozis.com/pt/pt/prozis/10-x-melty-60-g-barra-proteica-com-baixo-teor-de-acucares?label=TlVUMDAvMTQ5NjMzMDAxMA%3D%3D</t>
  </si>
  <si>
    <t>Barlicious Barra Proteica 70 g</t>
  </si>
  <si>
    <t>https://www.prozis.com/pt/pt/prozis/8-x-barlicious-barra-proteica-70-g</t>
  </si>
  <si>
    <t>Billion - Barra Proteica 65 g</t>
  </si>
  <si>
    <t>https://www.prozis.com/pt/pt/prozis/9-x-billion-barra-proteica-de-amendoim-65-g</t>
  </si>
  <si>
    <t>Billion - Barra Proteica 65 g branco</t>
  </si>
  <si>
    <t>https://www.prozis.com/pt/pt/prozis/9-x-billion-barra-proteica-de-amendoim-e-chocolate-branco-65-g</t>
  </si>
  <si>
    <t>Zero Snack 35 g</t>
  </si>
  <si>
    <t>https://www.prozis.com/pt/pt/prozis/12-x-zero-snack-35-g?label=TlVUMDAvMTQwMzMxMDAxMA%3D%3D</t>
  </si>
  <si>
    <t>Diet Bar 35 g</t>
  </si>
  <si>
    <t>https://www.prozis.com/pt/pt/prozis/12-x-diet-bar-35-g</t>
  </si>
  <si>
    <t>Zero Bar 40 g</t>
  </si>
  <si>
    <t>https://www.prozis.com/pt/pt/prozis/12-x-zero-bar-40-g-baixo-teor-de-acucares</t>
  </si>
  <si>
    <t>Protein Snack 35 g</t>
  </si>
  <si>
    <t>https://www.prozis.com/pt/pt/prozis/12-x-protein-snack-35-g?label=TlVUMDAvMTIzMDgxMDAwNg%3D%3D</t>
  </si>
  <si>
    <t>Protein Snack 30 g</t>
  </si>
  <si>
    <t>https://www.prozis.com/pt/pt/prozis/12-x-protein-snack-30-g?label=TlVUMDAvMTM4NzA4MDAxMA%3D%3D</t>
  </si>
  <si>
    <t>High Protein Waffles - Chocolate 30 g</t>
  </si>
  <si>
    <t>https://www.prozis.com/pt/pt/prozis/6-x-high-protein-waffles-chocolate-30-g?label=TlVUMDAvMTY2OTg1MDAwMg%3D%3D</t>
  </si>
  <si>
    <t>High Protein Waffles - Original 25 g</t>
  </si>
  <si>
    <t>https://www.prozis.com/pt/pt/prozis/6-x-high-protein-waffles-original-25-g?label=TlVUMDAvMTY2OTgzMDYzMw%3D%3D</t>
  </si>
  <si>
    <t>Receitas</t>
  </si>
  <si>
    <t>Wrap Proteico</t>
  </si>
  <si>
    <t>https://www.prozis.com/pt/pt/prozis/4-x-wrap-proteico?label=TlVUMDAvMTY4MTUxMDYzMw%3D%3D</t>
  </si>
  <si>
    <t>Pancake + Protein – Panquecas de aveia com proteína</t>
  </si>
  <si>
    <t>https://www.prozis.com/pt/pt/prozis/pancake-protein-panquecas-de-aveia-com-proteina-400-g?label=TlVUMDAvMTQwMzUwMTQ5MQ%3D%3D</t>
  </si>
  <si>
    <t>Oatmeal + Whey</t>
  </si>
  <si>
    <t>https://www.prozis.com/pt/pt/prozis/oatmeal-whey-aveia-e-proteina-whey-1000-g?label=TlVUMDAvMTM5NzQwMDA2NQ%3D%3D</t>
  </si>
  <si>
    <t>Lean Bread - Pão Multicereais</t>
  </si>
  <si>
    <t>https://www.prozis.com/pt/pt/prozis/lean-bread-pao-multicereais-360-g?label=TlVUMDAvMTQwMTIyMDAwMA%3D%3D</t>
  </si>
  <si>
    <t>Aveia em pó</t>
  </si>
  <si>
    <t>https://www.prozis.com/pt/pt/prozis/aveia-instantanea-em-po-1250-g</t>
  </si>
  <si>
    <t>Refeições</t>
  </si>
  <si>
    <t>https://www.prozis.com/pt/pt/alimentacao-saudavel/refeicoes</t>
  </si>
  <si>
    <t>Claras de ovo</t>
  </si>
  <si>
    <t>https://www.prozis.com/pt/pt/prozis/100-clara-de-ovo-liquida-albumina-1000-g</t>
  </si>
  <si>
    <t>Mantiga amendoim</t>
  </si>
  <si>
    <t>https://www.prozis.com/pt/pt/prozis/manteiga-de-amendoim-1000-g#modal-nutrition_table</t>
  </si>
  <si>
    <t>Molhos zero</t>
  </si>
  <si>
    <t>https://www.prozis.com/pt/pt/alimentacao-saudavel/molhos-xaropes-e-compotas/molhos-zero</t>
  </si>
  <si>
    <t>Massa muscular</t>
  </si>
  <si>
    <t>Dextrose</t>
  </si>
  <si>
    <t>https://www.prozis.com/pt/pt/prozis/dextrose-2000-g</t>
  </si>
  <si>
    <t>.</t>
  </si>
  <si>
    <t>Manteiga de amendoim</t>
  </si>
  <si>
    <t>https://www.prozis.com/pt/pt/prozis/manteiga-de-amendoim-1000-g</t>
  </si>
  <si>
    <t>,</t>
  </si>
  <si>
    <t>Xtreme Mass Gainer</t>
  </si>
  <si>
    <t>https://www.prozis.com/pt/pt/prozis/xtreme-mass-gainer-2722-g?label=TlVUMDAvMTMyNjYxMDAwNg%3D%3D</t>
  </si>
  <si>
    <t>Emagrecer</t>
  </si>
  <si>
    <t>Casca de Psílio 1000 mg</t>
  </si>
  <si>
    <t>https://www.prozis.com/pt/pt/prozis/casca-de-psilio-1000-mg-60-capsulas-vegetarianas</t>
  </si>
  <si>
    <t>Fiber Mix - Mistura de Fibras</t>
  </si>
  <si>
    <t>https://www.prozis.com/pt/pt/prozis/fiber-mix-mistura-de-fibras?label=TlVUMDAvMTY4NzE5MDAwMA%3D%3D</t>
  </si>
  <si>
    <t>Proteinas</t>
  </si>
  <si>
    <t>100% Whey Hydro Isolate PRO</t>
  </si>
  <si>
    <t>https://www.prozis.com/pt/pt/prozis/100-whey-hydro-isolate-pro-2000-g</t>
  </si>
  <si>
    <t>100% Proteína de Soja</t>
  </si>
  <si>
    <t>https://www.prozis.com/pt/pt/prozis/100-proteina-de-soja-900-g</t>
  </si>
  <si>
    <t>100% Proteína de Arroz</t>
  </si>
  <si>
    <t>https://www.prozis.com/pt/pt/prozis/100-proteina-de-arroz-900-g</t>
  </si>
  <si>
    <t>100% Proteína de Ervilha</t>
  </si>
  <si>
    <t>https://www.prozis.com/pt/pt/prozis/100-pea-protein-900-g</t>
  </si>
  <si>
    <t>Clear Whey Isolate</t>
  </si>
  <si>
    <t>https://www.prozis.com/pt/pt/prozis/clear-whey-isolate-manga-e-pessego-500-g</t>
  </si>
  <si>
    <t>Real whey</t>
  </si>
  <si>
    <t>https://www.prozis.com/pt/pt/prozis/100-real-whey-protein-1000-g?ot=GAPTSS&amp;campaignid=18580646313&amp;adgroupid=&amp;keyword=&amp;placement=&amp;utm_source=PRZGAPT&amp;gclid=CjwKCAjw44mlBhAQEiwAqP3eVp9ehjMX1RDTfhS0x2AXUw1sM-d91SYkmh5KY3t9zR1MmJ-q8v9OQhoCibgQAvD_BwE</t>
  </si>
  <si>
    <t>Proteina vegetal</t>
  </si>
  <si>
    <t>https://www.prozis.com/pt/pt/prozis/100-vegan-protein-900-g</t>
  </si>
  <si>
    <t>100% Whey Prime</t>
  </si>
  <si>
    <t>https://www.prozis.com/pt/pt/prozis/100-whey-prime-1000-g</t>
  </si>
  <si>
    <t>1,5g creatina por dose</t>
  </si>
  <si>
    <t>Whey Protein Fusion</t>
  </si>
  <si>
    <t>https://www.prozis.com/pt/pt/prozis/whey-protein-fusion-900-g</t>
  </si>
  <si>
    <t>1,55g creatina por dose</t>
  </si>
  <si>
    <t>Músculo-alvo</t>
  </si>
  <si>
    <t>Exercicio</t>
  </si>
  <si>
    <t>Link</t>
  </si>
  <si>
    <t>Puxar</t>
  </si>
  <si>
    <t>Biceps curl</t>
  </si>
  <si>
    <t>Biceps crul halteres deitado</t>
  </si>
  <si>
    <t>https://youtu.be/WcUsU8gNmGI</t>
  </si>
  <si>
    <t>Biceps</t>
  </si>
  <si>
    <t>Abs</t>
  </si>
  <si>
    <t>Biceps crul barra pé direita</t>
  </si>
  <si>
    <t>https://youtu.be/tPIZtS0j1Hg</t>
  </si>
  <si>
    <t>Biceps crul barra pé Z</t>
  </si>
  <si>
    <t>Dorsal</t>
  </si>
  <si>
    <t>Biceps curl banco inclinado halteres</t>
  </si>
  <si>
    <t>https://youtu.be/9JbUuix8X4o</t>
  </si>
  <si>
    <t>Ombro frontal</t>
  </si>
  <si>
    <t>Biceps curl cristo cabos</t>
  </si>
  <si>
    <t>https://youtu.be/1m6fZSun6ME</t>
  </si>
  <si>
    <t>Ombro médio</t>
  </si>
  <si>
    <t>Biceps curl concentrado</t>
  </si>
  <si>
    <t>https://youtube.com/shorts/pXQojCQjmZA?feature=share</t>
  </si>
  <si>
    <t>Ombro posterior</t>
  </si>
  <si>
    <t>4+</t>
  </si>
  <si>
    <t>Biceps curl elástico</t>
  </si>
  <si>
    <t>https://youtu.be/n1RomOv6TWw</t>
  </si>
  <si>
    <t>Peito</t>
  </si>
  <si>
    <t>Biceps curl maquina scott</t>
  </si>
  <si>
    <t>https://youtu.be/Kzkeb3Ce_pk</t>
  </si>
  <si>
    <t>Trapézio</t>
  </si>
  <si>
    <t>Biceps curl nos cabos cross</t>
  </si>
  <si>
    <t>https://youtu.be/orDUcRQnH3k</t>
  </si>
  <si>
    <t>Triceps</t>
  </si>
  <si>
    <t>Biceps curl pé cabos pronado</t>
  </si>
  <si>
    <t>https://youtu.be/rzhZ9k73ryA</t>
  </si>
  <si>
    <t>Quadriceps</t>
  </si>
  <si>
    <t>Biceps curl pé cabos supinado</t>
  </si>
  <si>
    <t>Posterior de coxa</t>
  </si>
  <si>
    <t>Biceps curl rosca pé</t>
  </si>
  <si>
    <t>https://youtu.be/Eg9Kwr92gS0</t>
  </si>
  <si>
    <t>Biceps curl scott unilateral</t>
  </si>
  <si>
    <t>https://youtu.be/pYMAEfw5HXA</t>
  </si>
  <si>
    <t>Lombares</t>
  </si>
  <si>
    <t>Biceps curl scott unilateral cabos</t>
  </si>
  <si>
    <t>https://youtu.be/8LFPPPaYISo</t>
  </si>
  <si>
    <t>Gémeos</t>
  </si>
  <si>
    <t>Biceps martelo pé corda</t>
  </si>
  <si>
    <t>https://youtu.be/qo92P0K2jb0</t>
  </si>
  <si>
    <t>Adutores</t>
  </si>
  <si>
    <t>Bicesp curl TRX</t>
  </si>
  <si>
    <t>https://youtu.be/g93I74fnOpk</t>
  </si>
  <si>
    <t>Elevações/puxadas vertical</t>
  </si>
  <si>
    <t>Alavanca</t>
  </si>
  <si>
    <t>https://youtu.be/NgrgYoDFPoc</t>
  </si>
  <si>
    <t>Alavanca unilateral</t>
  </si>
  <si>
    <t>https://youtu.be/UW2PZRGpAFU</t>
  </si>
  <si>
    <t>Elevações assistidas</t>
  </si>
  <si>
    <t>https://youtube.com/shorts/H2V6HlpaEyE?feature=share</t>
  </si>
  <si>
    <t>Elevações elástico</t>
  </si>
  <si>
    <t>https://youtu.be/lIJXCLxzZvI</t>
  </si>
  <si>
    <t>Elevações negativas</t>
  </si>
  <si>
    <t>https://youtu.be/381QNvqq_5s</t>
  </si>
  <si>
    <t>Elevações pega neutra</t>
  </si>
  <si>
    <t>https://youtu.be/x6IKM5FNbzQ</t>
  </si>
  <si>
    <t>Elevações pega supinada</t>
  </si>
  <si>
    <t>Elevações pronadas</t>
  </si>
  <si>
    <t>https://youtu.be/Gadiybic1jk</t>
  </si>
  <si>
    <t xml:space="preserve">Puxador dorsal unilateral no banco </t>
  </si>
  <si>
    <t>https://youtube.com/shorts/uc1H5C-tpEU?feature=share</t>
  </si>
  <si>
    <t>Puxada vertical elástico</t>
  </si>
  <si>
    <t>https://youtu.be/WvehBL6yQnE</t>
  </si>
  <si>
    <t>Puxada vertical TRX</t>
  </si>
  <si>
    <t>https://youtu.be/gEfc9YVoySs</t>
  </si>
  <si>
    <t>Puxador vertical dorsal neutra</t>
  </si>
  <si>
    <t>https://youtu.be/dY6KGH9LsbI</t>
  </si>
  <si>
    <t>https://youtu.be/kF3nRuX99rw</t>
  </si>
  <si>
    <t>Puxador vertical dorsal supinado</t>
  </si>
  <si>
    <t>Puxador vertical unilateral cruzado</t>
  </si>
  <si>
    <t>https://youtube.com/shorts/A9Eqjm4W9_g?feature=share</t>
  </si>
  <si>
    <t>Puxador vertical inclinado no banco</t>
  </si>
  <si>
    <t>https://youtu.be/ZUt7vr8tZb0</t>
  </si>
  <si>
    <t>Puxador vertical cruzada unilateral joelhos</t>
  </si>
  <si>
    <t>https://youtu.be/-tH0kO5CgWk</t>
  </si>
  <si>
    <t>Pull Faces</t>
  </si>
  <si>
    <t>Pull face cabos pé</t>
  </si>
  <si>
    <t>https://youtu.be/EvaEXreIYEU</t>
  </si>
  <si>
    <t>Pull face cabos sentado</t>
  </si>
  <si>
    <t>https://youtu.be/lrmgEHkHfNU</t>
  </si>
  <si>
    <t>Pull face TRX</t>
  </si>
  <si>
    <t>https://youtu.be/zoM5p9QCslY</t>
  </si>
  <si>
    <t>Pull over Cabos</t>
  </si>
  <si>
    <t>Pull over cabos em pé</t>
  </si>
  <si>
    <t>https://youtu.be/F8kzp7ldavg</t>
  </si>
  <si>
    <t>Pull over deitado halteres</t>
  </si>
  <si>
    <t>https://youtube.com/shorts/KgvssqlufQM?feature=share</t>
  </si>
  <si>
    <t>Pull over deslizante</t>
  </si>
  <si>
    <t>https://youtu.be/fPXRvw6LmJI</t>
  </si>
  <si>
    <t>Remada aberta</t>
  </si>
  <si>
    <t xml:space="preserve">Remada aberta sentado cabos </t>
  </si>
  <si>
    <t>https://youtube.com/shorts/wo1rfNoCgTQ?feature=share</t>
  </si>
  <si>
    <t>Remada aberta apoio banco</t>
  </si>
  <si>
    <t>https://youtu.be/NZaNK2IIGts</t>
  </si>
  <si>
    <t>Remada aberta pé elastico</t>
  </si>
  <si>
    <t>https://youtu.be/cbrbksVsuQ4</t>
  </si>
  <si>
    <t>Remada aberta TRX</t>
  </si>
  <si>
    <t>https://youtu.be/oEjRAgKCUwc</t>
  </si>
  <si>
    <t>Remada alta barra</t>
  </si>
  <si>
    <t>https://youtu.be/EwfwfhTPhe0</t>
  </si>
  <si>
    <t>Remada alta cabos</t>
  </si>
  <si>
    <t>Remada alta halteres</t>
  </si>
  <si>
    <t>Remada aberta banco inclinado halteres</t>
  </si>
  <si>
    <t>https://youtube.com/shorts/jQIwRsyq3Yc?feature=share</t>
  </si>
  <si>
    <t>Remada curva encosto aberta</t>
  </si>
  <si>
    <t>https://youtu.be/qwNF1WDCfI4</t>
  </si>
  <si>
    <t>Remada sentado nos cabos pronado</t>
  </si>
  <si>
    <t>https://youtu.be/xXh1dFX60cs</t>
  </si>
  <si>
    <t>Remada baixa barra pronada</t>
  </si>
  <si>
    <t>https://youtu.be/CoUt2wXKquA</t>
  </si>
  <si>
    <t>Remada fechada</t>
  </si>
  <si>
    <t>Remada baixa barra supinada</t>
  </si>
  <si>
    <t>https://youtu.be/1Hj4DtaPADE</t>
  </si>
  <si>
    <t>Remada baixa barra supinada apoio banco</t>
  </si>
  <si>
    <t>https://youtu.be/QwWFTQPGHSY</t>
  </si>
  <si>
    <t>Remada baixa halteres apoio banco</t>
  </si>
  <si>
    <t>https://youtube.com/shorts/eJ0MLjjbbjk?feature=share</t>
  </si>
  <si>
    <t>Remada baixa halteres neutro</t>
  </si>
  <si>
    <t>https://youtube.com/shorts/IZRQMn9rc0o?feature=share</t>
  </si>
  <si>
    <t>Remada baixa mochila</t>
  </si>
  <si>
    <t>https://youtu.be/GUS7wdRfRNk</t>
  </si>
  <si>
    <t>Remada banco inclinado halteres</t>
  </si>
  <si>
    <t>https://youtu.be/VOgtP6qh9Ws</t>
  </si>
  <si>
    <t>Remada curva encosto fechada</t>
  </si>
  <si>
    <t>https://youtube.com/shorts/Pt6-1kTAfE0?feature=share</t>
  </si>
  <si>
    <t>Remada deitado banco barra pronado</t>
  </si>
  <si>
    <t>https://youtu.be/BAEmJXvZd5E</t>
  </si>
  <si>
    <t>Remada deitado halteres</t>
  </si>
  <si>
    <t>https://youtu.be/ykHSVgXU1Yg</t>
  </si>
  <si>
    <t>Remada deitado na mesa</t>
  </si>
  <si>
    <t>https://youtu.be/x99pS7PgAAQ</t>
  </si>
  <si>
    <t>Remada fechada pé elastico</t>
  </si>
  <si>
    <t>https://youtu.be/RiHWKt7uK0U</t>
  </si>
  <si>
    <t>https://youtu.be/iu2vnAvS8SA</t>
  </si>
  <si>
    <t>Remada inclinado na maquina com encosto</t>
  </si>
  <si>
    <t>https://youtube.com/shorts/6Os0Lm8OWAM?feature=share</t>
  </si>
  <si>
    <t>Remada maquina encosto neutra</t>
  </si>
  <si>
    <t>https://youtu.be/NmqklJDizWo</t>
  </si>
  <si>
    <t>Remada sentado nos cabos pega neutra</t>
  </si>
  <si>
    <t>https://youtu.be/pss0QOfpSao</t>
  </si>
  <si>
    <t>Remada sentado nos cabos supinado</t>
  </si>
  <si>
    <t>Remada T</t>
  </si>
  <si>
    <t>https://youtu.be/ktdUTtnfhWI</t>
  </si>
  <si>
    <t>Remada unilateral cabos</t>
  </si>
  <si>
    <t>https://youtu.be/I2CQeB4LrAw</t>
  </si>
  <si>
    <t>Remada unilateral halteres</t>
  </si>
  <si>
    <t>https://youtu.be/b5Aqknu-1Ng</t>
  </si>
  <si>
    <t>Remada unilateral mochila</t>
  </si>
  <si>
    <t>https://youtu.be/WyVuZ5uK8k8</t>
  </si>
  <si>
    <t>Encolhimentos barra</t>
  </si>
  <si>
    <t>Encolhimentos halteres</t>
  </si>
  <si>
    <t>Encolhimentos smith machine</t>
  </si>
  <si>
    <t>Voos</t>
  </si>
  <si>
    <t>Y comboio</t>
  </si>
  <si>
    <t>Voos banco inclinado halteres</t>
  </si>
  <si>
    <t>https://youtu.be/aG3nDTjm16Y</t>
  </si>
  <si>
    <t>Voos inclinado com halteres</t>
  </si>
  <si>
    <t>Voos máquina</t>
  </si>
  <si>
    <t>https://youtu.be/MKfzpZ4Q0uU</t>
  </si>
  <si>
    <t>Voos pé cabos</t>
  </si>
  <si>
    <t>https://youtu.be/4yYz0NCWFRk</t>
  </si>
  <si>
    <t>Voos sentado halteres</t>
  </si>
  <si>
    <t>https://youtu.be/Ft7E49Tw3UQ</t>
  </si>
  <si>
    <t>Voos TRX</t>
  </si>
  <si>
    <t>https://youtube.com/shorts/uhiztQ8V9Vw?feature=share</t>
  </si>
  <si>
    <t>Perna</t>
  </si>
  <si>
    <t xml:space="preserve">Abdutores </t>
  </si>
  <si>
    <t>Abdutores deitado</t>
  </si>
  <si>
    <t>https://youtu.be/FA6jHdFlvg8</t>
  </si>
  <si>
    <t>Abdutores máquina</t>
  </si>
  <si>
    <t>https://youtu.be/oHjivORRk1Y</t>
  </si>
  <si>
    <t>Abdutores pêndulo</t>
  </si>
  <si>
    <t xml:space="preserve">Adutores </t>
  </si>
  <si>
    <t>Adutores deitado</t>
  </si>
  <si>
    <t>https://youtu.be/teGAg19KWw0</t>
  </si>
  <si>
    <t>Adutores máquina</t>
  </si>
  <si>
    <t>Adutores pêndulo</t>
  </si>
  <si>
    <t>Agachamento</t>
  </si>
  <si>
    <t>https://www.youtube.com/shorts/GHar7RpOJrg</t>
  </si>
  <si>
    <t>https://www.youtube.com/shorts/a7VXjG3LvR8</t>
  </si>
  <si>
    <t>Agachamento 1 perna cadeira</t>
  </si>
  <si>
    <t>https://youtu.be/MOmHtKUKbvo</t>
  </si>
  <si>
    <t>Agachamento barra</t>
  </si>
  <si>
    <t>https://youtu.be/x8hljkfvgo4</t>
  </si>
  <si>
    <t>Agachamento normal smith</t>
  </si>
  <si>
    <t>https://youtube.com/shorts/sNTHP1a9byE?feature=share</t>
  </si>
  <si>
    <t>Agachamento curto em baixo</t>
  </si>
  <si>
    <t>https://youtu.be/9hZT-XcdPqc</t>
  </si>
  <si>
    <t>Agachamento mochila</t>
  </si>
  <si>
    <t>https://youtu.be/u53nsBJnQRM</t>
  </si>
  <si>
    <t>Pistol squat</t>
  </si>
  <si>
    <t>https://youtu.be/RbQZwsGUAzY</t>
  </si>
  <si>
    <t>Pistol squat TRX</t>
  </si>
  <si>
    <t>https://youtu.be/SH5ivwB_LhE</t>
  </si>
  <si>
    <t>Gémeos no leg press</t>
  </si>
  <si>
    <t>Gemeos pé maquina</t>
  </si>
  <si>
    <t>https://youtu.be/SYPJv6TPACY</t>
  </si>
  <si>
    <t>https://youtu.be/6ZwbBza7x54</t>
  </si>
  <si>
    <t>Solear</t>
  </si>
  <si>
    <t>Glúteo máquina kick, cabos</t>
  </si>
  <si>
    <t>Glúteos kick máquina</t>
  </si>
  <si>
    <t>https://youtu.be/Lk9DA7MxiwY</t>
  </si>
  <si>
    <t>Glúteo pé cabos</t>
  </si>
  <si>
    <t>Glúteos kick solo banda</t>
  </si>
  <si>
    <t>https://youtu.be/u4IpIy0VGjE</t>
  </si>
  <si>
    <t>Glúteos pêndulo</t>
  </si>
  <si>
    <t>Hack Squat</t>
  </si>
  <si>
    <t>Agachamento com pés avançados smith</t>
  </si>
  <si>
    <t>https://youtu.be/-b2FHDcuefw</t>
  </si>
  <si>
    <t>Agachamento frontal barra</t>
  </si>
  <si>
    <t>https://youtu.be/sN5b_esSVj4</t>
  </si>
  <si>
    <t>Agachamento frontal TRX</t>
  </si>
  <si>
    <t>https://youtu.be/wzmCYDapfm8</t>
  </si>
  <si>
    <t>Agachamento hack na porta</t>
  </si>
  <si>
    <t>https://youtu.be/4JxUq7gfGxw</t>
  </si>
  <si>
    <t>Agchamento com calços</t>
  </si>
  <si>
    <t>https://youtu.be/YyuF67n29-Q</t>
  </si>
  <si>
    <t>Hack squat</t>
  </si>
  <si>
    <t>https://youtu.be/eKXpjMUG2H8</t>
  </si>
  <si>
    <t xml:space="preserve">Hack squat quadríceps </t>
  </si>
  <si>
    <t>https://youtube.com/shorts/bab2a6zkwqI?feature=share</t>
  </si>
  <si>
    <t>Hack squat pêndulo</t>
  </si>
  <si>
    <t>https://youtu.be/zzQHXTpceAo</t>
  </si>
  <si>
    <t>Power squat</t>
  </si>
  <si>
    <t>https://youtu.be/m2dehWkOe-k</t>
  </si>
  <si>
    <t>Sissy squat maquina</t>
  </si>
  <si>
    <t>https://youtu.be/iDMXEv8L64Y</t>
  </si>
  <si>
    <t>Sissy squat livre</t>
  </si>
  <si>
    <t>https://youtube.com/shorts/MNHZ7VYL3Ys?feature=share</t>
  </si>
  <si>
    <t>Sissy squat smith</t>
  </si>
  <si>
    <t>leg curl</t>
  </si>
  <si>
    <t>Leg crul deitado elástico</t>
  </si>
  <si>
    <t>https://youtu.be/q26jPaocakg</t>
  </si>
  <si>
    <t>Leg crul pé</t>
  </si>
  <si>
    <t>https://youtu.be/WGsEzHD65HQ</t>
  </si>
  <si>
    <t>Leg crul sentado máquina</t>
  </si>
  <si>
    <t>https://youtu.be/7dQ6VBF2gAg</t>
  </si>
  <si>
    <t>Leg curl deitado</t>
  </si>
  <si>
    <t>https://youtu.be/p3982igeDE8</t>
  </si>
  <si>
    <t>Leg curl deslizante</t>
  </si>
  <si>
    <t>https://youtu.be/iLNTqSVGyFM</t>
  </si>
  <si>
    <t>Leg curl trx</t>
  </si>
  <si>
    <t>https://youtu.be/e2N3xn8kVl4</t>
  </si>
  <si>
    <t>Leg curl unilateral deitado</t>
  </si>
  <si>
    <t>https://youtu.be/529K0ZjxJzQ</t>
  </si>
  <si>
    <t>Nordic curl</t>
  </si>
  <si>
    <t>https://youtu.be/Z4mFZYLwsQQ</t>
  </si>
  <si>
    <t>Leg Extension</t>
  </si>
  <si>
    <t>Leg extension</t>
  </si>
  <si>
    <t>https://youtu.be/-6OIaQYvbjw</t>
  </si>
  <si>
    <t>Leg extension unilateral</t>
  </si>
  <si>
    <t>https://youtu.be/BSLiPKdHWsU</t>
  </si>
  <si>
    <t>Leg Press</t>
  </si>
  <si>
    <t xml:space="preserve">Leg press 45º glúteo </t>
  </si>
  <si>
    <t>https://youtu.be/6DdaG1KsE38</t>
  </si>
  <si>
    <t xml:space="preserve">Leg press 45º quadríceps </t>
  </si>
  <si>
    <t>https://youtube.com/shorts/L-AqifK0ocE?feature=share</t>
  </si>
  <si>
    <t>Leg press horizontal</t>
  </si>
  <si>
    <t>https://youtu.be/nC7ByT4l2Rs</t>
  </si>
  <si>
    <t>Lunge / step up</t>
  </si>
  <si>
    <t>Bulgarian lunges halteres</t>
  </si>
  <si>
    <t>https://youtu.be/NI7YGthe4EA</t>
  </si>
  <si>
    <t>Bulgarian lunges smith</t>
  </si>
  <si>
    <t>https://youtu.be/LZGgiRGTPcQ</t>
  </si>
  <si>
    <t>Lunge dois pés no steps</t>
  </si>
  <si>
    <t>https://youtu.be/1VJWgLoPyLc</t>
  </si>
  <si>
    <t>Lunge dois pés no steps na smith</t>
  </si>
  <si>
    <t>https://youtube.com/shorts/UtbesEEl-_k?feature=share</t>
  </si>
  <si>
    <t>Lunge fixo smith</t>
  </si>
  <si>
    <t>Lunge fixo quadriceps</t>
  </si>
  <si>
    <t>https://youtube.com/shorts/_zDJioacERU?feature=share</t>
  </si>
  <si>
    <t>Lunge fixo halteres</t>
  </si>
  <si>
    <t>https://youtu.be/YA2VDHL7eZc</t>
  </si>
  <si>
    <t>Lunge passo a trás halteres</t>
  </si>
  <si>
    <t>https://youtu.be/RH8ycVbvRE0</t>
  </si>
  <si>
    <t>Lunge passo a trás no step</t>
  </si>
  <si>
    <t>https://youtu.be/Z6spwKEdb8A</t>
  </si>
  <si>
    <t>Lunge pé frente no step smith</t>
  </si>
  <si>
    <t>https://youtube.com/shorts/RB9SX4KkuEk?feature=share</t>
  </si>
  <si>
    <t>Lunge pé frente no step</t>
  </si>
  <si>
    <t>https://youtu.be/zVgZgk2EbW4</t>
  </si>
  <si>
    <t>Lunge pé trás no step</t>
  </si>
  <si>
    <t>Passadas barra</t>
  </si>
  <si>
    <t>https://youtu.be/vzGd1kmixjc</t>
  </si>
  <si>
    <t>Passadas halteres</t>
  </si>
  <si>
    <t>Step up</t>
  </si>
  <si>
    <t>https://youtu.be/Gc4VxWFUXgo</t>
  </si>
  <si>
    <t>Step up cadeira</t>
  </si>
  <si>
    <t>https://youtu.be/CIF_qdeqKgM</t>
  </si>
  <si>
    <t>Peso Morto Romeno</t>
  </si>
  <si>
    <t xml:space="preserve">Extensão anca no banco horizontal </t>
  </si>
  <si>
    <t>https://youtu.be/QijTo6HBLr4</t>
  </si>
  <si>
    <t xml:space="preserve">Extensão anca no banco </t>
  </si>
  <si>
    <t>https://youtu.be/lMsFTJ7TZm4</t>
  </si>
  <si>
    <t>Peso morto convencional</t>
  </si>
  <si>
    <t>https://youtu.be/qVt5DoIWoU8</t>
  </si>
  <si>
    <t>https://youtube.com/shorts/Fim3vhgdRFk?feature=share</t>
  </si>
  <si>
    <t xml:space="preserve">Peso morto romeno barra </t>
  </si>
  <si>
    <t>https://youtu.be/e0rnci_VtNY</t>
  </si>
  <si>
    <t xml:space="preserve">Peso morto romeno halteres </t>
  </si>
  <si>
    <t>https://youtube.com/shorts/EJan7nBcJzM?feature=share</t>
  </si>
  <si>
    <t>Peso morto romeno unilateral</t>
  </si>
  <si>
    <t>https://youtube.com/shorts/pcygr8dUaTQ?feature=share</t>
  </si>
  <si>
    <t>peso morto terra/sumo</t>
  </si>
  <si>
    <t>Agachamento sumo barra</t>
  </si>
  <si>
    <t>https://youtu.be/7wvD5fsY8CQ</t>
  </si>
  <si>
    <t>Agachamento sumo halteres</t>
  </si>
  <si>
    <t>https://youtu.be/vJ89YIbLnto</t>
  </si>
  <si>
    <t>Peso morto sumo</t>
  </si>
  <si>
    <t>https://youtu.be/V24CoFGIKvc</t>
  </si>
  <si>
    <t>Ponte Glúteos</t>
  </si>
  <si>
    <t>https://www.youtube.com/shorts/1satDE63Bwc</t>
  </si>
  <si>
    <t>Ponte de glúteos unilateral</t>
  </si>
  <si>
    <t>https://youtu.be/OGGtZdctyiY</t>
  </si>
  <si>
    <t>Ponte glúteos barra</t>
  </si>
  <si>
    <t>https://youtube.com/shorts/PmqFtRqgN1k?feature=share</t>
  </si>
  <si>
    <t>Ponte glúteos máquina</t>
  </si>
  <si>
    <t>https://youtu.be/15u0hrQHL14</t>
  </si>
  <si>
    <t>Ponte glúteos pés na barra</t>
  </si>
  <si>
    <t>https://youtu.be/qYiF0ZaEL94</t>
  </si>
  <si>
    <t>Ponte glúteos sofá</t>
  </si>
  <si>
    <t>https://youtu.be/j6n6092Yiyk</t>
  </si>
  <si>
    <t>Rotadores anca</t>
  </si>
  <si>
    <t>rotadores externos anca solo</t>
  </si>
  <si>
    <t>https://youtu.be/iC5v-1Y4OI4</t>
  </si>
  <si>
    <t>Geral</t>
  </si>
  <si>
    <t>Antebraço</t>
  </si>
  <si>
    <t xml:space="preserve">Extensão antebraço </t>
  </si>
  <si>
    <t>https://youtube.com/shorts/wvBMFyzDcy0?feature=share</t>
  </si>
  <si>
    <t xml:space="preserve">Flexão antebraço </t>
  </si>
  <si>
    <t>https://youtube.com/shorts/xEkDcXxKQJI?feature=share</t>
  </si>
  <si>
    <t>geral</t>
  </si>
  <si>
    <t>Agachamento pliometrico</t>
  </si>
  <si>
    <t>https://youtu.be/DqX1dRstKwk</t>
  </si>
  <si>
    <t>Burpees</t>
  </si>
  <si>
    <t>https://youtu.be/TMNT0krfVk8</t>
  </si>
  <si>
    <t>Sprint lateral</t>
  </si>
  <si>
    <t>https://youtu.be/_ywBc7HELjc</t>
  </si>
  <si>
    <t>Empurrar</t>
  </si>
  <si>
    <t>Aberturas/peck deck/cross over</t>
  </si>
  <si>
    <t>Aberturas declinadas halteres</t>
  </si>
  <si>
    <t>Aberturas deslizantes</t>
  </si>
  <si>
    <t>https://youtu.be/1RlJ1jFM4Gw</t>
  </si>
  <si>
    <t>Aberturas em pé elastico</t>
  </si>
  <si>
    <t>https://youtu.be/esBpHmiwUcw</t>
  </si>
  <si>
    <t>Aberturas inclinadas cabos</t>
  </si>
  <si>
    <t>Aberturas inclinadas halteres</t>
  </si>
  <si>
    <t>https://youtu.be/VCixxR3wfoM</t>
  </si>
  <si>
    <t>Aberturas planas cabos</t>
  </si>
  <si>
    <t>Aberturas planas halteres</t>
  </si>
  <si>
    <t>https://youtube.com/shorts/aInMhTBVxbI?feature=share</t>
  </si>
  <si>
    <t>Aberturas TRX</t>
  </si>
  <si>
    <t>https://youtu.be/EVGFzPHpsyk</t>
  </si>
  <si>
    <t>Butterfly machine</t>
  </si>
  <si>
    <t>Cross over unilateral</t>
  </si>
  <si>
    <t>Cross over centro</t>
  </si>
  <si>
    <t>https://youtu.be/iVzxWUUvuW8</t>
  </si>
  <si>
    <t>Cross over de baixo</t>
  </si>
  <si>
    <t>https://youtu.be/S7mRgBc8sdQ</t>
  </si>
  <si>
    <t>Cross over de baixo no banco</t>
  </si>
  <si>
    <t>https://youtu.be/Ryus82ZHEEU</t>
  </si>
  <si>
    <t>Cross over de cima</t>
  </si>
  <si>
    <t>https://youtu.be/X7nnAmvmf6Y</t>
  </si>
  <si>
    <t>Peck deck</t>
  </si>
  <si>
    <t>https://youtu.be/T7xL9iNgSgA</t>
  </si>
  <si>
    <t>Elevações frontais</t>
  </si>
  <si>
    <t>Elevações frontais barra</t>
  </si>
  <si>
    <t>Elevações frontais halteres</t>
  </si>
  <si>
    <t>Elevações frontais mochila</t>
  </si>
  <si>
    <t>https://youtu.be/LFb5ENgNIt4</t>
  </si>
  <si>
    <t>Elevações laterais</t>
  </si>
  <si>
    <t>Elevações laterais cabos anca</t>
  </si>
  <si>
    <t>https://youtu.be/iq2FQHFlNjs</t>
  </si>
  <si>
    <t>Elevações laterais cabos baixo</t>
  </si>
  <si>
    <t>https://youtu.be/GWGo_w4b7fU</t>
  </si>
  <si>
    <t>Elevações laterais cabos joelho</t>
  </si>
  <si>
    <t>https://youtu.be/UqW1_7atqtg</t>
  </si>
  <si>
    <t>Elevações laterais cabos cross</t>
  </si>
  <si>
    <t>https://youtu.be/2JnxTklcDvQ</t>
  </si>
  <si>
    <t>Elevações laterais deitado halteres</t>
  </si>
  <si>
    <t>https://youtu.be/r4WDya0RZxE</t>
  </si>
  <si>
    <t>Elevações laterais em pé halteres</t>
  </si>
  <si>
    <t>https://youtu.be/cndZI8LA7VI</t>
  </si>
  <si>
    <t>Elevações laterais em pé inclinado halteres</t>
  </si>
  <si>
    <t>https://youtu.be/zO7I1e7FZAE</t>
  </si>
  <si>
    <t>Elevações laterais máquina</t>
  </si>
  <si>
    <t>https://youtu.be/QNcMV949pn0</t>
  </si>
  <si>
    <t>Elevações laterais sentado halteres</t>
  </si>
  <si>
    <t>https://youtu.be/ZcR4nbHOVqk</t>
  </si>
  <si>
    <t>Fundos</t>
  </si>
  <si>
    <t>Fundos máquina assistida</t>
  </si>
  <si>
    <t>https://youtube.com/shorts/YMBh0ST03RM?feature=share</t>
  </si>
  <si>
    <t>Fundos nas costas da cadeira</t>
  </si>
  <si>
    <t>https://youtu.be/VLtfSGUsVio</t>
  </si>
  <si>
    <t>Fundos paralelas</t>
  </si>
  <si>
    <t>https://youtu.be/Vd-dZ4CScKU</t>
  </si>
  <si>
    <t xml:space="preserve">Fundos máquina </t>
  </si>
  <si>
    <t>https://youtube.com/shorts/bhuf9kWbVtM?feature=share</t>
  </si>
  <si>
    <t>Fundos paralelas elástico</t>
  </si>
  <si>
    <t>https://youtu.be/zMfDaWFqLCo</t>
  </si>
  <si>
    <t>Fundos banco</t>
  </si>
  <si>
    <t>Fundos na cadeira</t>
  </si>
  <si>
    <t>https://youtu.be/2ZrqzTvbxRE</t>
  </si>
  <si>
    <t xml:space="preserve">Fundos no banco  </t>
  </si>
  <si>
    <t>https://youtu.be/lJHNeSpM65c</t>
  </si>
  <si>
    <t>Fundos no banco com pés noutro banco</t>
  </si>
  <si>
    <t>https://youtu.be/xW3CK4j1TjE</t>
  </si>
  <si>
    <t>Press ombro/press arnold</t>
  </si>
  <si>
    <t>Press arnold sentado</t>
  </si>
  <si>
    <t>https://youtu.be/utbGNed_V68</t>
  </si>
  <si>
    <t>Press ombro máquina</t>
  </si>
  <si>
    <t>https://youtu.be/6PG79Ezhfzo</t>
  </si>
  <si>
    <t>Press ombro pé barra</t>
  </si>
  <si>
    <t>https://youtu.be/sNMwCdJJSt4</t>
  </si>
  <si>
    <t>Press ombro pé halteres</t>
  </si>
  <si>
    <t>https://youtu.be/Zuy1CG434Tw</t>
  </si>
  <si>
    <t>Press ombro pino</t>
  </si>
  <si>
    <t>https://youtu.be/VwvFea-fIs8</t>
  </si>
  <si>
    <t>Press ombro sentado barra livre</t>
  </si>
  <si>
    <t>https://youtu.be/Krm1v3RP4Iw</t>
  </si>
  <si>
    <t>https://youtu.be/B5MFTNbu_cs</t>
  </si>
  <si>
    <t>Press ombro sentado smith</t>
  </si>
  <si>
    <t>https://youtu.be/T2mzHsQtjZs</t>
  </si>
  <si>
    <t>Press ombro sentado smith pega junta</t>
  </si>
  <si>
    <t>https://youtu.be/e3ugqY_wxy8</t>
  </si>
  <si>
    <t>Supino/flexões</t>
  </si>
  <si>
    <t>Flexões</t>
  </si>
  <si>
    <t>https://youtu.be/ZFBG6Lrfl50</t>
  </si>
  <si>
    <t>https://youtu.be/6BqneAOg_VI</t>
  </si>
  <si>
    <t>https://youtu.be/NHZrRCz48cQ</t>
  </si>
  <si>
    <t>Flexões mão step</t>
  </si>
  <si>
    <t>https://youtu.be/vYK58oAZv30</t>
  </si>
  <si>
    <t>Flexões pés elevados</t>
  </si>
  <si>
    <t>https://youtu.be/gMs8t_heBtM</t>
  </si>
  <si>
    <t>Flexões TRX</t>
  </si>
  <si>
    <t>https://youtu.be/d9Ay9FN0-0k</t>
  </si>
  <si>
    <t>Press peito pé elastico</t>
  </si>
  <si>
    <t>https://youtu.be/Hprh6T-d2KM</t>
  </si>
  <si>
    <t>Supino declinado barra</t>
  </si>
  <si>
    <t>https://youtu.be/G8KYVpkCkOA</t>
  </si>
  <si>
    <t>Supino declinado barra pega junta</t>
  </si>
  <si>
    <t>Supino declinado halteres</t>
  </si>
  <si>
    <t>Supino inclinado barra</t>
  </si>
  <si>
    <t>https://youtu.be/NCX6IShzOwo</t>
  </si>
  <si>
    <t>Supino inclinado barra pega junta</t>
  </si>
  <si>
    <t>https://youtube.com/shorts/0CL9kjbImBY?feature=share</t>
  </si>
  <si>
    <t>Supino inclinado halteres</t>
  </si>
  <si>
    <t>https://youtu.be/5ex6XUWB0_k</t>
  </si>
  <si>
    <t>Supino inclinado máquina</t>
  </si>
  <si>
    <t>https://youtu.be/GslrzAkiYII</t>
  </si>
  <si>
    <t>Supino na maquina deitado</t>
  </si>
  <si>
    <t>https://youtu.be/wEr6WQaxczU</t>
  </si>
  <si>
    <t>Supino plano barra</t>
  </si>
  <si>
    <t>https://youtu.be/Xzv5or9mINw</t>
  </si>
  <si>
    <t>Supino plano barra pega junta</t>
  </si>
  <si>
    <t>https://youtu.be/ZyyDc4g2h6w</t>
  </si>
  <si>
    <t>Supino plano halteres</t>
  </si>
  <si>
    <t>https://youtu.be/zLehuYDhAJU</t>
  </si>
  <si>
    <t>Supino plano máquina</t>
  </si>
  <si>
    <t>https://youtu.be/oTgcomRRaWw</t>
  </si>
  <si>
    <t xml:space="preserve">Triceps </t>
  </si>
  <si>
    <t>Triceps a testa banco inclinado halteres</t>
  </si>
  <si>
    <t>Triceps a testa barra</t>
  </si>
  <si>
    <t>Triceps a testa halteres</t>
  </si>
  <si>
    <t>https://youtu.be/iN0OFn6E11I</t>
  </si>
  <si>
    <t>Triceps corda pé</t>
  </si>
  <si>
    <t>https://youtu.be/leX1rrEioL0</t>
  </si>
  <si>
    <t xml:space="preserve">Triceps francês cabos </t>
  </si>
  <si>
    <t>https://youtu.be/4q112HC_wzo</t>
  </si>
  <si>
    <t>Triceps francês cabos uniateral</t>
  </si>
  <si>
    <t>https://youtu.be/9EFf0IW-Fpo</t>
  </si>
  <si>
    <t>Triceps francês elastico</t>
  </si>
  <si>
    <t>https://youtu.be/bH1yhptIOzc</t>
  </si>
  <si>
    <t>Triceps francês halteres</t>
  </si>
  <si>
    <t>https://youtu.be/XsmOTlaKUTA</t>
  </si>
  <si>
    <t>Triceps kick back cabos</t>
  </si>
  <si>
    <t>https://youtu.be/DxY2sbMDtK0</t>
  </si>
  <si>
    <t>Triceps kick back halteres</t>
  </si>
  <si>
    <t>Triceps máquina</t>
  </si>
  <si>
    <t>https://youtu.be/cVM4K_I4z18</t>
  </si>
  <si>
    <t>Triceps nuca cabos</t>
  </si>
  <si>
    <t>https://youtu.be/5XOLZLFhzw0</t>
  </si>
  <si>
    <t>Triceps nuca na mesa</t>
  </si>
  <si>
    <t>https://youtu.be/BCIU_SIsviM</t>
  </si>
  <si>
    <t>Triceps puxador</t>
  </si>
  <si>
    <t>https://youtu.be/OFiwrn4IUD8</t>
  </si>
  <si>
    <t>Triceps TRX</t>
  </si>
  <si>
    <t>https://youtu.be/G2WSOSw9C3M</t>
  </si>
  <si>
    <t>Tricpes unilateral nos cabos de costas</t>
  </si>
  <si>
    <t>https://youtu.be/Ujba6U2v85E</t>
  </si>
  <si>
    <t>Core</t>
  </si>
  <si>
    <t>Abdominal</t>
  </si>
  <si>
    <t>https://youtu.be/aEAm7bUhWYI</t>
  </si>
  <si>
    <t>Abdominal declinado</t>
  </si>
  <si>
    <t>https://youtu.be/l4XbbB0Kgto</t>
  </si>
  <si>
    <t>Abdominal deitado cabos</t>
  </si>
  <si>
    <t>https://youtu.be/3MlH7m1lWYo</t>
  </si>
  <si>
    <t>Abdominal inferior inclinado</t>
  </si>
  <si>
    <t>https://youtu.be/G_YeVq913TM</t>
  </si>
  <si>
    <t>Abdominal inferior paralelas</t>
  </si>
  <si>
    <t>https://youtu.be/Rf89J8jpb-M</t>
  </si>
  <si>
    <t>Abdominal inferior solo</t>
  </si>
  <si>
    <t>https://youtu.be/kJZiWK7bQzo</t>
  </si>
  <si>
    <t>Abdominal inferior TRX</t>
  </si>
  <si>
    <t>https://youtu.be/BhJm3bsy3AQ</t>
  </si>
  <si>
    <t>Abdominal lateral</t>
  </si>
  <si>
    <t>https://youtu.be/Ks0By-PzviA</t>
  </si>
  <si>
    <t>Abdominal na corda</t>
  </si>
  <si>
    <t>https://youtu.be/5N8_sEkk6zU</t>
  </si>
  <si>
    <t>Abdominal na máquina</t>
  </si>
  <si>
    <t>https://youtu.be/By7JDAyBuyY</t>
  </si>
  <si>
    <t>Abdominal obliquo</t>
  </si>
  <si>
    <t>Abdominal roller</t>
  </si>
  <si>
    <t>https://youtu.be/fYpYYg7lT_Y</t>
  </si>
  <si>
    <t>Abdominal tesouras</t>
  </si>
  <si>
    <t>https://youtu.be/pOVTprvuTOE</t>
  </si>
  <si>
    <t>Abdominal total</t>
  </si>
  <si>
    <t>https://youtu.be/YGoZy8Y5yms</t>
  </si>
  <si>
    <t>Climber</t>
  </si>
  <si>
    <t>https://youtu.be/pRkHcAxP1wQ</t>
  </si>
  <si>
    <t>Jack nife TRX</t>
  </si>
  <si>
    <t>https://youtu.be/JB0PSsIDHTw</t>
  </si>
  <si>
    <t>Kness to bar</t>
  </si>
  <si>
    <t>Prancha frontal 3 apoios</t>
  </si>
  <si>
    <t>https://youtu.be/tUKjmSylLIg</t>
  </si>
  <si>
    <t>Prancha frontal dinâmica (joelho ao cotovelo)</t>
  </si>
  <si>
    <t>https://youtu.be/BNPYAPsfXe4</t>
  </si>
  <si>
    <t>Prancha lateral dinamica</t>
  </si>
  <si>
    <t>Pranha frontal 2 apoios</t>
  </si>
  <si>
    <t>https://youtu.be/eoPHHS0REjc</t>
  </si>
  <si>
    <t>Remada em prancha</t>
  </si>
  <si>
    <t>Russian twist</t>
  </si>
  <si>
    <t>https://youtu.be/4rdQ7N-u9Sc</t>
  </si>
  <si>
    <t>Super homem</t>
  </si>
  <si>
    <t>https://youtu.be/rqSE5w3qL2o</t>
  </si>
  <si>
    <t>Super homem 4 apoios</t>
  </si>
  <si>
    <t>https://youtu.be/VXWulXnxHOY</t>
  </si>
  <si>
    <t>Toe to bar</t>
  </si>
  <si>
    <t>https://youtu.be/iMdpJQ6aUgM</t>
  </si>
  <si>
    <t>V-up</t>
  </si>
  <si>
    <t>Lombar</t>
  </si>
  <si>
    <t>Lombares banco</t>
  </si>
  <si>
    <t>https://youtu.be/rhD38IyqgtM</t>
  </si>
  <si>
    <t>Lombares máquina</t>
  </si>
  <si>
    <t>https://youtu.be/TTU6gfgIohU</t>
  </si>
  <si>
    <t>Lombares no solo</t>
  </si>
  <si>
    <t>https://youtu.be/PllczP42iXs</t>
  </si>
  <si>
    <t>Plano Alimentar</t>
  </si>
  <si>
    <t>\</t>
  </si>
  <si>
    <t>Objetivo</t>
  </si>
  <si>
    <t>Total diário alimentação</t>
  </si>
  <si>
    <t>Em falta</t>
  </si>
  <si>
    <t>Alimento</t>
  </si>
  <si>
    <t>Quantidade</t>
  </si>
  <si>
    <t>Refeição 1</t>
  </si>
  <si>
    <t>Refeição 2</t>
  </si>
  <si>
    <t>Refeição 3</t>
  </si>
  <si>
    <t>Refeição 4</t>
  </si>
  <si>
    <t>Refeição 5</t>
  </si>
  <si>
    <t>Refeição 6</t>
  </si>
  <si>
    <t>Quant.</t>
  </si>
  <si>
    <t>Unid.</t>
  </si>
  <si>
    <t>Frango grelhado</t>
  </si>
  <si>
    <t>g</t>
  </si>
  <si>
    <t>Frango cozido</t>
  </si>
  <si>
    <t>lula cozida</t>
  </si>
  <si>
    <t>lula grelhada</t>
  </si>
  <si>
    <t>Atum ao natural</t>
  </si>
  <si>
    <t>Peixe magro cozido</t>
  </si>
  <si>
    <t>whey</t>
  </si>
  <si>
    <t>camaroes cozidos</t>
  </si>
  <si>
    <t>claras de ovo</t>
  </si>
  <si>
    <t>seitan</t>
  </si>
  <si>
    <t>nacos soja cru</t>
  </si>
  <si>
    <t>skyr</t>
  </si>
  <si>
    <t>tremoço</t>
  </si>
  <si>
    <t>queijo quark magro</t>
  </si>
  <si>
    <t>queijo fresco magro</t>
  </si>
  <si>
    <t>leite magro</t>
  </si>
  <si>
    <t>feijao</t>
  </si>
  <si>
    <t>Salmão cozido</t>
  </si>
  <si>
    <t>lombo porco grelhado</t>
  </si>
  <si>
    <t>Vaca magra grelhada</t>
  </si>
  <si>
    <t>queijo quark</t>
  </si>
  <si>
    <t>grao</t>
  </si>
  <si>
    <t>mozzarella light (125g)</t>
  </si>
  <si>
    <t>tofu</t>
  </si>
  <si>
    <t>costeleta porco grelhado</t>
  </si>
  <si>
    <t>Dourada grelhada</t>
  </si>
  <si>
    <t>Salmão grelhado</t>
  </si>
  <si>
    <t>queijo fresco</t>
  </si>
  <si>
    <t>leite meio gordo</t>
  </si>
  <si>
    <t>Vaca meio gorda grelhada</t>
  </si>
  <si>
    <t>queijo fatiado</t>
  </si>
  <si>
    <t>Ovo UNID.</t>
  </si>
  <si>
    <t>unid</t>
  </si>
  <si>
    <t>mozzarella (125g)</t>
  </si>
  <si>
    <t>Manteiga amendoim</t>
  </si>
  <si>
    <t>arroz cozido</t>
  </si>
  <si>
    <t>batata cozida</t>
  </si>
  <si>
    <t>batata assada</t>
  </si>
  <si>
    <t>massa cozida</t>
  </si>
  <si>
    <t>aveia</t>
  </si>
  <si>
    <t>pão</t>
  </si>
  <si>
    <t>maça/pera UNID.</t>
  </si>
  <si>
    <t>frutos vermelhos</t>
  </si>
  <si>
    <t>melao/melancia</t>
  </si>
  <si>
    <t>banana UNID.</t>
  </si>
  <si>
    <t>uvas/manga</t>
  </si>
  <si>
    <t>milho doce</t>
  </si>
  <si>
    <t>granola</t>
  </si>
  <si>
    <t>chocapic/estrelitas</t>
  </si>
  <si>
    <t>cereais fibra</t>
  </si>
  <si>
    <t>figos</t>
  </si>
  <si>
    <t>ananas</t>
  </si>
  <si>
    <t>bolacha milho/arroz</t>
  </si>
  <si>
    <t>azeite</t>
  </si>
  <si>
    <t>abacate UNID.</t>
  </si>
  <si>
    <t>Noz</t>
  </si>
  <si>
    <t>amendoa</t>
  </si>
  <si>
    <t>amendoim</t>
  </si>
  <si>
    <t>gema ovo UNID.</t>
  </si>
  <si>
    <t>girasol</t>
  </si>
  <si>
    <t>Linhaça</t>
  </si>
  <si>
    <t>muesli</t>
  </si>
  <si>
    <t>paio</t>
  </si>
  <si>
    <t>pudim proteico</t>
  </si>
  <si>
    <t>xtreme mass gainer</t>
  </si>
  <si>
    <t xml:space="preserve">iogurte natural grego </t>
  </si>
  <si>
    <t>dextrose</t>
  </si>
  <si>
    <t>Abacate
Abóbora cristalizada
Abóbora crua
Abrótea cozida
Abrótea crua
Açafrão
Açafrão-da-índia seco
Acelga crua
Açorda
Açorda à alentejana
Açorda de bacalhau
Açorda de marisco
Açorda de ovo
Açúcar amarelo
Açúcar branco
Agrião cru
Água mineral natural gaseificada, "Água Castello"
Água mineral natural gaseificada, "Vimeiro"
Água mineral natural gasocarbónica, "Pedras Salgadas"
Água mineral natural, "Luso"
Aguardente
Água, rede pública de abastecimento (Lisboa)
Aipo cru
Alcachofra cozida
Alcachofra crua
Alcaparras (picles)
Alecrim fresco
Alecrim, seco
Alface
Alface roxa
Alheira cozida sem adição de sal
Alheira crua
Alheira grelhada sem adição de sal
Alho cru
Alho em pó
Alho-francês cru
Almôndegas de porco
Almôndegas de vaca
Almôndegas de vaca e porco 
Amêijoa aberta ao natural sem sal
Amêijoa crua
Amêijoas à Bulhão Pato
Ameixa branca
Ameixa, conserva em calda de açúcar
Ameixa encarnada
Ameixa rainha Cláudia
Ameixa seca
Amêndoa, miolo, com pele
Amêndoa, miolo, torrada, sem pele
Amendoim, miolo
Amendoim, miolo, torrado com sal
Amendoim, miolo, torrado sem sal
Amora
Ananás 
Ananás, conserva em calda de açúcar
Ananás desidratado
Anchova, conserva em óleo, escorrido
Anona
Anona desidratada
Arroz agulha cru
Arroz à valenciana
Arroz carolino branqueado cru
Arroz cozido simples
Arroz de bacalhau
Arroz de bacalhau com margarina
Arroz de cabidela
Arroz de cenoura
Arroz de cenoura com azeite
Arroz de ervilhas
Arroz de feijão
Arroz de frango
Arroz de frango com feijão e chouriço
Arroz de frango malandrinho à moda de Monção
Arroz de gambas
Arroz de lulas
Arroz de manteiga
Arroz de marisco
Arroz de pato
Arroz de peixe
Arroz de peixe com ervilhas
Arroz de polvo com azeite
Arroz de polvo com tomate 
Arroz de polvo com tomate e vinho
Arroz de tamboril
Arroz de tamboril malandrinho
Arroz de tomate com azeite
Arroz de tomate com margarina
Arroz de tomate malandrinho
Arroz doce
Arroz integral cru
Atum conserva em óleo
Atum de cebolada
Atum fresco cru
Atum fresco grelhado
Avelã, miolo
Azeite (4 marcas)
Azeitona
Bacalhau à Brás
Bacalhau à Brás com azeite
Bacalhau à Brás com azeite e azeitonas
Bacalhau à Gomes de Sá
Bacalhau à Gomes de Sá, com azeite
Bacalhau assado no forno com azeite
Bacalhau com natas
Bacalhau com natas, com queijo ralado
Bacalhau cozido
Bacalhau fresco cozido
Bacalhau fresco cru
Bacalhau grelhado
Bacalhau seco e salgado, demolhado cru
Baço de porco
Bacon
Bacon, grelhado sem adição de sal
Bagas goji secas
Banana
Banha de porco
Base em pó para bebida de ananás
Base em pó para bebida de laranja
Batata assada com pele, sem sal (só a polpa)
Batata assada no forno
Batata cozida
Batata crua
Batata doce assada
Batata doce crua
Batata estufada com cebola, azeite e óleo alimentar
Batata, fécula
Batata frita caseira (em palitos)
Batata frita, de pacote (em rodelas)
Bebida à base de soja com açúcar, com cálcio, sal e aromas
Bebida à base de soja com açúcar, sal e aromas
Bebida à base de soja natural, sem açúcar e sem sal
Bebida refrigerante, cola
Bebida refrigerante, cola sem açúcar
Bebida refrigerante, gasosa
Bebida refrigerante, laranja
Beldroega crua
Berbigão aberto ao natural sem sal
Berbigão cru
Beringela crua
Beringela grelhada com azeite
Besugo cru
Beterraba (raiz) cozida sem sal
Beterraba (raiz) crua
Bife de atum fresco, estufado com azeite e vinho
Bife de cavalo, alcatra crua
Bife de cavalo, alcatra frita com manteiga
Bife de cavalo, alcatra frita com margarina
Bife de cavalo, alcatra frita, sem molho
Bife de espadarte, estufado com azeite e vinho
Bife de porco grelhado
Bife de vaca à café
Bife de vaca à Marrare com manteiga
Bife de vaca à Marrare com margarina
Bife de vaca com ovo a cavalo com banha
Bife de vaca com ovo a cavalo com manteiga
Bife de vaca (valor médio de acém, alcatra e lombo) cru
Bife de vaca (valor médio de acém, alcatra e lombo) frito com manteiga
Bife de vaca (valor médio de acém, alcatra e lombo) frito, sem molho
Bife de vaca (valor médio de acém, alcatra e lombo) grelhado
Bife de vitela cru
Bife de vitela frito
Biscoitos, argolas
Biscoitos caseiros
Biscoitos limão
Biscoitos, línguas de gato
Biscoitos, línguas de veado
Biscoitos, palitos la Reine
Bolacha água e sal
Bolacha aveia
Bolacha "Belga"
Bolacha chocolate
Bolacha "Cream cracker"
Bolacha integral (trigo)
Bolacha manteiga
Bolacha Maria
Bolacha torrada
Bolacha "waffer" baunilha
Bola de Berlim sem creme
Bolo de arroz
Bolo de bolacha Maria
Bolo de chocolate
Bolo de coco
Bolo ferradura
Bolo inglês
Bolo-Rei
Brandy
Brócolos cozidos
Brócolos crus
Bulgur
Búzio cru
Cabeça de porco
Cação cru
Cação frito
Cacau em pó
Cachaço de vaca cru
Cachucho cru
Café, infusão - bica (3 marcas)
Café, infusão - café de cafeteira (3 marcas)
Café, infusão - carioca (2 marcas)
Café, infusão - valor médio (bica 60% e café de cafeteira 40%)
Café solúvel em pó com cafeína
Café solúvel em pó descafeinado
Caldeirada de bacalhau
Caldeirada de bacalhau com enchidos e massa
Caldeirada de cabrito com azeite e banha
Caldeirada de cabrito com azeite e margarina
Caldeirada de enguias
Caldeirada de enguias à moda de Aveiro
Caldeirada de pargo e peixe-espada-preto
Caldeirada de peixe
Caldeirada de safio com amêijoas
Caldeirada de safio com batatas
Caldeirada de safio, raia e tamboril
Caldo preparado com cubo de carne de galinha (diluição 2%)
Caldo preparado com cubo de carne de vaca (diluição 2%)
Camarão cozido
Camarão cozido sem sal
Camarão cru
Canela moída
Canja de frango com aipo
Canja de frango com massa
Canónigos crus
Cantarilho (Redfish) assado com cebola, tomate, azeite e bacon
Cantarilho (Redfish) com batata, no forno
Cantarilho (Redfish) cozido
Cantarilho (Redfish) cru
Cantarilho (Redfish) no forno
Caracol cru
Carambola
Carapau cru
Carapau frito
Carapau grelhado
Cardamomo
Caril em pó
Carne à bolonhesa
Carne à jardineira
Carne de porco à alentejana
Carne de porco à alentejana sem massa de pimentão
Caseína
Castanha assada com sal
Castanha cozida sem sal
Castanha de caju torrada  e salgada
Castanha de caju torrada, sem sal
Castanha do Brasil
Castanha, miolo
Castanha pilada
Cavala cozida
Cavala crua
Cavala em filetes, conserva em azeite
Cavala grelhada
Cavala no forno
Cebola cozida
Cebola crua
Cebola frita com óleo alimentar
Cebolinho fresco
Cenoura baby crua
Cenoura cozida
Cenoura crua
Cereal de pequeno almoço à base de farelo de trigo (tipo "All-Bran")
Cereal de pequeno almoço de trigo integral tipo "Weetabix"
Cerefólio fresco
Cereja (4 variedades)
Cereja, conserva em calda de açúcar
Cereja, cristalizada
Cereja desidratada
Cerveja branca
Cerveja preta
Cerveja sem álcool
Chá, infusão, preto
Chá, infusão, verde
Chambão de vitela cru
Chamuça
Cherne cozido
Cherne cru
Cherne grelhado
Chicharro cozido
Chicharro cru
Chicharro grelhado
Chicória crua
Chispe de porco
Choco cru
Choco grelhado
Chocolate de leite
Chocolate em barra, culinária
Chocolate em pó
Chocolate negro (aproximadamente 50% cacau)
Chouriço de carne de porco, cru
Chouriço de carne de porco, gordo, cru
Chouriço de carne de porco, magro, cozido sem adição de sal
Chouriço de carne de porco, magro, cru
Chouriço de carne de porco, magro, grelhado sem adição de sal
Chouriço de sangue cozido sem adição de sal
Chouriço de sangue, cru
Chuchu
Chucrute
Clara de ovo de galinha, crua
Clara de ovo de galinha, pasteurizada
Clementina
Coco seco, ralado
Codorniz carne sem pele, crua 
Codorniz com pele, crua
Codorniz com pele, estufada com azeite
Codorniz com pele, grelhada
Coelho à caçador
Coelho cru
Coelho em vinha de alhos
Coelho estufado
Coelho estufado com azeite
Coelho estufado com margarina
Coentros crus
Cogumelos crus
Cogumelos enlatados, escorridos
Cogumelos fritos com óleo alimentar
Colorau
Cominhos
Compota de ameixa
Compota de ananás
Compota de cereja
Compota de damasco
Compota de laranja
Condimento de mostarda
Coração de galinha cru
Coração de porco, cru
Coração de porco, estufado com banha e margarina
Coração de vaca, cozido
Coração de vaca, cru
Coração de vaca, estufado com banha e margarina
Coração de vitela, cru
Corvina cozida
Corvina crua
Costeleta de cabrito crua
Costeleta de cabrito grelhada
Costeleta de carneiro, crua
Costeleta de porco gorda crua
Costeleta de porco gorda grelhada
Costeleta de porco grelhada
Costeleta de porco meio gorda crua
Costeleta de porco meio gorda estufada
Costeleta de porco meio gorda estufada com azeite e banha
Costeleta de porco meio gorda estufada com azeite e margarina
Costeleta de porco meio gorda estufada com margarina
Costeleta de porco meio gorda estufada com óleo alimentar e banha
Costeleta de porco meio gorda estufada, sem molho
Costeleta de porco meio gorda frita panada
Costeleta de porco meio gorda grelhada
Costeleta de vitela crua
Costeleta de vitela frita com margarina
Costeleta de vitela frita panada
Costeleta de vitela frita, sem molho
Costeleta de vitela grelhada
Costeleta ou perna de borrego assada com azeite e margarina
Costeleta ou perna de borrego assada com margarina
Costeleta ou perna de borrego, assada, sem molho
Costeleta ou perna de borrego, cozida 
Costeleta ou perna de borrego, crua 
Costeleta ou perna de borrego, estufada com azeite e margarina
Costeleta ou perna de borrego, estufada com margarina
Costeleta ou perna de borrego, estufada sem molho
Costeleta ou perna de borrego frita com margarina, sem molho
Costeleta ou perna de borrego, grelhada
Costeleta ou perna de carneiro magra frita com margarina, sem molho
Couve-branca cozida
Couve-branca crua
Couve-de-Bruxelas cozida
Couve-de-Bruxelas crua
Couve-flor cozida
Couve-flor crua
Couve-galega cozida
Couve-galega crua
Couve-lombarda cozida
Couve-lombarda crua
Couve-portuguesa cozida
Couve-portuguesa crua
Couve-roxa crua
Cozido à portuguesa
Cozido à portuguesa com grão
Cravinho
Creme culinário
Creme culinário líquido, 65% gordura, com sal
Creme de camarão
Creme de camarão com natas
Creme de ervilhas
Creme para barrar de cacau e avelãs (8 marcas)
Creme vegetal culinário, 75% gordura, sem sal
Creme vegetal para barrar 35% gordura, com fitosteróis
Creme vegetal para barrar 37% gordura
Creme vegetal para barrar 58% gordura, com cálcio
Creme vegetal para barrar 70% gordura, 53% ácidos gordos monoinsaturados
Creme vegetal para barrar 70% gordura, com sal
Creme vegetal para barrar  72% gordura, 33% ácidos gordos polinsaturados
Croissant
Croquete
Croquete de carne de vaca meio-gorda
Cubo de carne de galinha para caldo
Cubo de carne de vaca para caldo
Curgete crua
Curgete frita com óleo alimentar
Damasco
Damasco, conserva em calda de açúcar
Damasco seco
Dióspiro
Dióspiro desidratado
Doce de cereja
Doce de damasco
Doce de framboesa
Doce de ginja
Doce de maçã
Doce de morango
Doce de pêssego
Donut
Donut recheado com doce de fruta
Dourada cozida
Dourada crua
Dourada grelhada
Éclair de chocolate
Empada
Empadão de atum
Empadão de bacalhau
Empadão de carne com manteiga
Empadão de carne com margarina
Empadão de carne guisada
Empadão de pescada e camarão
Endívia crua
Enguia crua
Enguia frita
Entrecosto de porco cozido
Entrecosto de porco cru
Entrecosto de porco estufado com azeite e banha
Entrecosto de porco estufado com azeite e margarina
Entrecosto de porco estufado com margarina
Entrecosto de porco estufado com óleo alimentar e banha
Entrecosto de porco estufado, sem molho
Entrecosto de porco grelhado
Ervilhas estufadas
Ervilhas, grão, congeladas cozidas
Ervilhas, grão, congeladas cruas
Ervilhas, grão, frescas cozidas
Ervilhas, grão, frescas cruas
Ervilhas secas cozidas
Ervilhas secas cruas
Ervilhas, vagens cozidas
Ervilhas, vagens cruas
Espadarte cru
Espadarte grelhado
Espargos cozidos
Espargos crus
Esparguete cozido
Esparguete cru
Esparguete estufado com cenoura e azeite
Esparguete estufado com cenoura e margarina
Espetada de porco grelhada
Espetada de vaca grelhada
Espinafres crus
Estragão fresco
Estragão seco
Faneca crua
Farelo de trigo
Farinha de alfarroba
Farinha de aveia
Farinha de centeio
Farinha de centeio tipo 70
Farinha de centeio tipo 85
Farinha de cevada
Farinha de espelta
Farinha de milho tipo 70
Farinha de pau (mandioca)
Farinha de trigo integral
Farinha de trigo tipo 150
Farinha de trigo tipo 55
Farinha de trigo (valor médio tipo 150 e tipo 55)
Farinha láctea 5 frutos tipo "Cerelac" (com farinha de trigo)
Farinha láctea maçãs tipo "Cerelac" (com farinha de trigo)
Farinha láctea tipo "Cerelac" (com farinha de trigo)
Farinheira cozida sem adição de sal
Farinheira crua
Favada à portuguesa
Favas frescas cozidas
Favas frescas cruas
Favas secas cozidas (demolhadas)
Favas secas cruas
Feijão branco cozido (demolhado)
Feijão branco cru
Feijão frade (feijão miúdo) cozido (demolhado)
Feijão frade (feijão miúdo) cru
Feijão manteiga cozido (demolhado)
Feijão manteiga cru
Feijão-verde fresco cozido
Feijão-verde fresco cru
Feijão vermelho seco
Feijoada com carne de porco
Feijoada com carne de porco e de vaca
Feijoada com enchidos e ovos
Feijoa (polpa)
Fermento em pó
Fermento fresco de padeiro
Fermento seco de padeiro
Fiambre de aves
Fiambre de porco
Fiambre, pá
Fiambre, peito de frango
Fiambre, peito de peru
Fiambre, perna
Fígado de galinha
Fígado de porco, cru
Fígado de porco, frito com margarina e banha
Fígado de porco, frito, sem molho
Fígado de porco, grelhado
Fígado de vaca, cru
Fígado de vaca, frito, sem molho
Fígado de vitela, cru
Fígado de vitela, frito com banha e manteiga
Fígado de vitela, frito, sem molho
Fígado de vitela, grelhado
Figo (5 variedades)
Figo cristalizado
Figo seco
Filetes de bacalhau fritos
Fisális
Flocos de arroz
Flocos de aveia
Flocos de centeio
Flocos de cereais e frutos secos tipo "Muesli"
Flocos de cevada
Flocos de milho tipo "Corn Flakes"
Flocos de trigo
Flocos de trigo com figos tipo "Nestum"
Flocos de trigo com mel tipo "Nestum"
Flocos de trigo e arroz enriquecidos com vitaminas, cálcio e ferro
Flocos de trigo integral tipo "All-Bran Flakes"
Flor de sal
Folhas de rabanete cruas
Framboesa
Framboesa desidratada
Francesinha, com molho
Frango (1/4) peito e asa com pele, cozidos
Frango (1/4), peito e asa com pele, crus
Frango (1/4) peito e asa com pele, estufados com azeite e margarina
Frango (1/4) peito e asa com pele, estufados com margarina
Frango (1/4) peito e asa com pele, estufados sem molho
Frango (1/4) peito e asa com pele, grelhados
Frango (1/4) perna com costa e pele, assada sem molho
Frango (1/4) perna com costa e pele, cozida
Frango (1/4), perna com costa e pele, crua
Frango (1/4) perna com costa e pele, estufada com azeite e margarina
Frango (1/4) perna com costa e pele, estufada com margarina
Frango (1/4) perna com costa e pele, estufada sem molho
Frango (1/4), perna com costa e pele, grelhada
Frango inteiro com pele, assado sem molho
Frango inteiro com pele, cozido
Frango inteiro com pele, cru
Frango inteiro com pele, estufado com azeite e margarina
Frango inteiro com pele, estufado com margarina
Frango inteiro com pele, estufado sem molho
Frango inteiro com pele, grelhado
Frango inteiro sem pele, cozido
Frango inteiro sem pele, cru
Frango inteiro sem pele, estufado com azeite e margarina
Frango inteiro sem pele, estufado com margarina
Frango inteiro sem pele, estufado sem molho
Frango inteiro sem pele, grelhado
Frango, pele crua
Funcho fresco
Galinha de angola com pele, crua
Gamba crua
Garoupa cozida
Garoupa crua
Garoupa grelhada
Gelado caseiro com bolachas e natas
Gelado caseiro com palitos la Reine
Gelado de água (sorvete)
Gelado de leite
Gelatina desidratada (pó ou folha)
Gelatina preparada com ananás em conserva
Gelatina preparada com laranja e sumo de laranja
Geleia de casca de laranja
Gema de ovo de galinha, crua
Gema de ovo de galinha, pasteurizada
Gengibre fresco
Gérmen de trigo
Ginja
Gin - Rum- Whisky
Goiaba crua, polpa
Goraz assado com cebola, tomate, azeite e óleo alimentar
Goraz cozido
Goraz cru
Goraz grelhado
Goraz no forno
Grão-de-bico cozido (demolhado)
Grão-de-bico cru
Grelos de couve cozidos
Grelos de couve crus
Grelos de nabo cozidos
Grelos de nabo crus
Gressino
Groselha
Hambúrguer de feijão manteiga frito com azeite
Hambúrguer de feijão manteiga frito com óleo de milho
Hambúrguer de peru, frito
Hambúrguer de porco, frito, sem molho
Hambúrguer de porco, grelhado
Hambúrguer de vaca, cru
Hambúrguer de vaca, frito 
Hambúrguer de vaca, grelhado
Hortelã fresca
Imperador assado com cebola, tomate, azeite e óleo alimentar
Imperador cozido
Imperador cru
Imperador grelhado
Inhame cru 
Iogurte gordo, aromatizado, açucarado 
Iogurte gordo, com polpa e/ou pedaços de fruta, açucarado 
Iogurte gordo, com polpa e/ou pedaços de fruta e cereais açucarado
Iogurte grego com fruta açucarado
Iogurte grego magro natural 
Iogurte grego natural
Iogurte líquido magro, aromatizado, açucarado 
Iogurte líquido meio gordo, aromatizado, açucarado 
Iogurte líquido meio gordo, natural, açucarado
Iogurte magro, aromatizado, açucarado 
Iogurte magro, com cereais e edulcorantes
Iogurte magro, natural 
Iogurte magro, natural, com edulcorantes 
Iogurte meio gordo, aromatizado, açucarado
Iogurte meio gordo, com polpa e/ou pedaços de fruta, açucarado
Iogurte meio gordo, natural
Iogurte meio gordo, natural, açucarado 
Iogurte sem lactose enriquecido em proteína, magro, aromatizado, com pedaços e/ou polpa de fruta, açucarado
Iogurte sem lactose líquido, magro, aromatizado, com polpa de fruta, açucarado
Iogurte sem lactose líquido, magro, aromatizado, com polpa de fruta, com edulcorantes
Iogurte sem lactose líquido, meio gordo, aromatizado, açucarado
Iogurte sem lactose líquido, meio gordo, aromatizado, com polpa de fruta, açucarado
Iogurte sem lactose líquido, meio gordo, natural, açucarado
Iogurte sem lactose magro, aromatizado, com pedaços e/ou polpa de fruta, com edulcorantes
Iogurte sem lactose magro, natural
Iogurte sem lactose meio gordo, aromatizado, açucarado
Iogurte sem lactose meio gordo, aromatizado, com frutos secos e cereais, açucarado
Iogurte sem lactose meio gordo, aromatizado, com pedaços e/ou polpa de fruta, açucarado
Iogurte sem lactose meio gordo, natural
Iogurte sem lactose meio gordo, natural, açucarado
Jarrete de porco
Javali cru
Jesuíta
Lagosta cozida
Lagosta crua
Lagostim cozido
Lagostim cru
Lampreia crua
Lapas cruas
Laranja (3 variedades)
Lasanha à bolonhesa
Lebre crua
Leite condensado
Leite creme
Leite de cabra cru
Leite de coco, enlatado
Leite de ovelha cru
Leite evaporado
Leite fermentado (Bifidus) gordo, natural
Leite fermentado (Bifidus) sem lactose enriquecido com fibra, magro, aromatizado, com pedaços e/ou polpa de fruta, com sementes e/ou cereais, com frutos secos e/ou de casca rija, com edulcorantes 
Leite fermentado (Bifidus) sem lactose, gordo, natural
Leite fermentado (Bifidus) sem lactose líquido, meio gordo, aromatizado, com pedaços e/ou polpa de fruta, açucarado
Leite fermentado (Bifidus) sem lactose, magro, aromatizado, com pedaços e/ou polpa de fruta e/ou hortícolas, açucarado, com edulcorantes
Leite fermentado (Bifidus) sem lactose magro, natural, com edulcorantes
Leite gordo especial, pasteurizado 
Leite gordo, pasteurizado
Leite gordo, pó
Leite gordo sem lactose, enriquecido com vitaminas A, D, E e B9 (ácido fólico), UHT
Leite gordo, UHT
Leite humano
Leite humano, colostro
Leite humano, transição
Leite magro de pastagem, UHT 
Leite magro, pó
Leite magro sem lactose, UHT
Leite magro, UHT
Leite meio gordo aromatizado, UHT 
Leite meio gordo de pastagem, UHT
Leite meio gordo, pó
Leite meio gordo sem lactose, UHT
Leite meio gordo, UHT
Lentilhas secas cozidas (demolhadas)
Lentilhas secas cruas
Lichia fresca
Licor beneditino
Licor de anis
Licor de ginja
Licor simples
Lima
Limão
Língua de porco crua
Língua de vaca, crua
Língua de vaca, estufada, sem molho
Linguado cru
Linguado frito
Linguado grelhado
Linguiça
Lombo de porco assado
Lombo de porco assado com azeite e margarina
Lombo de porco assado com margarina
Lombo de porco assado com óleo alimentar e margarina
Lombo de porco assado, sem molho
Lombo de porco cru
Lombo de porco frito
Lombo de porco frito com manteiga
Lombo de porco frito com margarina
Lombo de porco frito panado
Lombo de porco grelhado
Lombo de vaca magro assado com azeite e margarina
Lombo de vaca magro assado com azeite, manteiga e óleo alimentar
Lombo de vaca magro assado com margarina
Lombo de vaca magro assado com óleo alimentar e margarina
Lombo de vaca magro assado, sem molho
Lombo de vaca magro cru
Lombo de vaca magro no forno, com tomate, cebola, cenoura e alho
Lombo de vitela assado com azeite e margarina
Lombo de vitela assado com azeite, margarina e óleo alimentar
Lombo de vitela assado com margarina e óleo alimentar
Lombo de vitela assado, sem molho
Lombo de vitela cru
Lombo de vitela frito com margarina
Lombo de vitela frito, sem molho
Lombo de vitela grelhado
Lombo ou pá de cavalo assado com azeite e manteiga
Lombo ou pá de cavalo assado com margarina
Lombo ou pá de cavalo assado, sem molho
Lombo ou pá de cavalo cru
Lombo ou pá de cavalo frito com manteiga
Lombo ou pá de cavalo frito com margarina
Lula crua
Lula estufada com cebola, tomate e azeite
Lula grelhada
Maçã assada com açúcar
Maçã assada sem açúcar
Maçã com casca
Maçã cozida com açúcar
Maçã cozida sem açúcar
Maçã desidratada
Maçã (média com e sem casca)
Maçã seca
Maçã sem casca
Madalena
Maionese caseira, com ovo e azeite
Maionese caseira, com ovo e óleo de soja
Malagueta vermelha fresca
Mandioca crua
Manga
Manga desidratada
Manjericão fresco
Manjericão seco
Manjerona seca
Manteiga com sal
Manteiga sem sal
Maracujá
Margarina
Margarina 3/4, de girassol
Margarina culinária para folhados, com sal
Margarina industrial para pastelaria, com sal
Margarina vegetal culinária, 80% gordura, com sal
Margarina vegetal culinária, com alho e sal
Marmelada
Marmelo
Maruca cozida
Maruca crua
Massa com ovo cozida
Massa com ovo crua
Massa de pimentão
Massa folhada, congelada
Massa miúda crua
Massa para lasanha cozida
Massa para lasanha crua
Massa para pizza
Massa quebrada para quiche
Meia-desfeita de bacalhau
Mel
Melaço
Melancia
Melão (3 variedades)
Mel de cana
Meloa
Merengue
Mexilhão cozido sem sal
Mexilhão cru
Milho, amido (pó)
Milho doce em conserva
Milho, grão seco cru
Minarina (meia margarina)
Mirtilo
Mirtilo desidratado
Molho "Béchamel" com manteiga
Molho "Béchamel" com margarina
Molho branco com caldo de carne de vaca
Molho branco com margarina
Molho de bife frito com manteiga
Molho de carne de vaca assada com azeite e margarina
Molho de carne de vaca assada com margarina
Molho de carne de vaca estufada com azeite e margarina
Molho de carne de vaca estufada com vegetais, azeite e margarina
Molho de lombo de porco frito com banha
Molho de lombo de porco frito com banha e margarina
Molho de lombo de porco frito com margarina
Molho de lombo de vaca frito com creme vegetal sem sal
Molho de lombo de vaca frito com margarina
Molho de mostarda 
Molho de soja
Molho de tomate
Molho de tomate, "ketchup"
Molho de vinagrete
Molho para francesinha
Molho verde
Morango
Morango desidratado 
Morcela crua
Morcela grelhada sem adição de sal
Mortadela
Mousse de chocolate
Múcua (fruto do embondeiro, baobab)
Nabiça crua
Nabo (raiz) cozido
Nabo (raiz) cru
Nata maturada pasteurizada 30% gordura
Nata para bater pasteurizada 34% gordura
Nata pasteurizada 33% gordura
Nata pasteurizada 36% gordura
Nata pasteurizada para café, 15% gordura
Nata UHT 35% gordura
Néctar de alperce
Néctar de ananás
Néctar de laranja
Néctar de maçã
Néctar de maçã, "light"
Néctar de pera
Néctar de pêssego
Néctar de pêssego, "light"
Néctar de "tutti - frutti"
Nectarina
Nêspera
Noz macadâmia
Noz, miolo
Noz-moscada
Noz pecan
Óleo alimentar
Óleo "Becel"
Óleo de amendoim
Óleo de coco
Óleo de girassol
Óleo de linhaça
Óleo de palma
Óleo de soja
Óleos de milho
Omelete
Omelete com manteiga
Omelete com margarina
Orégão seco
Orelha de porco, crua
Ostra, crua
Ovas de bacalhau cruas
Ovas de pescada cruas
Ovo de codorniz, cru
Ovo de galinha, cozido
Ovo de galinha, escalfado
Ovo de galinha, estrelado
Ovo de galinha, estrelado com azeite
Ovo de galinha, estrelado com manteiga
Ovo de galinha, estrelado com margarina
Ovo de galinha inteiro, cru
Ovo de galinha líquido, pasteurizado
Ovo de galinha, mexido com manteiga
Ovo de galinha, mexido com margarina
Ovo mexido com leite e margarina
Pá de carneiro, assada com azeite e margarina
Pá de carneiro, assada com margarina
Pá de carneiro assada, sem molho
Pá de carneiro, cozida
Pá de carneiro, crua
Pá de carneiro, estufada sem molho
Pá de vitela crua
Paio de lombo
Paio de lombo entremeado
Pão de centeio
Pão de centeio integral
Pão de forma, de trigo com passas
Pão de forma, de trigo enriquecido
Pão de leite (trigo)
Pão de ló
Pão de milho
Pão de mistura de trigo e centeio
Pão de trigo
Pão de trigo integral
Pão de trigo integral com passas
Pão de trigo integral com sementes de sésamo
Pão de trigo integral com soja
Pão do coração (trigo)
Pão pita
Pão ralado
Papaia
Papaia desidratada
Pargo legítimo assado com cebola, tomate e azeite
Pargo legítimo cozido
Pargo legítimo cru
Pargo mulato assado com cebola, tomate e azeite
Pargo mulato cozido
Pargo mulato cru
Pasta de fígado de aves (paté), caseira 
Pasta de fígado de porco (paté)
Pastel de bacalhau
Pastel de feijão
Pastel de nata
Pastel folhado
Pastilha elástica
Pato com pele, assado sem molho
Pato com pele, cru
Pato sem pele, assado com margarina
Pato sem pele, cru
Pato sem pele, estufado com margarina
Pé de porco, cru
Peito de cabrito cru
Peito de cabrito estufado com azeite e margarina
Peito de cabrito estufado com azeite e óleo alimentar
Peito de cabrito estufado com manteiga e óleo alimentar
Peito de cabrito estufado com margarina e óleo alimentar
Peito de cabrito estufado, sem molho
Peito de cabrito grelhado
Peito de carneiro gordo, cozido
Peito de carneiro gordo, cru
Peito de frango com pele, cozido
Peito de frango com pele, cru
Peito de frango com pele, estufado com azeite e margarina
Peito de frango com pele, estufado com margarina
Peito de frango com pele, estufado sem molho
Peito de frango sem pele, cozido
Peito de frango sem pele, cru
Peito de frango sem pele, estufado com azeite e margarina 
Peito de frango sem pele, estufado com margarina
Peito de frango sem pele, estufado sem molho
Peito de peru com pele, cru
Peito de peru com pele, estufado com margarina
Peito de peru sem pele, assado com margarina
Peito de peru sem pele, cru
Peito de peru sem pele, panado
Peito de vitela magro cozido
Peito de vitela magro cru
Peito de vitela magro estufado
Peito de vitela magro estufado com azeite e margarina
Peito de vitela magro estufado com azeite, margarina e óleo alimentar
Peito de vitela magro estufado com margarina e óleo alimentar
Peito de vitela magro estufado, sem molho
Peixe-espada-branco cru
Peixe-espada-branco frito
Peixe-espada-branco grelhado
Peixe-espada-preto cru
Peixe-espada-preto frito
Peixe-espada-preto grelhado
Peixinhos da horta
Pepino cru
Pera (5 variedades)
Pera conserva em calda de açúcar
Pera cozida com açúcar
Pera cozida sem açúcar
Pera cristalizada
Pera desidratada
Percebes crus
Perdiz crua
Perdiz estufada com margarina
Perna de borrego no forno
Perna de cabrito assada com azeite e margarina
Perna de cabrito assada com óleo alimentar e margarina
Perna de cabrito assada, sem molho
Perna de cabrito crua
Perna de carneiro gorda, assada, sem molho
Perna de carneiro gorda, crua
Perna de carneiro gorda, estufada sem molho
Perna de carneiro magra assada com azeite e margarina
Perna de carneiro magra assada com margarina
Perna de carneiro magra, assada, sem molho
Perna de carneiro magra, crua
Perna de carneiro magra, estufada com azeite e margarina
Perna de carneiro magra, estufada com margarina
Perna de carneiro magra, estufada sem molho
Perna de frango sem pele, cozida
Perna de frango sem pele, crua
Perna de frango sem pele, estufada com azeite e margarina
Perna de frango sem pele, estufada com margarina 
Perna de frango sem pele, estufada sem molho
Perna de peru com pele, assada com margarina
Perna de peru com pele, crua
Perna de peru com pele, estufada com margarina
Perna de porco gorda assada com azeite e margarina
Perna de porco gorda assada com margarina
Perna de porco gorda assada com óleo alimentar e margarina
Perna de porco gorda assada, sem molho
Perna de porco gorda crua
Perna de porco gorda grelhada
Perna de porco magra assada com azeite e margarina
Perna de porco magra assada com margarina
Perna de porco magra assada com óleo alimentar e margarina
Perna de porco magra assada, sem molho
Perna de porco magra crua
Perna de porco magra estufada com azeite e banha
Perna de porco magra estufada com azeite e margarina
Perna de porco magra estufada com margarina
Perna de porco magra estufada com óleo alimentar e banha
Perna de porco magra estufada, sem molho
Perna de porco magra grelhada
Peru inteiro com pele, cru
Pescada cozida (valor médio)
Pescada crua (valor médio)
Pescada da África do Sul cozida
Pescada da África do Sul crua
Pescada da África do Sul frita
Pescada do Chile cozida
Pescada do Chile crua
Pescada do Chile frita
Pescada europeia cozida
Pescada europeia crua
Pescada europeia frita
Pescada frita (valor médio)
Pêssego (2 variedades)
Pêssego, conserva em calda de açúcar
Picanha grelhada
Picles de pepino
Pimenta branca
Pimenta moída
Pimenta preta
Pimento cru
Pimento grelhado
Pinhão, miolo
Pistácio torrado e salgado
Pistácio torrado, sem sal
Pizza de queijo e tomate
Pizza de queijo, tomate e fiambre
Pó achocolatado com alto teor de gordura
Pó achocolatado com baixo teor de gordura
Polvo cozido sem sal
Polvo cru
Pombo cru
Pota crua
Preparado fermentado à base de soja (Vegurte)
Presunto
Proteína texturizada de soja
Pudim de leite e ovos
Pudim flan caseiro
Pudim instantâneo em pó
Pudim instantâneo preparado com leite magro
Pudim instantâneo preparado com leite meio gordo
Pulmões de porco, crus
Puré de batata
Queijada de queijo fresco
Queijada de queijo magro
Queijada de requeijão
Queijo Brie
Queijo Camembert
Queijo Cheddar
Queijo creme para barrar
Queijo creme para barrar, alto teor polinsaturados
Queijo da Ilha
Queijo de Azeitão
Queijo de Évora
Queijo Emmental
Queijo flamengo
Queijo flamengo 30% gordura
Queijo flamengo 45% gordura
Queijo fresco açucarado com sabor a fruta
Queijo fresco de cabra
Queijo fresco de ovelha
Queijo fresco magro
Queijo fresco meio gordo
Queijo fundido 40% gordura
Queijo Gouda
Queijo Gruyere
Queijo Mascarpone
Queijo Mozzarella fresco
Queijo Parmesão
Queijo Quark açucarado magro com sabor a fruta
Queijo Quark natural magro
Queijo Quark natural meio gordo
Queijo Raclette
Queijo Roquefort
Queijo Serpa
Queijo Serra da Estrela
Queijo Serra da Estrela, velho
Queque
Quiabo cru
Quiche de espinafres
Quiche de vegetais
Quiche lorraine
Quivi, "Kiwi"
Quivi, "Kiwi" desidratado
Rabanada
Rabanete cru
Rábano cru
Raia crua
Rancho com carne de galinha, porco e vaca
Rancho com carne de porco
Rebentos de alfalfa crus
Rebentos de bambu crus
Rebentos de soja crus
Rebuçados
Requeijão
Requeijão 13% de proteína
Requeijão 8% de proteína
Rim de carneiro, cru
Rim de carneiro, frito com margarina
Rim de porco, cru
Rim de porco, frito com margarina
Rim de vaca, cru
Rissol
Rissol de camarão
Rissol de carne com manteiga
Rissol de carne com margarina
Robalo assado com cebola, azeite, banha e manteiga
Robalo cozido
Robalo cru
Robalo grelhado
Rojões de carne gorda
Rojões de carne magra
Romã
Rúcula crua
Safio cru
Sal
Salada de alface e tomate temperada com azeite e vinagre
Salada de atum
Salada de bacalhau com grão
Salada russa
Salame
Salmão cozido
Salmão cru
Salmão grelhado
Salmonete cru
Salpicão
Salsa fresca
Salsa seca
Salsicha de soja
Salsicha fresca crua
Salsicha fresca estufada com couve e azeite
Salsicha fresca estufada com legumes e azeite
Salsicha tipo Frankfurt
Salsicha tipo Frankfurt frita (escorrido o óleo) sem adição de sal
Salsicha tipo Frankfurt grelhada sem adição de sal
Sangue de porco, cru
Sapateira crua
Sarda cozida
Sarda crua
Sarda grelhada
Sardinha frita
Sardinha gorda crua
Sardinha gorda frita
Sardinha gorda grelhada
Sardinha meio gorda conserva em água, sem espinha e sem pele
Sardinha meio gorda conserva em azeite
Sardinha meio gorda conserva em azeite (escorrido)
Sardinha meio gorda crua
Sardinha meio gorda frita
Sardinha meio gorda grelhada
Seitan
Sementes de abóbora
Sementes de cânhamo secas
Sementes de chia
Sementes de coentro
Sementes de girassol
Sementes de linhaça cruas
Sementes de melão
Sementes de mostarda
Sementes de papoila
Sementes de sésamo
Sêmola de milho
Shortening para pastelaria
Shortening para restaurante
Sidra (vinho de maçã)
Sobremesa à base de soja
Soja cozida sem sal
Soja, farinha com baixo teor de gordura
Soja, grão seco, cru
Solha crua
Solha frita
Solha grelhada
Sonhos
Sopa à lavrador
Sopa, caldo verde
Sopa, canja de galinha
Sopa, creme de cenoura
Sopa de abóbora
Sopa de agrião
Sopa de agrião com leite
Sopa de agrião com requeijão
Sopa de carne de porco
Sopa de cebola
Sopa de cenoura
Sopa de couve-branca
Sopa de couve-lombarda
Sopa de cozido
Sopa de ervilhas
Sopa de espinafres
Sopa de espinafres com ovos
Sopa de favas
Sopa de feij</t>
  </si>
  <si>
    <t>Abacate</t>
  </si>
  <si>
    <t>Abóbora cristalizada</t>
  </si>
  <si>
    <t>Abóbora crua</t>
  </si>
  <si>
    <t>Abrótea cozida</t>
  </si>
  <si>
    <t>Abrótea crua</t>
  </si>
  <si>
    <t>Açafrão</t>
  </si>
  <si>
    <t>Açafrão-da-índia seco</t>
  </si>
  <si>
    <t>Acelga crua</t>
  </si>
  <si>
    <t>Açorda</t>
  </si>
  <si>
    <t>Açorda à alentejana</t>
  </si>
  <si>
    <t>Açorda de bacalhau</t>
  </si>
  <si>
    <t>Açorda de marisco</t>
  </si>
  <si>
    <t>Açorda de ovo</t>
  </si>
  <si>
    <t>Açúcar amarelo</t>
  </si>
  <si>
    <t>Açúcar branco</t>
  </si>
  <si>
    <t>Agrião cru</t>
  </si>
  <si>
    <t>Água mineral natural gaseificada, "Água Castello"</t>
  </si>
  <si>
    <t>Água mineral natural gaseificada, "Vimeiro"</t>
  </si>
  <si>
    <t>Água mineral natural gasocarbónica, "Pedras Salgadas"</t>
  </si>
  <si>
    <t>Água mineral natural, "Luso"</t>
  </si>
  <si>
    <t>Aguardente</t>
  </si>
  <si>
    <t>Água, rede pública de abastecimento (Lisboa)</t>
  </si>
  <si>
    <t>Aipo cru</t>
  </si>
  <si>
    <t>Alcachofra cozida</t>
  </si>
  <si>
    <t>Alcachofra crua</t>
  </si>
  <si>
    <t>Alcaparras (picles)</t>
  </si>
  <si>
    <t>Alecrim fresco</t>
  </si>
  <si>
    <t>Alecrim, seco</t>
  </si>
  <si>
    <t>Alface</t>
  </si>
  <si>
    <t>Alface roxa</t>
  </si>
  <si>
    <t>Alheira cozida sem adição de sal</t>
  </si>
  <si>
    <t>Alheira crua</t>
  </si>
  <si>
    <t>Alheira grelhada sem adição de sal</t>
  </si>
  <si>
    <t>Alho cru</t>
  </si>
  <si>
    <t>Alho em pó</t>
  </si>
  <si>
    <t>Alho-francês cru</t>
  </si>
  <si>
    <t>Almôndegas de porco</t>
  </si>
  <si>
    <t>Almôndegas de vaca</t>
  </si>
  <si>
    <t xml:space="preserve">Almôndegas de vaca e porco </t>
  </si>
  <si>
    <t>Amêijoa aberta ao natural sem sal</t>
  </si>
  <si>
    <t>Amêijoa crua</t>
  </si>
  <si>
    <t>Amêijoas à Bulhão Pato</t>
  </si>
  <si>
    <t>Ameixa branca</t>
  </si>
  <si>
    <t>Ameixa, conserva em calda de açúcar</t>
  </si>
  <si>
    <t>Ameixa encarnada</t>
  </si>
  <si>
    <t>Ameixa rainha Cláudia</t>
  </si>
  <si>
    <t>Ameixa seca</t>
  </si>
  <si>
    <t>Amêndoa, miolo, com pele</t>
  </si>
  <si>
    <t>Amêndoa, miolo, torrada, sem pele</t>
  </si>
  <si>
    <t>Amendoim, miolo</t>
  </si>
  <si>
    <t>Amendoim, miolo, torrado com sal</t>
  </si>
  <si>
    <t>Amendoim, miolo, torrado sem sal</t>
  </si>
  <si>
    <t>Amora</t>
  </si>
  <si>
    <t xml:space="preserve">Ananás </t>
  </si>
  <si>
    <t>Ananás, conserva em calda de açúcar</t>
  </si>
  <si>
    <t>Ananás desidratado</t>
  </si>
  <si>
    <t>Anchova, conserva em óleo, escorrido</t>
  </si>
  <si>
    <t>Anona</t>
  </si>
  <si>
    <t>Anona desidratada</t>
  </si>
  <si>
    <t>Arroz agulha cru</t>
  </si>
  <si>
    <t>Arroz à valenciana</t>
  </si>
  <si>
    <t>Arroz carolino branqueado cru</t>
  </si>
  <si>
    <t>Arroz cozido simples</t>
  </si>
  <si>
    <t>Arroz de bacalhau</t>
  </si>
  <si>
    <t>Arroz de bacalhau com margarina</t>
  </si>
  <si>
    <t>Arroz de cabidela</t>
  </si>
  <si>
    <t>Arroz de cenoura</t>
  </si>
  <si>
    <t>Arroz de cenoura com azeite</t>
  </si>
  <si>
    <t>Arroz de ervilhas</t>
  </si>
  <si>
    <t>Arroz de feijão</t>
  </si>
  <si>
    <t>Arroz de frango</t>
  </si>
  <si>
    <t>Arroz de frango com feijão e chouriço</t>
  </si>
  <si>
    <t>Arroz de frango malandrinho à moda de Monção</t>
  </si>
  <si>
    <t>Arroz de gambas</t>
  </si>
  <si>
    <t>Arroz de lulas</t>
  </si>
  <si>
    <t>Arroz de manteiga</t>
  </si>
  <si>
    <t>Arroz de marisco</t>
  </si>
  <si>
    <t>Arroz de pato</t>
  </si>
  <si>
    <t>Arroz de peixe</t>
  </si>
  <si>
    <t>Arroz de peixe com ervilhas</t>
  </si>
  <si>
    <t>Arroz de polvo com azeite</t>
  </si>
  <si>
    <t xml:space="preserve">Arroz de polvo com tomate </t>
  </si>
  <si>
    <t>Arroz de polvo com tomate e vinho</t>
  </si>
  <si>
    <t>Arroz de tamboril</t>
  </si>
  <si>
    <t>Arroz de tamboril malandrinho</t>
  </si>
  <si>
    <t>Arroz de tomate com azeite</t>
  </si>
  <si>
    <t>Arroz de tomate com margarina</t>
  </si>
  <si>
    <t>Arroz de tomate malandrinho</t>
  </si>
  <si>
    <t>Arroz doce</t>
  </si>
  <si>
    <t>Arroz integral cru</t>
  </si>
  <si>
    <t>Atum conserva em óleo</t>
  </si>
  <si>
    <t>Atum de cebolada</t>
  </si>
  <si>
    <t>Atum fresco cru</t>
  </si>
  <si>
    <t>Atum fresco grelhado</t>
  </si>
  <si>
    <t>Avelã, miolo</t>
  </si>
  <si>
    <t>Azeite (4 marcas)</t>
  </si>
  <si>
    <t>Azeitona</t>
  </si>
  <si>
    <t>Bacalhau à Brás</t>
  </si>
  <si>
    <t>Bacalhau à Brás com azeite</t>
  </si>
  <si>
    <t>Bacalhau à Brás com azeite e azeitonas</t>
  </si>
  <si>
    <t>Bacalhau à Gomes de Sá</t>
  </si>
  <si>
    <t>Bacalhau à Gomes de Sá, com azeite</t>
  </si>
  <si>
    <t>Bacalhau assado no forno com azeite</t>
  </si>
  <si>
    <t>Bacalhau com natas</t>
  </si>
  <si>
    <t>Bacalhau com natas, com queijo ralado</t>
  </si>
  <si>
    <t>Bacalhau cozido</t>
  </si>
  <si>
    <t>Bacalhau fresco cozido</t>
  </si>
  <si>
    <t>Bacalhau fresco cru</t>
  </si>
  <si>
    <t>Bacalhau grelhado</t>
  </si>
  <si>
    <t>Bacalhau seco e salgado, demolhado cru</t>
  </si>
  <si>
    <t>Baço de porco</t>
  </si>
  <si>
    <t>Bacon</t>
  </si>
  <si>
    <t>Bacon, grelhado sem adição de sal</t>
  </si>
  <si>
    <t>Bagas goji secas</t>
  </si>
  <si>
    <t>Banana</t>
  </si>
  <si>
    <t>Banha de porco</t>
  </si>
  <si>
    <t>Base em pó para bebida de ananás</t>
  </si>
  <si>
    <t>Base em pó para bebida de laranja</t>
  </si>
  <si>
    <t>Batata assada com pele, sem sal (só a polpa)</t>
  </si>
  <si>
    <t>Batata assada no forno</t>
  </si>
  <si>
    <t>Batata cozida</t>
  </si>
  <si>
    <t>Batata crua</t>
  </si>
  <si>
    <t>Batata doce assada</t>
  </si>
  <si>
    <t>Batata doce crua</t>
  </si>
  <si>
    <t>Batata estufada com cebola, azeite e óleo alimentar</t>
  </si>
  <si>
    <t>Batata, fécula</t>
  </si>
  <si>
    <t>Batata frita caseira (em palitos)</t>
  </si>
  <si>
    <t>Batata frita, de pacote (em rodelas)</t>
  </si>
  <si>
    <t>Bebida à base de soja com açúcar, com cálcio, sal e aromas</t>
  </si>
  <si>
    <t>Bebida à base de soja com açúcar, sal e aromas</t>
  </si>
  <si>
    <t>Bebida à base de soja natural, sem açúcar e sem sal</t>
  </si>
  <si>
    <t>Bebida refrigerante, cola</t>
  </si>
  <si>
    <t>Bebida refrigerante, cola sem açúcar</t>
  </si>
  <si>
    <t>Bebida refrigerante, gasosa</t>
  </si>
  <si>
    <t>Bebida refrigerante, laranja</t>
  </si>
  <si>
    <t>Beldroega crua</t>
  </si>
  <si>
    <t>Berbigão aberto ao natural sem sal</t>
  </si>
  <si>
    <t>Berbigão cru</t>
  </si>
  <si>
    <t>Beringela crua</t>
  </si>
  <si>
    <t>Beringela grelhada com azeite</t>
  </si>
  <si>
    <t>Besugo cru</t>
  </si>
  <si>
    <t>Beterraba (raiz) cozida sem sal</t>
  </si>
  <si>
    <t>Beterraba (raiz) crua</t>
  </si>
  <si>
    <t>Bife de atum fresco, estufado com azeite e vinho</t>
  </si>
  <si>
    <t>Bife de cavalo, alcatra crua</t>
  </si>
  <si>
    <t>Bife de cavalo, alcatra frita com manteiga</t>
  </si>
  <si>
    <t>Bife de cavalo, alcatra frita com margarina</t>
  </si>
  <si>
    <t>Bife de cavalo, alcatra frita, sem molho</t>
  </si>
  <si>
    <t>Bife de espadarte, estufado com azeite e vinho</t>
  </si>
  <si>
    <t>Bife de porco grelhado</t>
  </si>
  <si>
    <t>Bife de vaca à café</t>
  </si>
  <si>
    <t>Bife de vaca à Marrare com manteiga</t>
  </si>
  <si>
    <t>Bife de vaca à Marrare com margarina</t>
  </si>
  <si>
    <t>Bife de vaca com ovo a cavalo com banha</t>
  </si>
  <si>
    <t>Bife de vaca com ovo a cavalo com manteiga</t>
  </si>
  <si>
    <t>Bife de vaca (valor médio de acém, alcatra e lombo) cru</t>
  </si>
  <si>
    <t>Bife de vaca (valor médio de acém, alcatra e lombo) frito com manteiga</t>
  </si>
  <si>
    <t>Bife de vaca (valor médio de acém, alcatra e lombo) frito, sem molho</t>
  </si>
  <si>
    <t>Bife de vaca (valor médio de acém, alcatra e lombo) grelhado</t>
  </si>
  <si>
    <t>Bife de vitela cru</t>
  </si>
  <si>
    <t>Bife de vitela frito</t>
  </si>
  <si>
    <t>Biscoitos, argolas</t>
  </si>
  <si>
    <t>Biscoitos caseiros</t>
  </si>
  <si>
    <t>Biscoitos limão</t>
  </si>
  <si>
    <t>Biscoitos, línguas de gato</t>
  </si>
  <si>
    <t>Biscoitos, línguas de veado</t>
  </si>
  <si>
    <t>Biscoitos, palitos la Reine</t>
  </si>
  <si>
    <t>Bolacha água e sal</t>
  </si>
  <si>
    <t>Bolacha aveia</t>
  </si>
  <si>
    <t>Bolacha "Belga"</t>
  </si>
  <si>
    <t>Bolacha chocolate</t>
  </si>
  <si>
    <t>Bolacha "Cream cracker"</t>
  </si>
  <si>
    <t>Bolacha integral (trigo)</t>
  </si>
  <si>
    <t>Bolacha manteiga</t>
  </si>
  <si>
    <t>Bolacha Maria</t>
  </si>
  <si>
    <t>Bolacha torrada</t>
  </si>
  <si>
    <t>Bolacha "waffer" baunilha</t>
  </si>
  <si>
    <t>Bola de Berlim sem creme</t>
  </si>
  <si>
    <t>Bolo de arroz</t>
  </si>
  <si>
    <t>Bolo de bolacha Maria</t>
  </si>
  <si>
    <t>Bolo de chocolate</t>
  </si>
  <si>
    <t>Bolo de coco</t>
  </si>
  <si>
    <t>Bolo ferradura</t>
  </si>
  <si>
    <t>Bolo inglês</t>
  </si>
  <si>
    <t>Bolo-Rei</t>
  </si>
  <si>
    <t>Brandy</t>
  </si>
  <si>
    <t>Brócolos cozidos</t>
  </si>
  <si>
    <t>Brócolos crus</t>
  </si>
  <si>
    <t>Bulgur</t>
  </si>
  <si>
    <t>Búzio cru</t>
  </si>
  <si>
    <t>Cabeça de porco</t>
  </si>
  <si>
    <t>Cação cru</t>
  </si>
  <si>
    <t>Cação frito</t>
  </si>
  <si>
    <t>Cacau em pó</t>
  </si>
  <si>
    <t>Cachaço de vaca cru</t>
  </si>
  <si>
    <t>Cachucho cru</t>
  </si>
  <si>
    <t>Café, infusão - bica (3 marcas)</t>
  </si>
  <si>
    <t>Café, infusão - café de cafeteira (3 marcas)</t>
  </si>
  <si>
    <t>Café, infusão - carioca (2 marcas)</t>
  </si>
  <si>
    <t>Café, infusão - valor médio (bica 60% e café de cafeteira 40%)</t>
  </si>
  <si>
    <t>Café solúvel em pó com cafeína</t>
  </si>
  <si>
    <t>Café solúvel em pó descafeinado</t>
  </si>
  <si>
    <t>Caldeirada de bacalhau</t>
  </si>
  <si>
    <t>Caldeirada de bacalhau com enchidos e massa</t>
  </si>
  <si>
    <t>Caldeirada de cabrito com azeite e banha</t>
  </si>
  <si>
    <t>Caldeirada de cabrito com azeite e margarina</t>
  </si>
  <si>
    <t>Caldeirada de enguias</t>
  </si>
  <si>
    <t>Caldeirada de enguias à moda de Aveiro</t>
  </si>
  <si>
    <t>Caldeirada de pargo e peixe-espada-preto</t>
  </si>
  <si>
    <t>Caldeirada de peixe</t>
  </si>
  <si>
    <t>Caldeirada de safio com amêijoas</t>
  </si>
  <si>
    <t>Caldeirada de safio com batatas</t>
  </si>
  <si>
    <t>Caldeirada de safio, raia e tamboril</t>
  </si>
  <si>
    <t>Caldo preparado com cubo de carne de galinha (diluição 2%)</t>
  </si>
  <si>
    <t>Caldo preparado com cubo de carne de vaca (diluição 2%)</t>
  </si>
  <si>
    <t>Camarão cozido</t>
  </si>
  <si>
    <t>Camarão cozido sem sal</t>
  </si>
  <si>
    <t>Camarão cru</t>
  </si>
  <si>
    <t>Canela moída</t>
  </si>
  <si>
    <t>Canja de frango com aipo</t>
  </si>
  <si>
    <t>Canja de frango com massa</t>
  </si>
  <si>
    <t>Canónigos crus</t>
  </si>
  <si>
    <t>Cantarilho (Redfish) assado com cebola, tomate, azeite e bacon</t>
  </si>
  <si>
    <t>Cantarilho (Redfish) com batata, no forno</t>
  </si>
  <si>
    <t>Cantarilho (Redfish) cozido</t>
  </si>
  <si>
    <t>Cantarilho (Redfish) cru</t>
  </si>
  <si>
    <t>Cantarilho (Redfish) no forno</t>
  </si>
  <si>
    <t>Caracol cru</t>
  </si>
  <si>
    <t>Carambola</t>
  </si>
  <si>
    <t>Carapau cru</t>
  </si>
  <si>
    <t>Carapau frito</t>
  </si>
  <si>
    <t>Carapau grelhado</t>
  </si>
  <si>
    <t>Cardamomo</t>
  </si>
  <si>
    <t>Caril em pó</t>
  </si>
  <si>
    <t>Carne à bolonhesa</t>
  </si>
  <si>
    <t>Carne à jardineira</t>
  </si>
  <si>
    <t>Carne de porco à alentejana</t>
  </si>
  <si>
    <t>Carne de porco à alentejana sem massa de pimentão</t>
  </si>
  <si>
    <t>Caseína</t>
  </si>
  <si>
    <t>Castanha assada com sal</t>
  </si>
  <si>
    <t>Castanha cozida sem sal</t>
  </si>
  <si>
    <t>Castanha de caju torrada  e salgada</t>
  </si>
  <si>
    <t>Castanha de caju torrada, sem sal</t>
  </si>
  <si>
    <t>Castanha do Brasil</t>
  </si>
  <si>
    <t>Castanha, miolo</t>
  </si>
  <si>
    <t>Castanha pilada</t>
  </si>
  <si>
    <t>Cavala cozida</t>
  </si>
  <si>
    <t>Cavala crua</t>
  </si>
  <si>
    <t>Cavala em filetes, conserva em azeite</t>
  </si>
  <si>
    <t>Cavala grelhada</t>
  </si>
  <si>
    <t>Cavala no forno</t>
  </si>
  <si>
    <t>Cebola cozida</t>
  </si>
  <si>
    <t>Cebola crua</t>
  </si>
  <si>
    <t>Cebola frita com óleo alimentar</t>
  </si>
  <si>
    <t>Cebolinho fresco</t>
  </si>
  <si>
    <t>Cenoura baby crua</t>
  </si>
  <si>
    <t>Cenoura cozida</t>
  </si>
  <si>
    <t>Cenoura crua</t>
  </si>
  <si>
    <t>Cereal de pequeno almoço à base de farelo de trigo (tipo "All-Bran")</t>
  </si>
  <si>
    <t>Cereal de pequeno almoço de trigo integral tipo "Weetabix"</t>
  </si>
  <si>
    <t>Cerefólio fresco</t>
  </si>
  <si>
    <t>Cereja (4 variedades)</t>
  </si>
  <si>
    <t>Cereja, conserva em calda de açúcar</t>
  </si>
  <si>
    <t>Cereja, cristalizada</t>
  </si>
  <si>
    <t>Cereja desidratada</t>
  </si>
  <si>
    <t>Cerveja branca</t>
  </si>
  <si>
    <t>Cerveja preta</t>
  </si>
  <si>
    <t>Cerveja sem álcool</t>
  </si>
  <si>
    <t>Chá, infusão, preto</t>
  </si>
  <si>
    <t>Chá, infusão, verde</t>
  </si>
  <si>
    <t>Chambão de vitela cru</t>
  </si>
  <si>
    <t>Chamuça</t>
  </si>
  <si>
    <t>Cherne cozido</t>
  </si>
  <si>
    <t>Cherne cru</t>
  </si>
  <si>
    <t>Cherne grelhado</t>
  </si>
  <si>
    <t>Chicharro cozido</t>
  </si>
  <si>
    <t>Chicharro cru</t>
  </si>
  <si>
    <t>Chicharro grelhado</t>
  </si>
  <si>
    <t>Chicória crua</t>
  </si>
  <si>
    <t>Chispe de porco</t>
  </si>
  <si>
    <t>Choco cru</t>
  </si>
  <si>
    <t>Choco grelhado</t>
  </si>
  <si>
    <t>Chocolate de leite</t>
  </si>
  <si>
    <t>Chocolate em barra, culinária</t>
  </si>
  <si>
    <t>Chocolate em pó</t>
  </si>
  <si>
    <t>Chocolate negro (aproximadamente 50% cacau)</t>
  </si>
  <si>
    <t>Chouriço de carne de porco, cru</t>
  </si>
  <si>
    <t>Chouriço de carne de porco, gordo, cru</t>
  </si>
  <si>
    <t>Chouriço de carne de porco, magro, cozido sem adição de sal</t>
  </si>
  <si>
    <t>Chouriço de carne de porco, magro, cru</t>
  </si>
  <si>
    <t>Chouriço de carne de porco, magro, grelhado sem adição de sal</t>
  </si>
  <si>
    <t>Chouriço de sangue cozido sem adição de sal</t>
  </si>
  <si>
    <t>Chouriço de sangue, cru</t>
  </si>
  <si>
    <t>Chuchu</t>
  </si>
  <si>
    <t>Chucrute</t>
  </si>
  <si>
    <t>Clara de ovo de galinha, crua</t>
  </si>
  <si>
    <t>Clara de ovo de galinha, pasteurizada</t>
  </si>
  <si>
    <t>Clementina</t>
  </si>
  <si>
    <t>Coco seco, ralado</t>
  </si>
  <si>
    <t xml:space="preserve">Codorniz carne sem pele, crua </t>
  </si>
  <si>
    <t>Codorniz com pele, crua</t>
  </si>
  <si>
    <t>Codorniz com pele, estufada com azeite</t>
  </si>
  <si>
    <t>Codorniz com pele, grelhada</t>
  </si>
  <si>
    <t>Coelho à caçador</t>
  </si>
  <si>
    <t>Coelho cru</t>
  </si>
  <si>
    <t>Coelho em vinha de alhos</t>
  </si>
  <si>
    <t>Coelho estufado</t>
  </si>
  <si>
    <t>Coelho estufado com azeite</t>
  </si>
  <si>
    <t>Coelho estufado com margarina</t>
  </si>
  <si>
    <t>Coentros crus</t>
  </si>
  <si>
    <t>Cogumelos crus</t>
  </si>
  <si>
    <t>Cogumelos enlatados, escorridos</t>
  </si>
  <si>
    <t>Cogumelos fritos com óleo alimentar</t>
  </si>
  <si>
    <t>Colorau</t>
  </si>
  <si>
    <t>Cominhos</t>
  </si>
  <si>
    <t>Compota de ameixa</t>
  </si>
  <si>
    <t>Compota de ananás</t>
  </si>
  <si>
    <t>Compota de cereja</t>
  </si>
  <si>
    <t>Compota de damasco</t>
  </si>
  <si>
    <t>Compota de laranja</t>
  </si>
  <si>
    <t>Condimento de mostarda</t>
  </si>
  <si>
    <t>Coração de galinha cru</t>
  </si>
  <si>
    <t>Coração de porco, cru</t>
  </si>
  <si>
    <t>Coração de porco, estufado com banha e margarina</t>
  </si>
  <si>
    <t>Coração de vaca, cozido</t>
  </si>
  <si>
    <t>Coração de vaca, cru</t>
  </si>
  <si>
    <t>Coração de vaca, estufado com banha e margarina</t>
  </si>
  <si>
    <t>Coração de vitela, cru</t>
  </si>
  <si>
    <t>Corvina cozida</t>
  </si>
  <si>
    <t>Corvina crua</t>
  </si>
  <si>
    <t>Costeleta de cabrito crua</t>
  </si>
  <si>
    <t>Costeleta de cabrito grelhada</t>
  </si>
  <si>
    <t>Costeleta de carneiro, crua</t>
  </si>
  <si>
    <t>Costeleta de porco gorda crua</t>
  </si>
  <si>
    <t>Costeleta de porco gorda grelhada</t>
  </si>
  <si>
    <t>Costeleta de porco grelhada</t>
  </si>
  <si>
    <t>Costeleta de porco meio gorda crua</t>
  </si>
  <si>
    <t>Costeleta de porco meio gorda estufada</t>
  </si>
  <si>
    <t>Costeleta de porco meio gorda estufada com azeite e banha</t>
  </si>
  <si>
    <t>Costeleta de porco meio gorda estufada com azeite e margarina</t>
  </si>
  <si>
    <t>Costeleta de porco meio gorda estufada com margarina</t>
  </si>
  <si>
    <t>Costeleta de porco meio gorda estufada com óleo alimentar e banha</t>
  </si>
  <si>
    <t>Costeleta de porco meio gorda estufada, sem molho</t>
  </si>
  <si>
    <t>Costeleta de porco meio gorda frita panada</t>
  </si>
  <si>
    <t>Costeleta de porco meio gorda grelhada</t>
  </si>
  <si>
    <t>Costeleta de vitela crua</t>
  </si>
  <si>
    <t>Costeleta de vitela frita com margarina</t>
  </si>
  <si>
    <t>Costeleta de vitela frita panada</t>
  </si>
  <si>
    <t>Costeleta de vitela frita, sem molho</t>
  </si>
  <si>
    <t>Costeleta de vitela grelhada</t>
  </si>
  <si>
    <t>Costeleta ou perna de borrego assada com azeite e margarina</t>
  </si>
  <si>
    <t>Costeleta ou perna de borrego assada com margarina</t>
  </si>
  <si>
    <t>Costeleta ou perna de borrego, assada, sem molho</t>
  </si>
  <si>
    <t xml:space="preserve">Costeleta ou perna de borrego, cozida </t>
  </si>
  <si>
    <t xml:space="preserve">Costeleta ou perna de borrego, crua </t>
  </si>
  <si>
    <t>Costeleta ou perna de borrego, estufada com azeite e margarina</t>
  </si>
  <si>
    <t>Costeleta ou perna de borrego, estufada com margarina</t>
  </si>
  <si>
    <t>Costeleta ou perna de borrego, estufada sem molho</t>
  </si>
  <si>
    <t>Costeleta ou perna de borrego frita com margarina, sem molho</t>
  </si>
  <si>
    <t>Costeleta ou perna de borrego, grelhada</t>
  </si>
  <si>
    <t>Costeleta ou perna de carneiro magra frita com margarina, sem molho</t>
  </si>
  <si>
    <t>Couve-branca cozida</t>
  </si>
  <si>
    <t>Couve-branca crua</t>
  </si>
  <si>
    <t>Couve-de-Bruxelas cozida</t>
  </si>
  <si>
    <t>Couve-de-Bruxelas crua</t>
  </si>
  <si>
    <t>Couve-flor cozida</t>
  </si>
  <si>
    <t>Couve-flor crua</t>
  </si>
  <si>
    <t>Couve-galega cozida</t>
  </si>
  <si>
    <t>Couve-galega crua</t>
  </si>
  <si>
    <t>Couve-lombarda cozida</t>
  </si>
  <si>
    <t>Couve-lombarda crua</t>
  </si>
  <si>
    <t>Couve-portuguesa cozida</t>
  </si>
  <si>
    <t>Couve-portuguesa crua</t>
  </si>
  <si>
    <t>Couve-roxa crua</t>
  </si>
  <si>
    <t>Cozido à portuguesa</t>
  </si>
  <si>
    <t>Cozido à portuguesa com grão</t>
  </si>
  <si>
    <t>Cravinho</t>
  </si>
  <si>
    <t>Creme culinário</t>
  </si>
  <si>
    <t>Creme culinário líquido, 65% gordura, com sal</t>
  </si>
  <si>
    <t>Creme de camarão</t>
  </si>
  <si>
    <t>Creme de camarão com natas</t>
  </si>
  <si>
    <t>Creme de ervilhas</t>
  </si>
  <si>
    <t>Creme para barrar de cacau e avelãs (8 marcas)</t>
  </si>
  <si>
    <t>Creme vegetal culinário, 75% gordura, sem sal</t>
  </si>
  <si>
    <t>Creme vegetal para barrar 35% gordura, com fitosteróis</t>
  </si>
  <si>
    <t>Creme vegetal para barrar 37% gordura</t>
  </si>
  <si>
    <t>Creme vegetal para barrar 58% gordura, com cálcio</t>
  </si>
  <si>
    <t>Creme vegetal para barrar 70% gordura, 53% ácidos gordos monoinsaturados</t>
  </si>
  <si>
    <t>Creme vegetal para barrar 70% gordura, com sal</t>
  </si>
  <si>
    <t>Creme vegetal para barrar  72% gordura, 33% ácidos gordos polinsaturados</t>
  </si>
  <si>
    <t>Croissant</t>
  </si>
  <si>
    <t>Croquete</t>
  </si>
  <si>
    <t>Croquete de carne de vaca meio-gorda</t>
  </si>
  <si>
    <t>Cubo de carne de galinha para caldo</t>
  </si>
  <si>
    <t>Cubo de carne de vaca para caldo</t>
  </si>
  <si>
    <t>Curgete crua</t>
  </si>
  <si>
    <t>Curgete frita com óleo alimentar</t>
  </si>
  <si>
    <t>Damasco</t>
  </si>
  <si>
    <t>Damasco, conserva em calda de açúcar</t>
  </si>
  <si>
    <t>Damasco seco</t>
  </si>
  <si>
    <t>Dióspiro</t>
  </si>
  <si>
    <t>Dióspiro desidratado</t>
  </si>
  <si>
    <t>Doce de cereja</t>
  </si>
  <si>
    <t>Doce de damasco</t>
  </si>
  <si>
    <t>Doce de framboesa</t>
  </si>
  <si>
    <t>Doce de ginja</t>
  </si>
  <si>
    <t>Doce de maçã</t>
  </si>
  <si>
    <t>Doce de morango</t>
  </si>
  <si>
    <t>Doce de pêssego</t>
  </si>
  <si>
    <t>Donut</t>
  </si>
  <si>
    <t>Donut recheado com doce de fruta</t>
  </si>
  <si>
    <t>Dourada cozida</t>
  </si>
  <si>
    <t>Dourada crua</t>
  </si>
  <si>
    <t>Éclair de chocolate</t>
  </si>
  <si>
    <t>Empada</t>
  </si>
  <si>
    <t>Empadão de atum</t>
  </si>
  <si>
    <t>Empadão de bacalhau</t>
  </si>
  <si>
    <t>Empadão de carne com manteiga</t>
  </si>
  <si>
    <t>Empadão de carne com margarina</t>
  </si>
  <si>
    <t>Empadão de carne guisada</t>
  </si>
  <si>
    <t>Empadão de pescada e camarão</t>
  </si>
  <si>
    <t>Endívia crua</t>
  </si>
  <si>
    <t>Enguia crua</t>
  </si>
  <si>
    <t>Enguia frita</t>
  </si>
  <si>
    <t>Entrecosto de porco cozido</t>
  </si>
  <si>
    <t>Entrecosto de porco cru</t>
  </si>
  <si>
    <t>Entrecosto de porco estufado com azeite e banha</t>
  </si>
  <si>
    <t>Entrecosto de porco estufado com azeite e margarina</t>
  </si>
  <si>
    <t>Entrecosto de porco estufado com margarina</t>
  </si>
  <si>
    <t>Entrecosto de porco estufado com óleo alimentar e banha</t>
  </si>
  <si>
    <t>Entrecosto de porco estufado, sem molho</t>
  </si>
  <si>
    <t>Entrecosto de porco grelhado</t>
  </si>
  <si>
    <t>Ervilhas estufadas</t>
  </si>
  <si>
    <t>Ervilhas, grão, congeladas cozidas</t>
  </si>
  <si>
    <t>Ervilhas, grão, congeladas cruas</t>
  </si>
  <si>
    <t>Ervilhas, grão, frescas cozidas</t>
  </si>
  <si>
    <t>Ervilhas, grão, frescas cruas</t>
  </si>
  <si>
    <t>Ervilhas secas cozidas</t>
  </si>
  <si>
    <t>Ervilhas secas cruas</t>
  </si>
  <si>
    <t>Ervilhas, vagens cozidas</t>
  </si>
  <si>
    <t>Ervilhas, vagens cruas</t>
  </si>
  <si>
    <t>Espadarte cru</t>
  </si>
  <si>
    <t>Espadarte grelhado</t>
  </si>
  <si>
    <t>Espargos cozidos</t>
  </si>
  <si>
    <t>Espargos crus</t>
  </si>
  <si>
    <t>Esparguete cozido</t>
  </si>
  <si>
    <t>Esparguete cru</t>
  </si>
  <si>
    <t>Esparguete estufado com cenoura e azeite</t>
  </si>
  <si>
    <t>Esparguete estufado com cenoura e margarina</t>
  </si>
  <si>
    <t>Espetada de porco grelhada</t>
  </si>
  <si>
    <t>Espetada de vaca grelhada</t>
  </si>
  <si>
    <t>Espinafres crus</t>
  </si>
  <si>
    <t>Estragão fresco</t>
  </si>
  <si>
    <t>Estragão seco</t>
  </si>
  <si>
    <t>Faneca crua</t>
  </si>
  <si>
    <t>Farelo de trigo</t>
  </si>
  <si>
    <t>Farinha de alfarroba</t>
  </si>
  <si>
    <t>Farinha de aveia</t>
  </si>
  <si>
    <t>Farinha de centeio</t>
  </si>
  <si>
    <t>Farinha de centeio tipo 70</t>
  </si>
  <si>
    <t>Farinha de centeio tipo 85</t>
  </si>
  <si>
    <t>Farinha de cevada</t>
  </si>
  <si>
    <t>Farinha de espelta</t>
  </si>
  <si>
    <t>Farinha de milho tipo 70</t>
  </si>
  <si>
    <t>Farinha de pau (mandioca)</t>
  </si>
  <si>
    <t>Farinha de trigo integral</t>
  </si>
  <si>
    <t>Farinha de trigo tipo 150</t>
  </si>
  <si>
    <t>Farinha de trigo tipo 55</t>
  </si>
  <si>
    <t>Farinha de trigo (valor médio tipo 150 e tipo 55)</t>
  </si>
  <si>
    <t>Farinha láctea 5 frutos tipo "Cerelac" (com farinha de trigo)</t>
  </si>
  <si>
    <t>Farinha láctea maçãs tipo "Cerelac" (com farinha de trigo)</t>
  </si>
  <si>
    <t>Farinha láctea tipo "Cerelac" (com farinha de trigo)</t>
  </si>
  <si>
    <t>Farinheira cozida sem adição de sal</t>
  </si>
  <si>
    <t>Farinheira crua</t>
  </si>
  <si>
    <t>Favada à portuguesa</t>
  </si>
  <si>
    <t>Favas frescas cozidas</t>
  </si>
  <si>
    <t>Favas frescas cruas</t>
  </si>
  <si>
    <t>Favas secas cozidas (demolhadas)</t>
  </si>
  <si>
    <t>Favas secas cruas</t>
  </si>
  <si>
    <t>Feijão branco cozido (demolhado)</t>
  </si>
  <si>
    <t>Feijão branco cru</t>
  </si>
  <si>
    <t>Feijão frade (feijão miúdo) cozido (demolhado)</t>
  </si>
  <si>
    <t>Feijão frade (feijão miúdo) cru</t>
  </si>
  <si>
    <t>Feijão manteiga cozido (demolhado)</t>
  </si>
  <si>
    <t>Feijão manteiga cru</t>
  </si>
  <si>
    <t>Feijão-verde fresco cozido</t>
  </si>
  <si>
    <t>Feijão-verde fresco cru</t>
  </si>
  <si>
    <t>Feijão vermelho seco</t>
  </si>
  <si>
    <t>Feijoada com carne de porco</t>
  </si>
  <si>
    <t>Feijoada com carne de porco e de vaca</t>
  </si>
  <si>
    <t>Feijoada com enchidos e ovos</t>
  </si>
  <si>
    <t>Feijoa (polpa)</t>
  </si>
  <si>
    <t>Fermento em pó</t>
  </si>
  <si>
    <t>Fermento fresco de padeiro</t>
  </si>
  <si>
    <t>Fermento seco de padeiro</t>
  </si>
  <si>
    <t>Fiambre de aves</t>
  </si>
  <si>
    <t>Fiambre de porco</t>
  </si>
  <si>
    <t>Fiambre, pá</t>
  </si>
  <si>
    <t>Fiambre, peito de frango</t>
  </si>
  <si>
    <t>Fiambre, peito de peru</t>
  </si>
  <si>
    <t>Fiambre, perna</t>
  </si>
  <si>
    <t>Fígado de galinha</t>
  </si>
  <si>
    <t>Fígado de porco, cru</t>
  </si>
  <si>
    <t>Fígado de porco, frito com margarina e banha</t>
  </si>
  <si>
    <t>Fígado de porco, frito, sem molho</t>
  </si>
  <si>
    <t>Fígado de porco, grelhado</t>
  </si>
  <si>
    <t>Fígado de vaca, cru</t>
  </si>
  <si>
    <t>Fígado de vaca, frito, sem molho</t>
  </si>
  <si>
    <t>Fígado de vitela, cru</t>
  </si>
  <si>
    <t>Fígado de vitela, frito com banha e manteiga</t>
  </si>
  <si>
    <t>Fígado de vitela, frito, sem molho</t>
  </si>
  <si>
    <t>Fígado de vitela, grelhado</t>
  </si>
  <si>
    <t>Figo (5 variedades)</t>
  </si>
  <si>
    <t>Figo cristalizado</t>
  </si>
  <si>
    <t>Figo seco</t>
  </si>
  <si>
    <t>Filetes de bacalhau fritos</t>
  </si>
  <si>
    <t>Fisális</t>
  </si>
  <si>
    <t>Flocos de arroz</t>
  </si>
  <si>
    <t>Flocos de aveia</t>
  </si>
  <si>
    <t>Flocos de centeio</t>
  </si>
  <si>
    <t>Flocos de cereais e frutos secos tipo "Muesli"</t>
  </si>
  <si>
    <t>Flocos de cevada</t>
  </si>
  <si>
    <t>Flocos de milho tipo "Corn Flakes"</t>
  </si>
  <si>
    <t>Flocos de trigo</t>
  </si>
  <si>
    <t>Flocos de trigo com figos tipo "Nestum"</t>
  </si>
  <si>
    <t>Flocos de trigo com mel tipo "Nestum"</t>
  </si>
  <si>
    <t>Flocos de trigo e arroz enriquecidos com vitaminas, cálcio e ferro</t>
  </si>
  <si>
    <t>Flocos de trigo integral tipo "All-Bran Flakes"</t>
  </si>
  <si>
    <t>Flor de sal</t>
  </si>
  <si>
    <t>Folhas de rabanete cruas</t>
  </si>
  <si>
    <t>Framboesa</t>
  </si>
  <si>
    <t>Framboesa desidratada</t>
  </si>
  <si>
    <t>Francesinha, com molho</t>
  </si>
  <si>
    <t>Frango (1/4) peito e asa com pele, cozidos</t>
  </si>
  <si>
    <t>Frango (1/4), peito e asa com pele, crus</t>
  </si>
  <si>
    <t>Frango (1/4) peito e asa com pele, estufados com azeite e margarina</t>
  </si>
  <si>
    <t>Frango (1/4) peito e asa com pele, estufados com margarina</t>
  </si>
  <si>
    <t>Frango (1/4) peito e asa com pele, estufados sem molho</t>
  </si>
  <si>
    <t>Frango (1/4) peito e asa com pele, grelhados</t>
  </si>
  <si>
    <t>Frango (1/4) perna com costa e pele, assada sem molho</t>
  </si>
  <si>
    <t>Frango (1/4) perna com costa e pele, cozida</t>
  </si>
  <si>
    <t>Frango (1/4), perna com costa e pele, crua</t>
  </si>
  <si>
    <t>Frango (1/4) perna com costa e pele, estufada com azeite e margarina</t>
  </si>
  <si>
    <t>Frango (1/4) perna com costa e pele, estufada com margarina</t>
  </si>
  <si>
    <t>Frango (1/4) perna com costa e pele, estufada sem molho</t>
  </si>
  <si>
    <t>Frango (1/4), perna com costa e pele, grelhada</t>
  </si>
  <si>
    <t>Frango inteiro com pele, assado sem molho</t>
  </si>
  <si>
    <t>Frango inteiro com pele, cozido</t>
  </si>
  <si>
    <t>Frango inteiro com pele, cru</t>
  </si>
  <si>
    <t>Frango inteiro com pele, estufado com azeite e margarina</t>
  </si>
  <si>
    <t>Frango inteiro com pele, estufado com margarina</t>
  </si>
  <si>
    <t>Frango inteiro com pele, estufado sem molho</t>
  </si>
  <si>
    <t>Frango inteiro com pele, grelhado</t>
  </si>
  <si>
    <t>Frango inteiro sem pele, cozido</t>
  </si>
  <si>
    <t>Frango inteiro sem pele, cru</t>
  </si>
  <si>
    <t>Frango inteiro sem pele, estufado com azeite e margarina</t>
  </si>
  <si>
    <t>Frango inteiro sem pele, estufado com margarina</t>
  </si>
  <si>
    <t>Frango inteiro sem pele, estufado sem molho</t>
  </si>
  <si>
    <t>Frango inteiro sem pele, grelhado</t>
  </si>
  <si>
    <t>Frango, pele crua</t>
  </si>
  <si>
    <t>Funcho fresco</t>
  </si>
  <si>
    <t>Galinha de angola com pele, crua</t>
  </si>
  <si>
    <t>Gamba crua</t>
  </si>
  <si>
    <t>Garoupa cozida</t>
  </si>
  <si>
    <t>Garoupa crua</t>
  </si>
  <si>
    <t>Garoupa grelhada</t>
  </si>
  <si>
    <t>Gelado caseiro com bolachas e natas</t>
  </si>
  <si>
    <t>Gelado caseiro com palitos la Reine</t>
  </si>
  <si>
    <t>Gelado de água (sorvete)</t>
  </si>
  <si>
    <t>Gelado de leite</t>
  </si>
  <si>
    <t>Gelatina desidratada (pó ou folha)</t>
  </si>
  <si>
    <t>Gelatina preparada com ananás em conserva</t>
  </si>
  <si>
    <t>Gelatina preparada com laranja e sumo de laranja</t>
  </si>
  <si>
    <t>Geleia de casca de laranja</t>
  </si>
  <si>
    <t>Gema de ovo de galinha, crua</t>
  </si>
  <si>
    <t>Gema de ovo de galinha, pasteurizada</t>
  </si>
  <si>
    <t>Gengibre fresco</t>
  </si>
  <si>
    <t>Gérmen de trigo</t>
  </si>
  <si>
    <t>Ginja</t>
  </si>
  <si>
    <t>Gin - Rum- Whisky</t>
  </si>
  <si>
    <t>Goiaba crua, polpa</t>
  </si>
  <si>
    <t>Goraz assado com cebola, tomate, azeite e óleo alimentar</t>
  </si>
  <si>
    <t>Goraz cozido</t>
  </si>
  <si>
    <t>Goraz cru</t>
  </si>
  <si>
    <t>Goraz grelhado</t>
  </si>
  <si>
    <t>Goraz no forno</t>
  </si>
  <si>
    <t>Grão-de-bico cozido (demolhado)</t>
  </si>
  <si>
    <t>Grão-de-bico cru</t>
  </si>
  <si>
    <t>Grelos de couve cozidos</t>
  </si>
  <si>
    <t>Grelos de couve crus</t>
  </si>
  <si>
    <t>Grelos de nabo cozidos</t>
  </si>
  <si>
    <t>Grelos de nabo crus</t>
  </si>
  <si>
    <t>Gressino</t>
  </si>
  <si>
    <t>Groselha</t>
  </si>
  <si>
    <t>Hambúrguer de feijão manteiga frito com azeite</t>
  </si>
  <si>
    <t>Hambúrguer de feijão manteiga frito com óleo de milho</t>
  </si>
  <si>
    <t>Hambúrguer de peru, frito</t>
  </si>
  <si>
    <t>Hambúrguer de porco, frito, sem molho</t>
  </si>
  <si>
    <t>Hambúrguer de porco, grelhado</t>
  </si>
  <si>
    <t>Hambúrguer de vaca, cru</t>
  </si>
  <si>
    <t xml:space="preserve">Hambúrguer de vaca, frito </t>
  </si>
  <si>
    <t>Hambúrguer de vaca, grelhado</t>
  </si>
  <si>
    <t>Hortelã fresca</t>
  </si>
  <si>
    <t>Imperador assado com cebola, tomate, azeite e óleo alimentar</t>
  </si>
  <si>
    <t>Imperador cozido</t>
  </si>
  <si>
    <t>Imperador cru</t>
  </si>
  <si>
    <t>Imperador grelhado</t>
  </si>
  <si>
    <t xml:space="preserve">Inhame cru </t>
  </si>
  <si>
    <t xml:space="preserve">Iogurte gordo, aromatizado, açucarado </t>
  </si>
  <si>
    <t xml:space="preserve">Iogurte gordo, com polpa e/ou pedaços de fruta, açucarado </t>
  </si>
  <si>
    <t>Iogurte gordo, com polpa e/ou pedaços de fruta e cereais açucarado</t>
  </si>
  <si>
    <t>Iogurte grego com fruta açucarado</t>
  </si>
  <si>
    <t xml:space="preserve">Iogurte grego magro natural </t>
  </si>
  <si>
    <t>Iogurte grego natural</t>
  </si>
  <si>
    <t xml:space="preserve">Iogurte líquido magro, aromatizado, açucarado </t>
  </si>
  <si>
    <t xml:space="preserve">Iogurte líquido meio gordo, aromatizado, açucarado </t>
  </si>
  <si>
    <t>Iogurte líquido meio gordo, natural, açucarado</t>
  </si>
  <si>
    <t xml:space="preserve">Iogurte magro, aromatizado, açucarado </t>
  </si>
  <si>
    <t>Iogurte magro, com cereais e edulcorantes</t>
  </si>
  <si>
    <t xml:space="preserve">Iogurte magro, natural </t>
  </si>
  <si>
    <t xml:space="preserve">Iogurte magro, natural, com edulcorantes </t>
  </si>
  <si>
    <t>Iogurte meio gordo, aromatizado, açucarado</t>
  </si>
  <si>
    <t>Iogurte meio gordo, com polpa e/ou pedaços de fruta, açucarado</t>
  </si>
  <si>
    <t>Iogurte meio gordo, natural</t>
  </si>
  <si>
    <t xml:space="preserve">Iogurte meio gordo, natural, açucarado </t>
  </si>
  <si>
    <t>Iogurte sem lactose enriquecido em proteína, magro, aromatizado, com pedaços e/ou polpa de fruta, açucarado</t>
  </si>
  <si>
    <t>Iogurte sem lactose líquido, magro, aromatizado, com polpa de fruta, açucarado</t>
  </si>
  <si>
    <t>Iogurte sem lactose líquido, magro, aromatizado, com polpa de fruta, com edulcorantes</t>
  </si>
  <si>
    <t>Iogurte sem lactose líquido, meio gordo, aromatizado, açucarado</t>
  </si>
  <si>
    <t>Iogurte sem lactose líquido, meio gordo, aromatizado, com polpa de fruta, açucarado</t>
  </si>
  <si>
    <t>Iogurte sem lactose líquido, meio gordo, natural, açucarado</t>
  </si>
  <si>
    <t>Iogurte sem lactose magro, aromatizado, com pedaços e/ou polpa de fruta, com edulcorantes</t>
  </si>
  <si>
    <t>Iogurte sem lactose magro, natural</t>
  </si>
  <si>
    <t>Iogurte sem lactose meio gordo, aromatizado, açucarado</t>
  </si>
  <si>
    <t>Iogurte sem lactose meio gordo, aromatizado, com frutos secos e cereais, açucarado</t>
  </si>
  <si>
    <t>Iogurte sem lactose meio gordo, aromatizado, com pedaços e/ou polpa de fruta, açucarado</t>
  </si>
  <si>
    <t>Iogurte sem lactose meio gordo, natural</t>
  </si>
  <si>
    <t>Iogurte sem lactose meio gordo, natural, açucarado</t>
  </si>
  <si>
    <t>Jarrete de porco</t>
  </si>
  <si>
    <t>Javali cru</t>
  </si>
  <si>
    <t>Jesuíta</t>
  </si>
  <si>
    <t>Lagosta cozida</t>
  </si>
  <si>
    <t>Lagosta crua</t>
  </si>
  <si>
    <t>Lagostim cozido</t>
  </si>
  <si>
    <t>Lagostim cru</t>
  </si>
  <si>
    <t>Lampreia crua</t>
  </si>
  <si>
    <t>Lapas cruas</t>
  </si>
  <si>
    <t>Laranja (3 variedades)</t>
  </si>
  <si>
    <t>Lasanha à bolonhesa</t>
  </si>
  <si>
    <t>Lebre crua</t>
  </si>
  <si>
    <t>Leite condensado</t>
  </si>
  <si>
    <t>Leite creme</t>
  </si>
  <si>
    <t>Leite de cabra cru</t>
  </si>
  <si>
    <t>Leite de coco, enlatado</t>
  </si>
  <si>
    <t>Leite de ovelha cru</t>
  </si>
  <si>
    <t>Leite evaporado</t>
  </si>
  <si>
    <t>Leite fermentado (Bifidus) gordo, natural</t>
  </si>
  <si>
    <t xml:space="preserve">Leite fermentado (Bifidus) sem lactose enriquecido com fibra, magro, aromatizado, com pedaços e/ou polpa de fruta, com sementes e/ou cereais, com frutos secos e/ou de casca rija, com edulcorantes </t>
  </si>
  <si>
    <t>Leite fermentado (Bifidus) sem lactose, gordo, natural</t>
  </si>
  <si>
    <t>Leite fermentado (Bifidus) sem lactose líquido, meio gordo, aromatizado, com pedaços e/ou polpa de fruta, açucarado</t>
  </si>
  <si>
    <t>Leite fermentado (Bifidus) sem lactose, magro, aromatizado, com pedaços e/ou polpa de fruta e/ou hortícolas, açucarado, com edulcorantes</t>
  </si>
  <si>
    <t>Leite fermentado (Bifidus) sem lactose magro, natural, com edulcorantes</t>
  </si>
  <si>
    <t xml:space="preserve">Leite gordo especial, pasteurizado </t>
  </si>
  <si>
    <t>Leite gordo, pasteurizado</t>
  </si>
  <si>
    <t>Leite gordo, pó</t>
  </si>
  <si>
    <t>Leite gordo sem lactose, enriquecido com vitaminas A, D, E e B9 (ácido fólico), UHT</t>
  </si>
  <si>
    <t>Leite gordo, UHT</t>
  </si>
  <si>
    <t>Leite humano</t>
  </si>
  <si>
    <t>Leite humano, colostro</t>
  </si>
  <si>
    <t>Leite humano, transição</t>
  </si>
  <si>
    <t xml:space="preserve">Leite magro de pastagem, UHT </t>
  </si>
  <si>
    <t>Leite magro, pó</t>
  </si>
  <si>
    <t>Leite magro sem lactose, UHT</t>
  </si>
  <si>
    <t>Leite magro, UHT</t>
  </si>
  <si>
    <t xml:space="preserve">Leite meio gordo aromatizado, UHT </t>
  </si>
  <si>
    <t>Leite meio gordo de pastagem, UHT</t>
  </si>
  <si>
    <t>Leite meio gordo, pó</t>
  </si>
  <si>
    <t>Leite meio gordo sem lactose, UHT</t>
  </si>
  <si>
    <t>Leite meio gordo, UHT</t>
  </si>
  <si>
    <t>Lentilhas secas cozidas (demolhadas)</t>
  </si>
  <si>
    <t>Lentilhas secas cruas</t>
  </si>
  <si>
    <t>Lichia fresca</t>
  </si>
  <si>
    <t>Licor beneditino</t>
  </si>
  <si>
    <t>Licor de anis</t>
  </si>
  <si>
    <t>Licor de ginja</t>
  </si>
  <si>
    <t>Licor simples</t>
  </si>
  <si>
    <t>Lima</t>
  </si>
  <si>
    <t>Limão</t>
  </si>
  <si>
    <t>Língua de porco crua</t>
  </si>
  <si>
    <t>Língua de vaca, crua</t>
  </si>
  <si>
    <t>Língua de vaca, estufada, sem molho</t>
  </si>
  <si>
    <t>Linguado cru</t>
  </si>
  <si>
    <t>Linguado frito</t>
  </si>
  <si>
    <t>Linguado grelhado</t>
  </si>
  <si>
    <t>Linguiça</t>
  </si>
  <si>
    <t>Lombo de porco assado</t>
  </si>
  <si>
    <t>Lombo de porco assado com azeite e margarina</t>
  </si>
  <si>
    <t>Lombo de porco assado com margarina</t>
  </si>
  <si>
    <t>Lombo de porco assado com óleo alimentar e margarina</t>
  </si>
  <si>
    <t>Lombo de porco assado, sem molho</t>
  </si>
  <si>
    <t>Lombo de porco cru</t>
  </si>
  <si>
    <t>Lombo de porco frito</t>
  </si>
  <si>
    <t>Lombo de porco frito com manteiga</t>
  </si>
  <si>
    <t>Lombo de porco frito com margarina</t>
  </si>
  <si>
    <t>Lombo de porco frito panado</t>
  </si>
  <si>
    <t>Lombo de porco grelhado</t>
  </si>
  <si>
    <t>Lombo de vaca magro assado com azeite e margarina</t>
  </si>
  <si>
    <t>Lombo de vaca magro assado com azeite, manteiga e óleo alimentar</t>
  </si>
  <si>
    <t>Lombo de vaca magro assado com margarina</t>
  </si>
  <si>
    <t>Lombo de vaca magro assado com óleo alimentar e margarina</t>
  </si>
  <si>
    <t>Lombo de vaca magro assado, sem molho</t>
  </si>
  <si>
    <t>Lombo de vaca magro cru</t>
  </si>
  <si>
    <t>Lombo de vaca magro no forno, com tomate, cebola, cenoura e alho</t>
  </si>
  <si>
    <t>Lombo de vitela assado com azeite e margarina</t>
  </si>
  <si>
    <t>Lombo de vitela assado com azeite, margarina e óleo alimentar</t>
  </si>
  <si>
    <t>Lombo de vitela assado com margarina e óleo alimentar</t>
  </si>
  <si>
    <t>Lombo de vitela assado, sem molho</t>
  </si>
  <si>
    <t>Lombo de vitela cru</t>
  </si>
  <si>
    <t>Lombo de vitela frito com margarina</t>
  </si>
  <si>
    <t>Lombo de vitela frito, sem molho</t>
  </si>
  <si>
    <t>Lombo de vitela grelhado</t>
  </si>
  <si>
    <t>Lombo ou pá de cavalo assado com azeite e manteiga</t>
  </si>
  <si>
    <t>Lombo ou pá de cavalo assado com margarina</t>
  </si>
  <si>
    <t>Lombo ou pá de cavalo assado, sem molho</t>
  </si>
  <si>
    <t>Lombo ou pá de cavalo cru</t>
  </si>
  <si>
    <t>Lombo ou pá de cavalo frito com manteiga</t>
  </si>
  <si>
    <t>Lombo ou pá de cavalo frito com margarina</t>
  </si>
  <si>
    <t>Lula crua</t>
  </si>
  <si>
    <t>Lula estufada com cebola, tomate e azeite</t>
  </si>
  <si>
    <t>Lula grelhada</t>
  </si>
  <si>
    <t>Maçã assada com açúcar</t>
  </si>
  <si>
    <t>Maçã assada sem açúcar</t>
  </si>
  <si>
    <t>Maçã com casca</t>
  </si>
  <si>
    <t>Maçã cozida com açúcar</t>
  </si>
  <si>
    <t>Maçã cozida sem açúcar</t>
  </si>
  <si>
    <t>Maçã desidratada</t>
  </si>
  <si>
    <t>Maçã (média com e sem casca)</t>
  </si>
  <si>
    <t>Maçã seca</t>
  </si>
  <si>
    <t>Maçã sem casca</t>
  </si>
  <si>
    <t>Madalena</t>
  </si>
  <si>
    <t>Maionese caseira, com ovo e azeite</t>
  </si>
  <si>
    <t>Maionese caseira, com ovo e óleo de soja</t>
  </si>
  <si>
    <t>Malagueta vermelha fresca</t>
  </si>
  <si>
    <t>Mandioca crua</t>
  </si>
  <si>
    <t>Manga</t>
  </si>
  <si>
    <t>Manga desidratada</t>
  </si>
  <si>
    <t>Manjericão fresco</t>
  </si>
  <si>
    <t>Manjericão seco</t>
  </si>
  <si>
    <t>Manjerona seca</t>
  </si>
  <si>
    <t>Manteiga com sal</t>
  </si>
  <si>
    <t>Manteiga sem sal</t>
  </si>
  <si>
    <t>Maracujá</t>
  </si>
  <si>
    <t>Margarina</t>
  </si>
  <si>
    <t>Margarina 3/4, de girassol</t>
  </si>
  <si>
    <t>Margarina culinária para folhados, com sal</t>
  </si>
  <si>
    <t>Margarina industrial para pastelaria, com sal</t>
  </si>
  <si>
    <t>Margarina vegetal culinária, 80% gordura, com sal</t>
  </si>
  <si>
    <t>Margarina vegetal culinária, com alho e sal</t>
  </si>
  <si>
    <t>Marmelada</t>
  </si>
  <si>
    <t>Marmelo</t>
  </si>
  <si>
    <t>Maruca cozida</t>
  </si>
  <si>
    <t>Maruca crua</t>
  </si>
  <si>
    <t>Massa com ovo cozida</t>
  </si>
  <si>
    <t>Massa com ovo crua</t>
  </si>
  <si>
    <t>Massa de pimentão</t>
  </si>
  <si>
    <t>Massa folhada, congelada</t>
  </si>
  <si>
    <t>Massa miúda crua</t>
  </si>
  <si>
    <t>Massa para lasanha cozida</t>
  </si>
  <si>
    <t>Massa para lasanha crua</t>
  </si>
  <si>
    <t>Massa para pizza</t>
  </si>
  <si>
    <t>Massa quebrada para quiche</t>
  </si>
  <si>
    <t>Meia-desfeita de bacalhau</t>
  </si>
  <si>
    <t>Mel</t>
  </si>
  <si>
    <t>Melaço</t>
  </si>
  <si>
    <t>Melancia</t>
  </si>
  <si>
    <t>Melão (3 variedades)</t>
  </si>
  <si>
    <t>Mel de cana</t>
  </si>
  <si>
    <t>Meloa</t>
  </si>
  <si>
    <t>Merengue</t>
  </si>
  <si>
    <t>Mexilhão cozido sem sal</t>
  </si>
  <si>
    <t>Mexilhão cru</t>
  </si>
  <si>
    <t>Milho, amido (pó)</t>
  </si>
  <si>
    <t>Milho doce em conserva</t>
  </si>
  <si>
    <t>Milho, grão seco cru</t>
  </si>
  <si>
    <t>Minarina (meia margarina)</t>
  </si>
  <si>
    <t>Mirtilo</t>
  </si>
  <si>
    <t>Mirtilo desidratado</t>
  </si>
  <si>
    <t>Molho "Béchamel" com manteiga</t>
  </si>
  <si>
    <t>Molho "Béchamel" com margarina</t>
  </si>
  <si>
    <t>Molho branco com caldo de carne de vaca</t>
  </si>
  <si>
    <t>Molho branco com margarina</t>
  </si>
  <si>
    <t>Molho de bife frito com manteiga</t>
  </si>
  <si>
    <t>Molho de carne de vaca assada com azeite e margarina</t>
  </si>
  <si>
    <t>Molho de carne de vaca assada com margarina</t>
  </si>
  <si>
    <t>Molho de carne de vaca estufada com azeite e margarina</t>
  </si>
  <si>
    <t>Molho de carne de vaca estufada com vegetais, azeite e margarina</t>
  </si>
  <si>
    <t>Molho de lombo de porco frito com banha</t>
  </si>
  <si>
    <t>Molho de lombo de porco frito com banha e margarina</t>
  </si>
  <si>
    <t>Molho de lombo de porco frito com margarina</t>
  </si>
  <si>
    <t>Molho de lombo de vaca frito com creme vegetal sem sal</t>
  </si>
  <si>
    <t>Molho de lombo de vaca frito com margarina</t>
  </si>
  <si>
    <t xml:space="preserve">Molho de mostarda </t>
  </si>
  <si>
    <t>Molho de soja</t>
  </si>
  <si>
    <t>Molho de tomate</t>
  </si>
  <si>
    <t>Molho de tomate, "ketchup"</t>
  </si>
  <si>
    <t>Molho de vinagrete</t>
  </si>
  <si>
    <t>Molho para francesinha</t>
  </si>
  <si>
    <t>Molho verde</t>
  </si>
  <si>
    <t>Morango</t>
  </si>
  <si>
    <t xml:space="preserve">Morango desidratado </t>
  </si>
  <si>
    <t>Morcela crua</t>
  </si>
  <si>
    <t>Morcela grelhada sem adição de sal</t>
  </si>
  <si>
    <t>Mortadela</t>
  </si>
  <si>
    <t>Mousse de chocolate</t>
  </si>
  <si>
    <t>Múcua (fruto do embondeiro, baobab)</t>
  </si>
  <si>
    <t>Nabiça crua</t>
  </si>
  <si>
    <t>Nabo (raiz) cozido</t>
  </si>
  <si>
    <t>Nabo (raiz) cru</t>
  </si>
  <si>
    <t>Nata maturada pasteurizada 30% gordura</t>
  </si>
  <si>
    <t>Nata para bater pasteurizada 34% gordura</t>
  </si>
  <si>
    <t>Nata pasteurizada 33% gordura</t>
  </si>
  <si>
    <t>Nata pasteurizada 36% gordura</t>
  </si>
  <si>
    <t>Nata pasteurizada para café, 15% gordura</t>
  </si>
  <si>
    <t>Nata UHT 35% gordura</t>
  </si>
  <si>
    <t>Néctar de alperce</t>
  </si>
  <si>
    <t>Néctar de ananás</t>
  </si>
  <si>
    <t>Néctar de laranja</t>
  </si>
  <si>
    <t>Néctar de maçã</t>
  </si>
  <si>
    <t>Néctar de maçã, "light"</t>
  </si>
  <si>
    <t>Néctar de pera</t>
  </si>
  <si>
    <t>Néctar de pêssego</t>
  </si>
  <si>
    <t>Néctar de pêssego, "light"</t>
  </si>
  <si>
    <t>Néctar de "tutti - frutti"</t>
  </si>
  <si>
    <t>Nectarina</t>
  </si>
  <si>
    <t>Nêspera</t>
  </si>
  <si>
    <t>Noz macadâmia</t>
  </si>
  <si>
    <t>Noz, miolo</t>
  </si>
  <si>
    <t>Noz-moscada</t>
  </si>
  <si>
    <t>Noz pecan</t>
  </si>
  <si>
    <t>Óleo alimentar</t>
  </si>
  <si>
    <t>Óleo "Becel"</t>
  </si>
  <si>
    <t>Óleo de amendoim</t>
  </si>
  <si>
    <t>Óleo de coco</t>
  </si>
  <si>
    <t>Óleo de girassol</t>
  </si>
  <si>
    <t>Óleo de linhaça</t>
  </si>
  <si>
    <t>Óleo de palma</t>
  </si>
  <si>
    <t>Óleo de soja</t>
  </si>
  <si>
    <t>Óleos de milho</t>
  </si>
  <si>
    <t>Omelete</t>
  </si>
  <si>
    <t>Omelete com manteiga</t>
  </si>
  <si>
    <t>Omelete com margarina</t>
  </si>
  <si>
    <t>Orégão seco</t>
  </si>
  <si>
    <t>Orelha de porco, crua</t>
  </si>
  <si>
    <t>Ostra, crua</t>
  </si>
  <si>
    <t>Ovas de bacalhau cruas</t>
  </si>
  <si>
    <t>Ovas de pescada cruas</t>
  </si>
  <si>
    <t>Ovo de codorniz, cru</t>
  </si>
  <si>
    <t>Ovo de galinha, cozido</t>
  </si>
  <si>
    <t>Ovo de galinha, escalfado</t>
  </si>
  <si>
    <t>Ovo de galinha, estrelado</t>
  </si>
  <si>
    <t>Ovo de galinha, estrelado com azeite</t>
  </si>
  <si>
    <t>Ovo de galinha, estrelado com manteiga</t>
  </si>
  <si>
    <t>Ovo de galinha, estrelado com margarina</t>
  </si>
  <si>
    <t>Ovo de galinha inteiro, cru</t>
  </si>
  <si>
    <t>Ovo de galinha líquido, pasteurizado</t>
  </si>
  <si>
    <t>Ovo de galinha, mexido com manteiga</t>
  </si>
  <si>
    <t>Ovo de galinha, mexido com margarina</t>
  </si>
  <si>
    <t>Ovo mexido com leite e margarina</t>
  </si>
  <si>
    <t>Pá de carneiro, assada com azeite e margarina</t>
  </si>
  <si>
    <t>Pá de carneiro, assada com margarina</t>
  </si>
  <si>
    <t>Pá de carneiro assada, sem molho</t>
  </si>
  <si>
    <t>Pá de carneiro, cozida</t>
  </si>
  <si>
    <t>Pá de carneiro, crua</t>
  </si>
  <si>
    <t>Pá de carneiro, estufada sem molho</t>
  </si>
  <si>
    <t>Pá de vitela crua</t>
  </si>
  <si>
    <t>Paio de lombo</t>
  </si>
  <si>
    <t>Paio de lombo entremeado</t>
  </si>
  <si>
    <t>Pão de centeio</t>
  </si>
  <si>
    <t>Pão de centeio integral</t>
  </si>
  <si>
    <t>Pão de forma, de trigo com passas</t>
  </si>
  <si>
    <t>Pão de forma, de trigo enriquecido</t>
  </si>
  <si>
    <t>Pão de leite (trigo)</t>
  </si>
  <si>
    <t>Pão de ló</t>
  </si>
  <si>
    <t>Pão de milho</t>
  </si>
  <si>
    <t>Pão de mistura de trigo e centeio</t>
  </si>
  <si>
    <t>Pão de trigo</t>
  </si>
  <si>
    <t>Pão de trigo integral</t>
  </si>
  <si>
    <t>Pão de trigo integral com passas</t>
  </si>
  <si>
    <t>Pão de trigo integral com sementes de sésamo</t>
  </si>
  <si>
    <t>Pão de trigo integral com soja</t>
  </si>
  <si>
    <t>Pão do coração (trigo)</t>
  </si>
  <si>
    <t>Pão pita</t>
  </si>
  <si>
    <t>Pão ralado</t>
  </si>
  <si>
    <t>Papaia</t>
  </si>
  <si>
    <t>Papaia desidratada</t>
  </si>
  <si>
    <t>Pargo legítimo assado com cebola, tomate e azeite</t>
  </si>
  <si>
    <t>Pargo legítimo cozido</t>
  </si>
  <si>
    <t>Pargo legítimo cru</t>
  </si>
  <si>
    <t>Pargo mulato assado com cebola, tomate e azeite</t>
  </si>
  <si>
    <t>Pargo mulato cozido</t>
  </si>
  <si>
    <t>Pargo mulato cru</t>
  </si>
  <si>
    <t xml:space="preserve">Pasta de fígado de aves (paté), caseira </t>
  </si>
  <si>
    <t>Pasta de fígado de porco (paté)</t>
  </si>
  <si>
    <t>Pastel de bacalhau</t>
  </si>
  <si>
    <t>Pastel de feijão</t>
  </si>
  <si>
    <t>Pastel de nata</t>
  </si>
  <si>
    <t>Pastel folhado</t>
  </si>
  <si>
    <t>Pastilha elástica</t>
  </si>
  <si>
    <t>Pato com pele, assado sem molho</t>
  </si>
  <si>
    <t>Pato com pele, cru</t>
  </si>
  <si>
    <t>Pato sem pele, assado com margarina</t>
  </si>
  <si>
    <t>Pato sem pele, cru</t>
  </si>
  <si>
    <t>Pato sem pele, estufado com margarina</t>
  </si>
  <si>
    <t>Pé de porco, cru</t>
  </si>
  <si>
    <t>Peito de cabrito cru</t>
  </si>
  <si>
    <t>Peito de cabrito estufado com azeite e margarina</t>
  </si>
  <si>
    <t>Peito de cabrito estufado com azeite e óleo alimentar</t>
  </si>
  <si>
    <t>Peito de cabrito estufado com manteiga e óleo alimentar</t>
  </si>
  <si>
    <t>Peito de cabrito estufado com margarina e óleo alimentar</t>
  </si>
  <si>
    <t>Peito de cabrito estufado, sem molho</t>
  </si>
  <si>
    <t>Peito de cabrito grelhado</t>
  </si>
  <si>
    <t>Peito de carneiro gordo, cozido</t>
  </si>
  <si>
    <t>Peito de carneiro gordo, cru</t>
  </si>
  <si>
    <t>Peito de frango com pele, cozido</t>
  </si>
  <si>
    <t>Peito de frango com pele, cru</t>
  </si>
  <si>
    <t>Peito de frango com pele, estufado com azeite e margarina</t>
  </si>
  <si>
    <t>Peito de frango com pele, estufado com margarina</t>
  </si>
  <si>
    <t>Peito de frango com pele, estufado sem molho</t>
  </si>
  <si>
    <t>Peito de frango sem pele, cozido</t>
  </si>
  <si>
    <t>Peito de frango sem pele, cru</t>
  </si>
  <si>
    <t xml:space="preserve">Peito de frango sem pele, estufado com azeite e margarina </t>
  </si>
  <si>
    <t>Peito de frango sem pele, estufado com margarina</t>
  </si>
  <si>
    <t>Peito de frango sem pele, estufado sem molho</t>
  </si>
  <si>
    <t>Peito de peru com pele, cru</t>
  </si>
  <si>
    <t>Peito de peru com pele, estufado com margarina</t>
  </si>
  <si>
    <t>Peito de peru sem pele, assado com margarina</t>
  </si>
  <si>
    <t>Peito de peru sem pele, cru</t>
  </si>
  <si>
    <t>Peito de peru sem pele, panado</t>
  </si>
  <si>
    <t>Peito de vitela magro cozido</t>
  </si>
  <si>
    <t>Peito de vitela magro cru</t>
  </si>
  <si>
    <t>Peito de vitela magro estufado</t>
  </si>
  <si>
    <t>Peito de vitela magro estufado com azeite e margarina</t>
  </si>
  <si>
    <t>Peito de vitela magro estufado com azeite, margarina e óleo alimentar</t>
  </si>
  <si>
    <t>Peito de vitela magro estufado com margarina e óleo alimentar</t>
  </si>
  <si>
    <t>Peito de vitela magro estufado, sem molho</t>
  </si>
  <si>
    <t>Peixe-espada-branco cru</t>
  </si>
  <si>
    <t>Peixe-espada-branco frito</t>
  </si>
  <si>
    <t>Peixe-espada-branco grelhado</t>
  </si>
  <si>
    <t>Peixe-espada-preto cru</t>
  </si>
  <si>
    <t>Peixe-espada-preto frito</t>
  </si>
  <si>
    <t>Peixe-espada-preto grelhado</t>
  </si>
  <si>
    <t>Peixinhos da horta</t>
  </si>
  <si>
    <t>Pepino cru</t>
  </si>
  <si>
    <t>Pera (5 variedades)</t>
  </si>
  <si>
    <t>Pera conserva em calda de açúcar</t>
  </si>
  <si>
    <t>Pera cozida com açúcar</t>
  </si>
  <si>
    <t>Pera cozida sem açúcar</t>
  </si>
  <si>
    <t>Pera cristalizada</t>
  </si>
  <si>
    <t>Pera desidratada</t>
  </si>
  <si>
    <t>Percebes crus</t>
  </si>
  <si>
    <t>Perdiz crua</t>
  </si>
  <si>
    <t>Perdiz estufada com margarina</t>
  </si>
  <si>
    <t>Perna de borrego no forno</t>
  </si>
  <si>
    <t>Perna de cabrito assada com azeite e margarina</t>
  </si>
  <si>
    <t>Perna de cabrito assada com óleo alimentar e margarina</t>
  </si>
  <si>
    <t>Perna de cabrito assada, sem molho</t>
  </si>
  <si>
    <t>Perna de cabrito crua</t>
  </si>
  <si>
    <t>Perna de carneiro gorda, assada, sem molho</t>
  </si>
  <si>
    <t>Perna de carneiro gorda, crua</t>
  </si>
  <si>
    <t>Perna de carneiro gorda, estufada sem molho</t>
  </si>
  <si>
    <t>Perna de carneiro magra assada com azeite e margarina</t>
  </si>
  <si>
    <t>Perna de carneiro magra assada com margarina</t>
  </si>
  <si>
    <t>Perna de carneiro magra, assada, sem molho</t>
  </si>
  <si>
    <t>Perna de carneiro magra, crua</t>
  </si>
  <si>
    <t>Perna de carneiro magra, estufada com azeite e margarina</t>
  </si>
  <si>
    <t>Perna de carneiro magra, estufada com margarina</t>
  </si>
  <si>
    <t>Perna de carneiro magra, estufada sem molho</t>
  </si>
  <si>
    <t>Perna de frango sem pele, cozida</t>
  </si>
  <si>
    <t>Perna de frango sem pele, crua</t>
  </si>
  <si>
    <t>Perna de frango sem pele, estufada com azeite e margarina</t>
  </si>
  <si>
    <t xml:space="preserve">Perna de frango sem pele, estufada com margarina </t>
  </si>
  <si>
    <t>Perna de frango sem pele, estufada sem molho</t>
  </si>
  <si>
    <t>Perna de peru com pele, assada com margarina</t>
  </si>
  <si>
    <t>Perna de peru com pele, crua</t>
  </si>
  <si>
    <t>Perna de peru com pele, estufada com margarina</t>
  </si>
  <si>
    <t>Perna de porco gorda assada com azeite e margarina</t>
  </si>
  <si>
    <t>Perna de porco gorda assada com margarina</t>
  </si>
  <si>
    <t>Perna de porco gorda assada com óleo alimentar e margarina</t>
  </si>
  <si>
    <t>Perna de porco gorda assada, sem molho</t>
  </si>
  <si>
    <t>Perna de porco gorda crua</t>
  </si>
  <si>
    <t>Perna de porco gorda grelhada</t>
  </si>
  <si>
    <t>Perna de porco magra assada com azeite e margarina</t>
  </si>
  <si>
    <t>Perna de porco magra assada com margarina</t>
  </si>
  <si>
    <t>Perna de porco magra assada com óleo alimentar e margarina</t>
  </si>
  <si>
    <t>Perna de porco magra assada, sem molho</t>
  </si>
  <si>
    <t>Perna de porco magra crua</t>
  </si>
  <si>
    <t>Perna de porco magra estufada com azeite e banha</t>
  </si>
  <si>
    <t>Perna de porco magra estufada com azeite e margarina</t>
  </si>
  <si>
    <t>Perna de porco magra estufada com margarina</t>
  </si>
  <si>
    <t>Perna de porco magra estufada com óleo alimentar e banha</t>
  </si>
  <si>
    <t>Perna de porco magra estufada, sem molho</t>
  </si>
  <si>
    <t>Perna de porco magra grelhada</t>
  </si>
  <si>
    <t>Peru inteiro com pele, cru</t>
  </si>
  <si>
    <t>Pescada cozida (valor médio)</t>
  </si>
  <si>
    <t>Pescada crua (valor médio)</t>
  </si>
  <si>
    <t>Pescada da África do Sul cozida</t>
  </si>
  <si>
    <t>Pescada da África do Sul crua</t>
  </si>
  <si>
    <t>Pescada da África do Sul frita</t>
  </si>
  <si>
    <t>Pescada do Chile cozida</t>
  </si>
  <si>
    <t>Pescada do Chile crua</t>
  </si>
  <si>
    <t>Pescada do Chile frita</t>
  </si>
  <si>
    <t>Pescada europeia cozida</t>
  </si>
  <si>
    <t>Pescada europeia crua</t>
  </si>
  <si>
    <t>Pescada europeia frita</t>
  </si>
  <si>
    <t>Pescada frita (valor médio)</t>
  </si>
  <si>
    <t>Pêssego (2 variedades)</t>
  </si>
  <si>
    <t>Pêssego, conserva em calda de açúcar</t>
  </si>
  <si>
    <t>Picanha grelhada</t>
  </si>
  <si>
    <t>Picles de pepino</t>
  </si>
  <si>
    <t>Pimenta branca</t>
  </si>
  <si>
    <t>Pimenta moída</t>
  </si>
  <si>
    <t>Pimenta preta</t>
  </si>
  <si>
    <t>Pimento cru</t>
  </si>
  <si>
    <t>Pimento grelhado</t>
  </si>
  <si>
    <t>Pinhão, miolo</t>
  </si>
  <si>
    <t>Pistácio torrado e salgado</t>
  </si>
  <si>
    <t>Pistácio torrado, sem sal</t>
  </si>
  <si>
    <t>Pizza de queijo e tomate</t>
  </si>
  <si>
    <t>Pizza de queijo, tomate e fiambre</t>
  </si>
  <si>
    <t>Pó achocolatado com alto teor de gordura</t>
  </si>
  <si>
    <t>Pó achocolatado com baixo teor de gordura</t>
  </si>
  <si>
    <t>Polvo cozido sem sal</t>
  </si>
  <si>
    <t>Polvo cru</t>
  </si>
  <si>
    <t>Pombo cru</t>
  </si>
  <si>
    <t>Pota crua</t>
  </si>
  <si>
    <t>Preparado fermentado à base de soja (Vegurte)</t>
  </si>
  <si>
    <t>Presunto</t>
  </si>
  <si>
    <t>Proteína texturizada de soja</t>
  </si>
  <si>
    <t>Pudim de leite e ovos</t>
  </si>
  <si>
    <t>Pudim flan caseiro</t>
  </si>
  <si>
    <t>Pudim instantâneo em pó</t>
  </si>
  <si>
    <t>Pudim instantâneo preparado com leite magro</t>
  </si>
  <si>
    <t>Pudim instantâneo preparado com leite meio gordo</t>
  </si>
  <si>
    <t>Pulmões de porco, crus</t>
  </si>
  <si>
    <t>Puré de batata</t>
  </si>
  <si>
    <t>Queijada de queijo fresco</t>
  </si>
  <si>
    <t>Queijada de queijo magro</t>
  </si>
  <si>
    <t>Queijada de requeijão</t>
  </si>
  <si>
    <t>Queijo Brie</t>
  </si>
  <si>
    <t>Queijo Camembert</t>
  </si>
  <si>
    <t>Queijo Cheddar</t>
  </si>
  <si>
    <t>Queijo creme para barrar</t>
  </si>
  <si>
    <t>Queijo creme para barrar, alto teor polinsaturados</t>
  </si>
  <si>
    <t>Queijo da Ilha</t>
  </si>
  <si>
    <t>Queijo de Azeitão</t>
  </si>
  <si>
    <t>Queijo de Évora</t>
  </si>
  <si>
    <t>Queijo Emmental</t>
  </si>
  <si>
    <t>Queijo flamengo</t>
  </si>
  <si>
    <t>Queijo flamengo 30% gordura</t>
  </si>
  <si>
    <t>Queijo flamengo 45% gordura</t>
  </si>
  <si>
    <t>Queijo fresco açucarado com sabor a fruta</t>
  </si>
  <si>
    <t>Queijo fresco de cabra</t>
  </si>
  <si>
    <t>Queijo fresco de ovelha</t>
  </si>
  <si>
    <t>Queijo fresco magro</t>
  </si>
  <si>
    <t>Queijo fresco meio gordo</t>
  </si>
  <si>
    <t>Queijo fundido 40% gordura</t>
  </si>
  <si>
    <t>Queijo Gouda</t>
  </si>
  <si>
    <t>Queijo Gruyere</t>
  </si>
  <si>
    <t>Queijo Mascarpone</t>
  </si>
  <si>
    <t>Queijo Mozzarella fresco</t>
  </si>
  <si>
    <t>Queijo Parmesão</t>
  </si>
  <si>
    <t>Queijo Quark açucarado magro com sabor a fruta</t>
  </si>
  <si>
    <t>Queijo Quark natural magro</t>
  </si>
  <si>
    <t>Queijo Quark natural meio gordo</t>
  </si>
  <si>
    <t>Queijo Raclette</t>
  </si>
  <si>
    <t>Queijo Roquefort</t>
  </si>
  <si>
    <t>Queijo Serpa</t>
  </si>
  <si>
    <t>Queijo Serra da Estrela</t>
  </si>
  <si>
    <t>Queijo Serra da Estrela, velho</t>
  </si>
  <si>
    <t>Queque</t>
  </si>
  <si>
    <t>Quiabo cru</t>
  </si>
  <si>
    <t>Quiche de espinafres</t>
  </si>
  <si>
    <t>Quiche de vegetais</t>
  </si>
  <si>
    <t>Quiche lorraine</t>
  </si>
  <si>
    <t>Quivi, "Kiwi"</t>
  </si>
  <si>
    <t>Quivi, "Kiwi" desidratado</t>
  </si>
  <si>
    <t>Rabanada</t>
  </si>
  <si>
    <t>Rabanete cru</t>
  </si>
  <si>
    <t>Rábano cru</t>
  </si>
  <si>
    <t>Raia crua</t>
  </si>
  <si>
    <t>Rancho com carne de galinha, porco e vaca</t>
  </si>
  <si>
    <t>Rancho com carne de porco</t>
  </si>
  <si>
    <t>Rebentos de alfalfa crus</t>
  </si>
  <si>
    <t>Rebentos de bambu crus</t>
  </si>
  <si>
    <t>Rebentos de soja crus</t>
  </si>
  <si>
    <t>Rebuçados</t>
  </si>
  <si>
    <t>Requeijão</t>
  </si>
  <si>
    <t>Requeijão 13% de proteína</t>
  </si>
  <si>
    <t>Requeijão 8% de proteína</t>
  </si>
  <si>
    <t>Rim de carneiro, cru</t>
  </si>
  <si>
    <t>Rim de carneiro, frito com margarina</t>
  </si>
  <si>
    <t>Rim de porco, cru</t>
  </si>
  <si>
    <t>Rim de porco, frito com margarina</t>
  </si>
  <si>
    <t>Rim de vaca, cru</t>
  </si>
  <si>
    <t>Rissol</t>
  </si>
  <si>
    <t>Rissol de camarão</t>
  </si>
  <si>
    <t>Rissol de carne com manteiga</t>
  </si>
  <si>
    <t>Rissol de carne com margarina</t>
  </si>
  <si>
    <t>Robalo assado com cebola, azeite, banha e manteiga</t>
  </si>
  <si>
    <t>Robalo cozido</t>
  </si>
  <si>
    <t>Robalo cru</t>
  </si>
  <si>
    <t>Robalo grelhado</t>
  </si>
  <si>
    <t>Rojões de carne gorda</t>
  </si>
  <si>
    <t>Rojões de carne magra</t>
  </si>
  <si>
    <t>Romã</t>
  </si>
  <si>
    <t>Rúcula crua</t>
  </si>
  <si>
    <t>Safio cru</t>
  </si>
  <si>
    <t>Sal</t>
  </si>
  <si>
    <t>Salada de alface e tomate temperada com azeite e vinagre</t>
  </si>
  <si>
    <t>Salada de atum</t>
  </si>
  <si>
    <t>Salada de bacalhau com grão</t>
  </si>
  <si>
    <t>Salada russa</t>
  </si>
  <si>
    <t>Salame</t>
  </si>
  <si>
    <t>Salmão cru</t>
  </si>
  <si>
    <t>Salmonete cru</t>
  </si>
  <si>
    <t>Salpicão</t>
  </si>
  <si>
    <t>Salsa fresca</t>
  </si>
  <si>
    <t>Salsa seca</t>
  </si>
  <si>
    <t>Salsicha de soja</t>
  </si>
  <si>
    <t>Salsicha fresca crua</t>
  </si>
  <si>
    <t>Salsicha fresca estufada com couve e azeite</t>
  </si>
  <si>
    <t>Salsicha fresca estufada com legumes e azeite</t>
  </si>
  <si>
    <t>Salsicha tipo Frankfurt</t>
  </si>
  <si>
    <t>Salsicha tipo Frankfurt frita (escorrido o óleo) sem adição de sal</t>
  </si>
  <si>
    <t>Salsicha tipo Frankfurt grelhada sem adição de sal</t>
  </si>
  <si>
    <t>Sangue de porco, cru</t>
  </si>
  <si>
    <t>Sapateira crua</t>
  </si>
  <si>
    <t>Sarda cozida</t>
  </si>
  <si>
    <t>Sarda crua</t>
  </si>
  <si>
    <t>Sarda grelhada</t>
  </si>
  <si>
    <t>Sardinha frita</t>
  </si>
  <si>
    <t>Sardinha gorda crua</t>
  </si>
  <si>
    <t>Sardinha gorda frita</t>
  </si>
  <si>
    <t>Sardinha gorda grelhada</t>
  </si>
  <si>
    <t>Sardinha meio gorda conserva em água, sem espinha e sem pele</t>
  </si>
  <si>
    <t>Sardinha meio gorda conserva em azeite</t>
  </si>
  <si>
    <t>Sardinha meio gorda conserva em azeite (escorrido)</t>
  </si>
  <si>
    <t>Sardinha meio gorda crua</t>
  </si>
  <si>
    <t>Sardinha meio gorda frita</t>
  </si>
  <si>
    <t>Sardinha meio gorda grelhada</t>
  </si>
  <si>
    <t>Seitan</t>
  </si>
  <si>
    <t>Sementes de abóbora</t>
  </si>
  <si>
    <t>Sementes de cânhamo secas</t>
  </si>
  <si>
    <t>Sementes de chia</t>
  </si>
  <si>
    <t>Sementes de coentro</t>
  </si>
  <si>
    <t>Sementes de girassol</t>
  </si>
  <si>
    <t>Sementes de linhaça cruas</t>
  </si>
  <si>
    <t>Sementes de melão</t>
  </si>
  <si>
    <t>Sementes de mostarda</t>
  </si>
  <si>
    <t>Sementes de papoila</t>
  </si>
  <si>
    <t>Sementes de sésamo</t>
  </si>
  <si>
    <t>Sêmola de milho</t>
  </si>
  <si>
    <t>Shortening para pastelaria</t>
  </si>
  <si>
    <t>Shortening para restaurante</t>
  </si>
  <si>
    <t>Sidra (vinho de maçã)</t>
  </si>
  <si>
    <t>Sobremesa à base de soja</t>
  </si>
  <si>
    <t>Soja cozida sem sal</t>
  </si>
  <si>
    <t>Soja, farinha com baixo teor de gordura</t>
  </si>
  <si>
    <t>Soja, grão seco, cru</t>
  </si>
  <si>
    <t>Solha crua</t>
  </si>
  <si>
    <t>Solha frita</t>
  </si>
  <si>
    <t>Solha grelhada</t>
  </si>
  <si>
    <t>Sonhos</t>
  </si>
  <si>
    <t>Sopa à lavrador</t>
  </si>
  <si>
    <t>Sopa, caldo verde</t>
  </si>
  <si>
    <t>Sopa, canja de galinha</t>
  </si>
  <si>
    <t>Sopa, creme de cenoura</t>
  </si>
  <si>
    <t>Sopa de abóbora</t>
  </si>
  <si>
    <t>Sopa de agrião</t>
  </si>
  <si>
    <t>Sopa de agrião com leite</t>
  </si>
  <si>
    <t>Sopa de agrião com requeijão</t>
  </si>
  <si>
    <t>Sopa de carne de porco</t>
  </si>
  <si>
    <t>Sopa de cebola</t>
  </si>
  <si>
    <t>Sopa de cenoura</t>
  </si>
  <si>
    <t>Sopa de couve-branca</t>
  </si>
  <si>
    <t>Sopa de couve-lombarda</t>
  </si>
  <si>
    <t>Sopa de cozido</t>
  </si>
  <si>
    <t>Sopa de ervilhas</t>
  </si>
  <si>
    <t>Sopa de espinafres</t>
  </si>
  <si>
    <t>Sopa de espinafres com ovos</t>
  </si>
  <si>
    <t>Sopa de favas</t>
  </si>
  <si>
    <t>Sopa de feijão</t>
  </si>
  <si>
    <t>Sopa de feijão-branco com couve-portuguesa</t>
  </si>
  <si>
    <t>Sopa de feijão-manteiga</t>
  </si>
  <si>
    <t>Sopa de feijão-manteiga com couve-lombarda</t>
  </si>
  <si>
    <t>Sopa de feijão-verde</t>
  </si>
  <si>
    <t>Sopa de feijão-verde e cenoura</t>
  </si>
  <si>
    <t>Sopa de feijão-verde e nabo</t>
  </si>
  <si>
    <t>Sopa de grão à moda da avó</t>
  </si>
  <si>
    <t>Sopa de grão com arroz, espinafres e coentros</t>
  </si>
  <si>
    <t xml:space="preserve">Sopa de grão com espinafres </t>
  </si>
  <si>
    <t>Sopa de grão com espinafres sem arroz</t>
  </si>
  <si>
    <t>Sopa de nabiças (ou de grelos de nabo)</t>
  </si>
  <si>
    <t xml:space="preserve">Sopa de peixe </t>
  </si>
  <si>
    <t>Sopa de peixe com massa</t>
  </si>
  <si>
    <t>Sopa de tomate</t>
  </si>
  <si>
    <t>Sopa de vegetais</t>
  </si>
  <si>
    <t>Sopa juliana</t>
  </si>
  <si>
    <t>Sopa, puré de feijão</t>
  </si>
  <si>
    <t>Sopa, puré de vegetais</t>
  </si>
  <si>
    <t>Sucedâneo de café (pó) (2 marcas)</t>
  </si>
  <si>
    <t>Sucedâneo de café (pó) com 20% de café</t>
  </si>
  <si>
    <t>Sultanas</t>
  </si>
  <si>
    <t>Sumo de ananás, 100%</t>
  </si>
  <si>
    <t>Sumo de ananás, concentrado</t>
  </si>
  <si>
    <t xml:space="preserve">Sumo de laranja, 100% </t>
  </si>
  <si>
    <t>Sumo de laranja, concentrado</t>
  </si>
  <si>
    <t>Sumo de limão, fresco (espremido)</t>
  </si>
  <si>
    <t>Sumo de maçã, 100%</t>
  </si>
  <si>
    <t>Sumo de pêssego, 100%</t>
  </si>
  <si>
    <t>Sumo de tomate, 100%</t>
  </si>
  <si>
    <t xml:space="preserve">Tahini </t>
  </si>
  <si>
    <t xml:space="preserve">Tâmara fresca </t>
  </si>
  <si>
    <t>Tâmara seca</t>
  </si>
  <si>
    <t>Tamarilho sem pele</t>
  </si>
  <si>
    <t>Tamarindo cru</t>
  </si>
  <si>
    <t>Tamboril cru</t>
  </si>
  <si>
    <t>Tamboril grelhado</t>
  </si>
  <si>
    <t>Tângera</t>
  </si>
  <si>
    <t>Tangerina</t>
  </si>
  <si>
    <t>Tapioca</t>
  </si>
  <si>
    <t>Tarte de maçã</t>
  </si>
  <si>
    <t>Tarte de maçã e pêssego</t>
  </si>
  <si>
    <t>Tisana, infusão de ervas</t>
  </si>
  <si>
    <t>Tofu frito com azeite</t>
  </si>
  <si>
    <t>Tofu frito com óleo de milho</t>
  </si>
  <si>
    <t>Tofu simples</t>
  </si>
  <si>
    <t>Tomate cherry cru</t>
  </si>
  <si>
    <t>Tomate concentrado</t>
  </si>
  <si>
    <t>Tomate cru</t>
  </si>
  <si>
    <t>Tomate em conserva ao natural</t>
  </si>
  <si>
    <t>Tomilho fresco</t>
  </si>
  <si>
    <t>Tomilho seco</t>
  </si>
  <si>
    <t>Toranja</t>
  </si>
  <si>
    <t>Torta de chocolate e chantilly</t>
  </si>
  <si>
    <t>Tosta de trigo</t>
  </si>
  <si>
    <t>Tosta de trigo integral</t>
  </si>
  <si>
    <t>Tosta de trigo sem sal</t>
  </si>
  <si>
    <t>Tosta de trigo simples</t>
  </si>
  <si>
    <t>Toucinho de porco entremeado fresco, cru</t>
  </si>
  <si>
    <t>Toucinho de porco entremeado fresco, grelhado sem adição de sal</t>
  </si>
  <si>
    <t>Toucinho  de porco entremeado ligeiramente salgado, cozido sem adição de sal</t>
  </si>
  <si>
    <t>Toucinho de porco entremeado ligeiramente salgado, cru</t>
  </si>
  <si>
    <t>Toucinho de porco entremeado magro</t>
  </si>
  <si>
    <t>Tremoço, cozido e salgado</t>
  </si>
  <si>
    <t>Tremoço cozido, sem sal</t>
  </si>
  <si>
    <t>Trigo Sarraceno (grão) cru</t>
  </si>
  <si>
    <t>Tripa de porco fresca</t>
  </si>
  <si>
    <t>Tripa de vaca crua</t>
  </si>
  <si>
    <t>Truta arco-íris crua</t>
  </si>
  <si>
    <t>Truta arco-íris grelhada</t>
  </si>
  <si>
    <t>Túbera (trufa) crua</t>
  </si>
  <si>
    <t>Uva branca (5 variedades)</t>
  </si>
  <si>
    <t>Uva (média, branca e tinta)</t>
  </si>
  <si>
    <t>Uva seca (passas)</t>
  </si>
  <si>
    <t>Uva tinta (5 variedades)</t>
  </si>
  <si>
    <t>Vaca assada</t>
  </si>
  <si>
    <t>Vaca assada com azeite e margarina</t>
  </si>
  <si>
    <t>Vaca assada com margarina</t>
  </si>
  <si>
    <t>Vaca assada com óleo alimentar e margarina</t>
  </si>
  <si>
    <t>Vaca assada, sem molho</t>
  </si>
  <si>
    <t>Vaca magra cozida</t>
  </si>
  <si>
    <t>Vaca magra estufada</t>
  </si>
  <si>
    <t>Vaca magra estufada à jardineira</t>
  </si>
  <si>
    <t>Vaca magra estufada com azeite e margarina</t>
  </si>
  <si>
    <t>Vaca magra estufada com margarina</t>
  </si>
  <si>
    <t>Vaca magra estufada com óleo alimentar e margarina</t>
  </si>
  <si>
    <t>Vaca magra estufada, sem molho</t>
  </si>
  <si>
    <t>Vaca meio gorda estufada</t>
  </si>
  <si>
    <t>Vaca meio gorda estufada com azeite e margarina</t>
  </si>
  <si>
    <t>Vaca meio gorda estufada com margarina</t>
  </si>
  <si>
    <t>Vaca meio gorda estufada com óleo alimentar e margarina</t>
  </si>
  <si>
    <t>Vaca meio gorda estufada, sem molho</t>
  </si>
  <si>
    <t>Vaca para assar crua</t>
  </si>
  <si>
    <t>Vaca para cozer ou estufar magra crua</t>
  </si>
  <si>
    <t>Vaca para cozer ou estufar meio gorda crua</t>
  </si>
  <si>
    <t>Veado cru</t>
  </si>
  <si>
    <t>Vieira, crua</t>
  </si>
  <si>
    <t>Vinagre</t>
  </si>
  <si>
    <t>Vinho espumante doce</t>
  </si>
  <si>
    <t>Vinho espumante extra bruto</t>
  </si>
  <si>
    <t>Vinho espumante meio Seco</t>
  </si>
  <si>
    <t>Vinho espumante seco</t>
  </si>
  <si>
    <t>Vinho generoso da Madeira</t>
  </si>
  <si>
    <t>Vinho generoso do Porto, doce</t>
  </si>
  <si>
    <t>Vinho generoso do Porto, meio seco</t>
  </si>
  <si>
    <t>Vinho generoso do Porto, seco</t>
  </si>
  <si>
    <t>Vinho maduro branco</t>
  </si>
  <si>
    <t>Vinho maduro palhete</t>
  </si>
  <si>
    <t>Vinho maduro tinto</t>
  </si>
  <si>
    <t>Vinho rosé</t>
  </si>
  <si>
    <t>Vinho verde branco</t>
  </si>
  <si>
    <t>Vinho verde tinto</t>
  </si>
  <si>
    <t>Wasabi, raiz crua</t>
  </si>
  <si>
    <t>Nome: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</si>
</sst>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quot;/&quot;mm&quot;/&quot;yyyy"/>
    <numFmt numFmtId="166" formatCode="yyyy/m/d"/>
    <numFmt numFmtId="167" formatCode="m\-d"/>
  </numFmts>
  <fonts count="71">
    <font>
      <sz val="10"/>
      <color rgb="FF000000"/>
      <name val="Arial"/>
      <scheme val="minor"/>
    </font>
    <font>
      <sz val="11"/>
      <color theme="1"/>
      <name val="Calibri"/>
    </font>
    <font>
      <b/>
      <sz val="14"/>
      <color theme="1"/>
      <name val="Calibri"/>
    </font>
    <font>
      <b/>
      <sz val="22"/>
      <color theme="1"/>
      <name val="Calibri"/>
    </font>
    <font>
      <sz val="10"/>
      <name val="Arial"/>
    </font>
    <font>
      <b/>
      <sz val="22"/>
      <color rgb="FF5B9BD5"/>
      <name val="Calibri"/>
    </font>
    <font>
      <sz val="10"/>
      <color theme="1"/>
      <name val="Arial"/>
    </font>
    <font>
      <b/>
      <sz val="12"/>
      <color theme="1"/>
      <name val="Arial"/>
    </font>
    <font>
      <sz val="16"/>
      <color theme="1"/>
      <name val="Calibri"/>
    </font>
    <font>
      <b/>
      <sz val="16"/>
      <color theme="1"/>
      <name val="Calibri"/>
    </font>
    <font>
      <b/>
      <sz val="10"/>
      <color theme="1"/>
      <name val="Arial"/>
    </font>
    <font>
      <b/>
      <sz val="16"/>
      <color rgb="FF00B050"/>
      <name val="Calibri"/>
    </font>
    <font>
      <b/>
      <sz val="22"/>
      <color rgb="FFFF0000"/>
      <name val="Calibri"/>
    </font>
    <font>
      <i/>
      <sz val="12"/>
      <color rgb="FF000000"/>
      <name val="Calibri"/>
    </font>
    <font>
      <b/>
      <sz val="12"/>
      <color theme="1"/>
      <name val="Calibri"/>
    </font>
    <font>
      <sz val="12"/>
      <color theme="1"/>
      <name val="Calibri"/>
    </font>
    <font>
      <b/>
      <sz val="12"/>
      <color rgb="FFFFFFFF"/>
      <name val="Calibri"/>
    </font>
    <font>
      <u/>
      <sz val="12"/>
      <color rgb="FF0000FF"/>
      <name val="Calibri"/>
    </font>
    <font>
      <b/>
      <sz val="11"/>
      <color theme="1"/>
      <name val="Calibri"/>
    </font>
    <font>
      <b/>
      <sz val="11"/>
      <color rgb="FFFFFFFF"/>
      <name val="Calibri"/>
    </font>
    <font>
      <sz val="11"/>
      <color rgb="FFFFFFFF"/>
      <name val="Calibri"/>
    </font>
    <font>
      <sz val="24"/>
      <color rgb="FF000000"/>
      <name val="Arial"/>
    </font>
    <font>
      <sz val="12"/>
      <color theme="1"/>
      <name val="Arial"/>
    </font>
    <font>
      <b/>
      <sz val="10"/>
      <color rgb="FF000000"/>
      <name val="Arial"/>
    </font>
    <font>
      <b/>
      <sz val="10"/>
      <color rgb="FF000000"/>
      <name val="Arial"/>
    </font>
    <font>
      <sz val="10"/>
      <color rgb="FFFFFFFF"/>
      <name val="Arial"/>
    </font>
    <font>
      <b/>
      <sz val="24"/>
      <color rgb="FFFFFFFF"/>
      <name val="Arial"/>
    </font>
    <font>
      <b/>
      <sz val="12"/>
      <color rgb="FFFFFFFF"/>
      <name val="Arial"/>
    </font>
    <font>
      <b/>
      <sz val="12"/>
      <color rgb="FF000000"/>
      <name val="Arial"/>
    </font>
    <font>
      <sz val="10"/>
      <color rgb="FF000000"/>
      <name val="Arial"/>
    </font>
    <font>
      <sz val="11"/>
      <color rgb="FF000000"/>
      <name val="Inconsolata"/>
    </font>
    <font>
      <b/>
      <sz val="11"/>
      <color theme="1"/>
      <name val="Arial"/>
    </font>
    <font>
      <sz val="10"/>
      <color theme="1"/>
      <name val="Arial"/>
    </font>
    <font>
      <u/>
      <sz val="10"/>
      <color theme="1"/>
      <name val="Arial"/>
    </font>
    <font>
      <u/>
      <sz val="10"/>
      <color theme="1"/>
      <name val="Arial"/>
    </font>
    <font>
      <b/>
      <sz val="18"/>
      <color rgb="FF000000"/>
      <name val="Arial"/>
    </font>
    <font>
      <sz val="18"/>
      <color theme="1"/>
      <name val="Arial"/>
    </font>
    <font>
      <b/>
      <sz val="13"/>
      <color rgb="FF000000"/>
      <name val="Arial"/>
    </font>
    <font>
      <u/>
      <sz val="10"/>
      <color theme="1"/>
      <name val="Arial"/>
    </font>
    <font>
      <u/>
      <sz val="10"/>
      <color theme="1"/>
      <name val="Arial"/>
    </font>
    <font>
      <b/>
      <sz val="20"/>
      <color theme="1"/>
      <name val="Calibri"/>
    </font>
    <font>
      <sz val="11"/>
      <color rgb="FF000000"/>
      <name val="Noto Sans Symbols"/>
    </font>
    <font>
      <b/>
      <sz val="20"/>
      <color rgb="FFFFFFFF"/>
      <name val="Calibri"/>
    </font>
    <font>
      <u/>
      <sz val="12"/>
      <color rgb="FF0563C1"/>
      <name val="Calibri"/>
    </font>
    <font>
      <u/>
      <sz val="12"/>
      <color rgb="FF0563C1"/>
      <name val="Calibri"/>
    </font>
    <font>
      <sz val="12"/>
      <color rgb="FF333333"/>
      <name val="Calibri"/>
    </font>
    <font>
      <u/>
      <sz val="12"/>
      <color rgb="FF0563C1"/>
      <name val="Calibri"/>
    </font>
    <font>
      <u/>
      <sz val="11"/>
      <color rgb="FF0563C1"/>
      <name val="Calibri"/>
    </font>
    <font>
      <u/>
      <sz val="11"/>
      <color rgb="FF1155CC"/>
      <name val="Calibri"/>
    </font>
    <font>
      <u/>
      <sz val="11"/>
      <color rgb="FF0563C1"/>
      <name val="Calibri"/>
    </font>
    <font>
      <u/>
      <sz val="11"/>
      <color rgb="FF0563C1"/>
      <name val="Calibri"/>
    </font>
    <font>
      <u/>
      <sz val="11"/>
      <color rgb="FF0563C1"/>
      <name val="Calibri"/>
    </font>
    <font>
      <b/>
      <sz val="14"/>
      <color rgb="FFFFFFFF"/>
      <name val="Arial"/>
    </font>
    <font>
      <u/>
      <sz val="11"/>
      <color rgb="FF0563C1"/>
      <name val="Calibri"/>
    </font>
    <font>
      <u/>
      <sz val="10"/>
      <color rgb="FF0000FF"/>
      <name val="Arial"/>
    </font>
    <font>
      <u/>
      <sz val="10"/>
      <color rgb="FF0000FF"/>
      <name val="Arial"/>
    </font>
    <font>
      <u/>
      <sz val="11"/>
      <color rgb="FF1155CC"/>
      <name val="Calibri"/>
    </font>
    <font>
      <u/>
      <sz val="11"/>
      <color rgb="FF0000FF"/>
      <name val="Calibri"/>
    </font>
    <font>
      <sz val="22"/>
      <color rgb="FF000000"/>
      <name val="Arial"/>
    </font>
    <font>
      <sz val="12"/>
      <color rgb="FFFFFFFF"/>
      <name val="Arial"/>
    </font>
    <font>
      <sz val="12"/>
      <color rgb="FF000000"/>
      <name val="Arial"/>
    </font>
    <font>
      <b/>
      <sz val="9"/>
      <color rgb="FF000000"/>
      <name val="Arial"/>
    </font>
    <font>
      <sz val="11"/>
      <color theme="1"/>
      <name val="Arial"/>
    </font>
    <font>
      <b/>
      <sz val="10"/>
      <color rgb="FFFFFFFF"/>
      <name val="Arial"/>
    </font>
    <font>
      <sz val="10"/>
      <color rgb="FF000000"/>
      <name val="Arial"/>
    </font>
    <font>
      <sz val="10"/>
      <color rgb="FFFF0000"/>
      <name val="Arial"/>
    </font>
    <font>
      <b/>
      <sz val="11"/>
      <color rgb="FF000000"/>
      <name val="Calibri"/>
    </font>
    <font>
      <i/>
      <sz val="12"/>
      <color theme="1"/>
      <name val="Calibri"/>
    </font>
    <font>
      <u/>
      <sz val="10"/>
      <color rgb="FF1155CC"/>
      <name val="Arial"/>
    </font>
    <font>
      <sz val="11"/>
      <color theme="1"/>
      <name val="Noto Sans Symbols"/>
    </font>
    <font>
      <sz val="7"/>
      <color theme="1"/>
      <name val="Times New Roman"/>
    </font>
  </fonts>
  <fills count="47">
    <fill>
      <patternFill patternType="none"/>
    </fill>
    <fill>
      <patternFill patternType="gray125"/>
    </fill>
    <fill>
      <patternFill patternType="solid">
        <fgColor rgb="FFFFFF00"/>
        <bgColor rgb="FFFFFF00"/>
      </patternFill>
    </fill>
    <fill>
      <patternFill patternType="solid">
        <fgColor rgb="FFFFE599"/>
        <bgColor rgb="FFFFE599"/>
      </patternFill>
    </fill>
    <fill>
      <patternFill patternType="solid">
        <fgColor rgb="FFCCCCCC"/>
        <bgColor rgb="FFCCCCCC"/>
      </patternFill>
    </fill>
    <fill>
      <patternFill patternType="solid">
        <fgColor rgb="FF00B050"/>
        <bgColor rgb="FF00B050"/>
      </patternFill>
    </fill>
    <fill>
      <patternFill patternType="solid">
        <fgColor rgb="FFB6D7A8"/>
        <bgColor rgb="FFB6D7A8"/>
      </patternFill>
    </fill>
    <fill>
      <patternFill patternType="solid">
        <fgColor rgb="FFFFF2CC"/>
        <bgColor rgb="FFFFF2CC"/>
      </patternFill>
    </fill>
    <fill>
      <patternFill patternType="solid">
        <fgColor rgb="FFFBE4D5"/>
        <bgColor rgb="FFFBE4D5"/>
      </patternFill>
    </fill>
    <fill>
      <patternFill patternType="solid">
        <fgColor rgb="FFFF0000"/>
        <bgColor rgb="FFFF0000"/>
      </patternFill>
    </fill>
    <fill>
      <patternFill patternType="solid">
        <fgColor rgb="FFFFC000"/>
        <bgColor rgb="FFFFC000"/>
      </patternFill>
    </fill>
    <fill>
      <patternFill patternType="solid">
        <fgColor rgb="FF4472C4"/>
        <bgColor rgb="FF4472C4"/>
      </patternFill>
    </fill>
    <fill>
      <patternFill patternType="solid">
        <fgColor rgb="FF00B0F0"/>
        <bgColor rgb="FF00B0F0"/>
      </patternFill>
    </fill>
    <fill>
      <patternFill patternType="solid">
        <fgColor rgb="FF7030A0"/>
        <bgColor rgb="FF7030A0"/>
      </patternFill>
    </fill>
    <fill>
      <patternFill patternType="solid">
        <fgColor rgb="FFC5E0B3"/>
        <bgColor rgb="FFC5E0B3"/>
      </patternFill>
    </fill>
    <fill>
      <patternFill patternType="solid">
        <fgColor rgb="FFA8D08D"/>
        <bgColor rgb="FFA8D08D"/>
      </patternFill>
    </fill>
    <fill>
      <patternFill patternType="solid">
        <fgColor rgb="FF548135"/>
        <bgColor rgb="FF548135"/>
      </patternFill>
    </fill>
    <fill>
      <patternFill patternType="solid">
        <fgColor rgb="FFED7D31"/>
        <bgColor rgb="FFED7D31"/>
      </patternFill>
    </fill>
    <fill>
      <patternFill patternType="solid">
        <fgColor rgb="FF000000"/>
        <bgColor rgb="FF000000"/>
      </patternFill>
    </fill>
    <fill>
      <patternFill patternType="solid">
        <fgColor rgb="FFFFE598"/>
        <bgColor rgb="FFFFE598"/>
      </patternFill>
    </fill>
    <fill>
      <patternFill patternType="solid">
        <fgColor rgb="FFEA9999"/>
        <bgColor rgb="FFEA9999"/>
      </patternFill>
    </fill>
    <fill>
      <patternFill patternType="solid">
        <fgColor rgb="FF434343"/>
        <bgColor rgb="FF434343"/>
      </patternFill>
    </fill>
    <fill>
      <patternFill patternType="solid">
        <fgColor rgb="FFF4CCCC"/>
        <bgColor rgb="FFF4CCCC"/>
      </patternFill>
    </fill>
    <fill>
      <patternFill patternType="solid">
        <fgColor rgb="FFE06666"/>
        <bgColor rgb="FFE06666"/>
      </patternFill>
    </fill>
    <fill>
      <patternFill patternType="solid">
        <fgColor rgb="FFCC0000"/>
        <bgColor rgb="FFCC0000"/>
      </patternFill>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theme="0"/>
        <bgColor theme="0"/>
      </patternFill>
    </fill>
    <fill>
      <patternFill patternType="solid">
        <fgColor rgb="FFFFFFFF"/>
        <bgColor rgb="FFFFFFFF"/>
      </patternFill>
    </fill>
    <fill>
      <patternFill patternType="solid">
        <fgColor rgb="FFE5B8B7"/>
        <bgColor rgb="FFE5B8B7"/>
      </patternFill>
    </fill>
    <fill>
      <patternFill patternType="solid">
        <fgColor rgb="FFBF8F00"/>
        <bgColor rgb="FFBF8F00"/>
      </patternFill>
    </fill>
    <fill>
      <patternFill patternType="solid">
        <fgColor rgb="FF92D050"/>
        <bgColor rgb="FF92D050"/>
      </patternFill>
    </fill>
    <fill>
      <patternFill patternType="solid">
        <fgColor rgb="FFF9CB9C"/>
        <bgColor rgb="FFF9CB9C"/>
      </patternFill>
    </fill>
    <fill>
      <patternFill patternType="solid">
        <fgColor rgb="FF6AA84F"/>
        <bgColor rgb="FF6AA84F"/>
      </patternFill>
    </fill>
    <fill>
      <patternFill patternType="solid">
        <fgColor rgb="FF45818E"/>
        <bgColor rgb="FF45818E"/>
      </patternFill>
    </fill>
    <fill>
      <patternFill patternType="solid">
        <fgColor rgb="FFA2C4C9"/>
        <bgColor rgb="FFA2C4C9"/>
      </patternFill>
    </fill>
    <fill>
      <patternFill patternType="solid">
        <fgColor rgb="FF93C47D"/>
        <bgColor rgb="FF93C47D"/>
      </patternFill>
    </fill>
    <fill>
      <patternFill patternType="solid">
        <fgColor rgb="FFD9EAD3"/>
        <bgColor rgb="FFD9EAD3"/>
      </patternFill>
    </fill>
    <fill>
      <patternFill patternType="solid">
        <fgColor rgb="FF76A5AF"/>
        <bgColor rgb="FF76A5AF"/>
      </patternFill>
    </fill>
    <fill>
      <patternFill patternType="solid">
        <fgColor rgb="FFD0E0E3"/>
        <bgColor rgb="FFD0E0E3"/>
      </patternFill>
    </fill>
    <fill>
      <patternFill patternType="solid">
        <fgColor rgb="FF38761D"/>
        <bgColor rgb="FF38761D"/>
      </patternFill>
    </fill>
    <fill>
      <patternFill patternType="solid">
        <fgColor rgb="FF134F5C"/>
        <bgColor rgb="FF134F5C"/>
      </patternFill>
    </fill>
    <fill>
      <patternFill patternType="solid">
        <fgColor theme="8"/>
        <bgColor theme="8"/>
      </patternFill>
    </fill>
    <fill>
      <patternFill patternType="solid">
        <fgColor rgb="FFF2F2F2"/>
        <bgColor rgb="FFF2F2F2"/>
      </patternFill>
    </fill>
    <fill>
      <patternFill patternType="solid">
        <fgColor rgb="FFF7CAAC"/>
        <bgColor rgb="FFF7CAAC"/>
      </patternFill>
    </fill>
    <fill>
      <patternFill patternType="solid">
        <fgColor rgb="FFFCE5CD"/>
        <bgColor rgb="FFFCE5CD"/>
      </patternFill>
    </fill>
  </fills>
  <borders count="125">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000000"/>
      </bottom>
      <diagonal/>
    </border>
    <border>
      <left/>
      <right style="thin">
        <color rgb="FFFFFFFF"/>
      </right>
      <top style="thin">
        <color rgb="FFFFFFFF"/>
      </top>
      <bottom style="thin">
        <color rgb="FF000000"/>
      </bottom>
      <diagonal/>
    </border>
    <border>
      <left/>
      <right style="thin">
        <color rgb="FFFFFFFF"/>
      </right>
      <top/>
      <bottom style="medium">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000000"/>
      </bottom>
      <diagonal/>
    </border>
    <border>
      <left/>
      <right style="thin">
        <color rgb="FFFFFFFF"/>
      </right>
      <top/>
      <bottom style="thin">
        <color rgb="FF000000"/>
      </bottom>
      <diagonal/>
    </border>
    <border>
      <left style="thin">
        <color rgb="FFFFFFFF"/>
      </left>
      <right style="thin">
        <color rgb="FFFFFFFF"/>
      </right>
      <top/>
      <bottom style="medium">
        <color rgb="FF000000"/>
      </bottom>
      <diagonal/>
    </border>
    <border>
      <left/>
      <right style="thin">
        <color rgb="FFFFFFFF"/>
      </right>
      <top/>
      <bottom style="medium">
        <color rgb="FF000000"/>
      </bottom>
      <diagonal/>
    </border>
    <border>
      <left/>
      <right/>
      <top/>
      <bottom style="thin">
        <color rgb="FFFFFFFF"/>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FFFFFF"/>
      </bottom>
      <diagonal/>
    </border>
    <border>
      <left/>
      <right/>
      <top/>
      <bottom style="medium">
        <color rgb="FF000000"/>
      </bottom>
      <diagonal/>
    </border>
    <border>
      <left/>
      <right style="medium">
        <color rgb="FF000000"/>
      </right>
      <top/>
      <bottom style="thin">
        <color rgb="FF000000"/>
      </bottom>
      <diagonal/>
    </border>
    <border>
      <left style="medium">
        <color rgb="FF000000"/>
      </left>
      <right/>
      <top style="thin">
        <color rgb="FFFFFFFF"/>
      </top>
      <bottom/>
      <diagonal/>
    </border>
    <border>
      <left/>
      <right/>
      <top style="thin">
        <color rgb="FFFFFFFF"/>
      </top>
      <bottom style="thin">
        <color rgb="FFFFFFFF"/>
      </bottom>
      <diagonal/>
    </border>
    <border>
      <left/>
      <right/>
      <top style="thin">
        <color rgb="FFFFFFFF"/>
      </top>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diagonal/>
    </border>
    <border>
      <left/>
      <right style="thin">
        <color rgb="FF000000"/>
      </right>
      <top/>
      <bottom style="medium">
        <color rgb="FF000000"/>
      </bottom>
      <diagonal/>
    </border>
    <border>
      <left style="medium">
        <color rgb="FF000000"/>
      </left>
      <right/>
      <top/>
      <bottom/>
      <diagonal/>
    </border>
    <border>
      <left/>
      <right style="medium">
        <color rgb="FFFFFFFF"/>
      </right>
      <top/>
      <bottom style="medium">
        <color rgb="FFFFFFFF"/>
      </bottom>
      <diagonal/>
    </border>
    <border>
      <left/>
      <right style="thin">
        <color rgb="FF000000"/>
      </right>
      <top/>
      <bottom/>
      <diagonal/>
    </border>
    <border>
      <left style="medium">
        <color rgb="FF000000"/>
      </left>
      <right style="medium">
        <color rgb="FF000000"/>
      </right>
      <top/>
      <bottom style="medium">
        <color rgb="FF000000"/>
      </bottom>
      <diagonal/>
    </border>
    <border>
      <left/>
      <right style="medium">
        <color rgb="FFFFFFFF"/>
      </right>
      <top/>
      <bottom style="medium">
        <color rgb="FF000000"/>
      </bottom>
      <diagonal/>
    </border>
    <border>
      <left style="medium">
        <color rgb="FFFFFFFF"/>
      </left>
      <right style="thin">
        <color rgb="FF000000"/>
      </right>
      <top/>
      <bottom/>
      <diagonal/>
    </border>
    <border>
      <left/>
      <right style="medium">
        <color rgb="FF000000"/>
      </right>
      <top/>
      <bottom/>
      <diagonal/>
    </border>
    <border>
      <left style="medium">
        <color rgb="FFFFFFFF"/>
      </left>
      <right style="medium">
        <color rgb="FFFFFFFF"/>
      </right>
      <top/>
      <bottom style="medium">
        <color rgb="FF000000"/>
      </bottom>
      <diagonal/>
    </border>
    <border>
      <left style="medium">
        <color rgb="FFFFFFFF"/>
      </left>
      <right/>
      <top/>
      <bottom/>
      <diagonal/>
    </border>
    <border>
      <left style="medium">
        <color rgb="FF000000"/>
      </left>
      <right style="thin">
        <color rgb="FF000000"/>
      </right>
      <top/>
      <bottom style="thin">
        <color rgb="FF000000"/>
      </bottom>
      <diagonal/>
    </border>
    <border>
      <left style="medium">
        <color rgb="FFFFFFFF"/>
      </left>
      <right style="medium">
        <color rgb="FFFFFFFF"/>
      </right>
      <top/>
      <bottom style="medium">
        <color rgb="FFFFFFFF"/>
      </bottom>
      <diagonal/>
    </border>
    <border>
      <left style="medium">
        <color rgb="FFFFFFFF"/>
      </left>
      <right style="medium">
        <color rgb="FFFFFFFF"/>
      </right>
      <top/>
      <bottom style="thin">
        <color rgb="FFFFFFFF"/>
      </bottom>
      <diagonal/>
    </border>
    <border>
      <left/>
      <right style="medium">
        <color rgb="FFFFFFFF"/>
      </right>
      <top/>
      <bottom style="thin">
        <color rgb="FFFFFFFF"/>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style="thin">
        <color rgb="FFFFFFFF"/>
      </bottom>
      <diagonal/>
    </border>
    <border>
      <left style="medium">
        <color rgb="FF000000"/>
      </left>
      <right style="thin">
        <color rgb="FF000000"/>
      </right>
      <top/>
      <bottom style="medium">
        <color rgb="FF000000"/>
      </bottom>
      <diagonal/>
    </border>
    <border>
      <left style="medium">
        <color rgb="FF000000"/>
      </left>
      <right/>
      <top style="medium">
        <color rgb="FF000000"/>
      </top>
      <bottom style="medium">
        <color rgb="FF000000"/>
      </bottom>
      <diagonal/>
    </border>
    <border>
      <left style="thick">
        <color rgb="FF000000"/>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n">
        <color rgb="FFFFFFFF"/>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n">
        <color rgb="FFFFFFFF"/>
      </right>
      <top/>
      <bottom style="medium">
        <color rgb="FFFFFFFF"/>
      </bottom>
      <diagonal/>
    </border>
    <border>
      <left style="medium">
        <color rgb="FFFFFFFF"/>
      </left>
      <right/>
      <top/>
      <bottom style="medium">
        <color rgb="FFFFFFFF"/>
      </bottom>
      <diagonal/>
    </border>
    <border>
      <left style="medium">
        <color rgb="FFFFFFFF"/>
      </left>
      <right style="thick">
        <color rgb="FF000000"/>
      </right>
      <top/>
      <bottom style="medium">
        <color rgb="FFFFFFFF"/>
      </bottom>
      <diagonal/>
    </border>
    <border>
      <left style="thick">
        <color rgb="FF000000"/>
      </left>
      <right style="thin">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style="medium">
        <color rgb="FFFFFFFF"/>
      </left>
      <right style="thick">
        <color rgb="FF000000"/>
      </right>
      <top style="medium">
        <color rgb="FFFFFFFF"/>
      </top>
      <bottom style="medium">
        <color rgb="FFFFFFFF"/>
      </bottom>
      <diagonal/>
    </border>
    <border>
      <left/>
      <right/>
      <top style="medium">
        <color rgb="FF000000"/>
      </top>
      <bottom/>
      <diagonal/>
    </border>
    <border>
      <left/>
      <right/>
      <top style="thick">
        <color rgb="FF000000"/>
      </top>
      <bottom/>
      <diagonal/>
    </border>
    <border>
      <left/>
      <right style="thick">
        <color rgb="FF000000"/>
      </right>
      <top style="thick">
        <color rgb="FF000000"/>
      </top>
      <bottom/>
      <diagonal/>
    </border>
    <border>
      <left/>
      <right style="medium">
        <color rgb="FF000000"/>
      </right>
      <top style="thin">
        <color rgb="FF000000"/>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ck">
        <color rgb="FF000000"/>
      </right>
      <top style="thin">
        <color rgb="FF000000"/>
      </top>
      <bottom/>
      <diagonal/>
    </border>
    <border>
      <left/>
      <right style="thick">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thick">
        <color rgb="FF000000"/>
      </right>
      <top/>
      <bottom style="medium">
        <color rgb="FF000000"/>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top style="thin">
        <color rgb="FF000000"/>
      </top>
      <bottom/>
      <diagonal/>
    </border>
    <border>
      <left style="medium">
        <color rgb="FF000000"/>
      </left>
      <right style="thin">
        <color rgb="FF000000"/>
      </right>
      <top style="medium">
        <color rgb="FF000000"/>
      </top>
      <bottom/>
      <diagonal/>
    </border>
    <border>
      <left/>
      <right/>
      <top style="medium">
        <color rgb="FF000000"/>
      </top>
      <bottom/>
      <diagonal/>
    </border>
    <border>
      <left/>
      <right style="thin">
        <color rgb="FF000000"/>
      </right>
      <top/>
      <bottom style="thin">
        <color rgb="FFFFFFFF"/>
      </bottom>
      <diagonal/>
    </border>
    <border>
      <left/>
      <right style="thick">
        <color rgb="FF000000"/>
      </right>
      <top/>
      <bottom style="thin">
        <color rgb="FF000000"/>
      </bottom>
      <diagonal/>
    </border>
    <border>
      <left style="thin">
        <color rgb="FF000000"/>
      </left>
      <right/>
      <top/>
      <bottom/>
      <diagonal/>
    </border>
    <border>
      <left style="medium">
        <color rgb="FF000000"/>
      </left>
      <right/>
      <top/>
      <bottom/>
      <diagonal/>
    </border>
    <border>
      <left/>
      <right/>
      <top/>
      <bottom/>
      <diagonal/>
    </border>
    <border>
      <left style="thin">
        <color rgb="FF000000"/>
      </left>
      <right/>
      <top/>
      <bottom style="medium">
        <color rgb="FF000000"/>
      </bottom>
      <diagonal/>
    </border>
    <border>
      <left/>
      <right style="thick">
        <color rgb="FF000000"/>
      </right>
      <top style="medium">
        <color rgb="FF000000"/>
      </top>
      <bottom style="medium">
        <color rgb="FF000000"/>
      </bottom>
      <diagonal/>
    </border>
    <border>
      <left style="medium">
        <color rgb="FF000000"/>
      </left>
      <right/>
      <top/>
      <bottom style="medium">
        <color rgb="FF000000"/>
      </bottom>
      <diagonal/>
    </border>
    <border>
      <left style="medium">
        <color rgb="FF000000"/>
      </left>
      <right/>
      <top/>
      <bottom style="thin">
        <color rgb="FF000000"/>
      </bottom>
      <diagonal/>
    </border>
    <border>
      <left style="medium">
        <color rgb="FF000000"/>
      </left>
      <right style="thin">
        <color rgb="FF000000"/>
      </right>
      <top style="medium">
        <color rgb="FF000000"/>
      </top>
      <bottom/>
      <diagonal/>
    </border>
    <border>
      <left style="thick">
        <color rgb="FF000000"/>
      </left>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top/>
      <bottom/>
      <diagonal/>
    </border>
    <border>
      <left style="thin">
        <color rgb="FF000000"/>
      </left>
      <right/>
      <top/>
      <bottom style="thin">
        <color rgb="FF000000"/>
      </bottom>
      <diagonal/>
    </border>
    <border>
      <left/>
      <right/>
      <top/>
      <bottom style="medium">
        <color rgb="FF000000"/>
      </bottom>
      <diagonal/>
    </border>
    <border>
      <left style="medium">
        <color rgb="FF000000"/>
      </left>
      <right style="thin">
        <color rgb="FFFFFFFF"/>
      </right>
      <top/>
      <bottom/>
      <diagonal/>
    </border>
    <border>
      <left style="medium">
        <color rgb="FF000000"/>
      </left>
      <right style="thin">
        <color rgb="FFFFFFFF"/>
      </right>
      <top/>
      <bottom style="thin">
        <color rgb="FF000000"/>
      </bottom>
      <diagonal/>
    </border>
    <border>
      <left style="medium">
        <color rgb="FF000000"/>
      </left>
      <right style="thin">
        <color rgb="FFFFFFFF"/>
      </right>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ck">
        <color rgb="FF000000"/>
      </left>
      <right/>
      <top style="thick">
        <color rgb="FF000000"/>
      </top>
      <bottom/>
      <diagonal/>
    </border>
    <border>
      <left style="thick">
        <color rgb="FF45818E"/>
      </left>
      <right/>
      <top style="thick">
        <color rgb="FF45818E"/>
      </top>
      <bottom style="thick">
        <color rgb="FF45818E"/>
      </bottom>
      <diagonal/>
    </border>
    <border>
      <left/>
      <right/>
      <top style="thick">
        <color rgb="FF45818E"/>
      </top>
      <bottom style="thick">
        <color rgb="FF45818E"/>
      </bottom>
      <diagonal/>
    </border>
    <border>
      <left/>
      <right style="thick">
        <color rgb="FF45818E"/>
      </right>
      <top style="thick">
        <color rgb="FF45818E"/>
      </top>
      <bottom style="thick">
        <color rgb="FF45818E"/>
      </bottom>
      <diagonal/>
    </border>
    <border>
      <left style="thick">
        <color rgb="FF6AA84F"/>
      </left>
      <right/>
      <top style="thick">
        <color rgb="FF6AA84F"/>
      </top>
      <bottom/>
      <diagonal/>
    </border>
    <border>
      <left/>
      <right/>
      <top style="thick">
        <color rgb="FF6AA84F"/>
      </top>
      <bottom/>
      <diagonal/>
    </border>
    <border>
      <left style="thick">
        <color rgb="FF45818E"/>
      </left>
      <right/>
      <top style="thick">
        <color rgb="FF45818E"/>
      </top>
      <bottom/>
      <diagonal/>
    </border>
    <border>
      <left/>
      <right/>
      <top style="thick">
        <color rgb="FF45818E"/>
      </top>
      <bottom/>
      <diagonal/>
    </border>
    <border>
      <left/>
      <right style="thick">
        <color rgb="FF45818E"/>
      </right>
      <top style="thick">
        <color rgb="FF45818E"/>
      </top>
      <bottom/>
      <diagonal/>
    </border>
    <border>
      <left style="thick">
        <color rgb="FF6AA84F"/>
      </left>
      <right/>
      <top/>
      <bottom/>
      <diagonal/>
    </border>
    <border>
      <left style="thick">
        <color rgb="FF45818E"/>
      </left>
      <right/>
      <top/>
      <bottom/>
      <diagonal/>
    </border>
    <border>
      <left/>
      <right style="thick">
        <color rgb="FF45818E"/>
      </right>
      <top/>
      <bottom/>
      <diagonal/>
    </border>
    <border>
      <left style="thick">
        <color rgb="FF6AA84F"/>
      </left>
      <right/>
      <top/>
      <bottom style="thick">
        <color rgb="FF6AA84F"/>
      </bottom>
      <diagonal/>
    </border>
    <border>
      <left/>
      <right/>
      <top/>
      <bottom style="thick">
        <color rgb="FF6AA84F"/>
      </bottom>
      <diagonal/>
    </border>
    <border>
      <left style="thick">
        <color rgb="FF45818E"/>
      </left>
      <right/>
      <top/>
      <bottom style="thick">
        <color rgb="FF45818E"/>
      </bottom>
      <diagonal/>
    </border>
    <border>
      <left/>
      <right/>
      <top/>
      <bottom style="thick">
        <color rgb="FF45818E"/>
      </bottom>
      <diagonal/>
    </border>
    <border>
      <left/>
      <right style="thick">
        <color rgb="FF45818E"/>
      </right>
      <top/>
      <bottom style="thick">
        <color rgb="FF45818E"/>
      </bottom>
      <diagonal/>
    </border>
    <border>
      <left/>
      <right/>
      <top/>
      <bottom style="thick">
        <color rgb="FFFFFFFF"/>
      </bottom>
      <diagonal/>
    </border>
  </borders>
  <cellStyleXfs count="1">
    <xf numFmtId="0" fontId="0" fillId="0" borderId="0"/>
  </cellStyleXfs>
  <cellXfs count="467">
    <xf numFmtId="0" fontId="0" fillId="0" borderId="0" xfId="0"/>
    <xf numFmtId="0" fontId="1" fillId="0" borderId="1" xfId="0" applyFont="1" applyBorder="1"/>
    <xf numFmtId="0" fontId="1" fillId="0" borderId="2" xfId="0" applyFont="1" applyBorder="1"/>
    <xf numFmtId="0" fontId="2" fillId="2" borderId="3" xfId="0" applyFont="1" applyFill="1" applyBorder="1"/>
    <xf numFmtId="0" fontId="1" fillId="2" borderId="4" xfId="0" applyFont="1" applyFill="1" applyBorder="1"/>
    <xf numFmtId="0" fontId="1" fillId="0" borderId="5" xfId="0" applyFont="1" applyBorder="1"/>
    <xf numFmtId="0" fontId="1" fillId="0" borderId="0" xfId="0" applyFont="1"/>
    <xf numFmtId="0" fontId="1" fillId="0" borderId="6" xfId="0" applyFont="1" applyBorder="1"/>
    <xf numFmtId="0" fontId="1" fillId="0" borderId="7" xfId="0" applyFont="1" applyBorder="1"/>
    <xf numFmtId="0" fontId="2" fillId="2" borderId="8" xfId="0" applyFont="1" applyFill="1" applyBorder="1"/>
    <xf numFmtId="0" fontId="1" fillId="2" borderId="9" xfId="0" applyFont="1" applyFill="1" applyBorder="1"/>
    <xf numFmtId="0" fontId="2" fillId="2" borderId="9" xfId="0" applyFont="1" applyFill="1" applyBorder="1"/>
    <xf numFmtId="0" fontId="1" fillId="0" borderId="10" xfId="0" applyFont="1" applyBorder="1"/>
    <xf numFmtId="0" fontId="1" fillId="0" borderId="11" xfId="0" applyFont="1" applyBorder="1"/>
    <xf numFmtId="0" fontId="1" fillId="0" borderId="12" xfId="0" applyFont="1" applyBorder="1"/>
    <xf numFmtId="0" fontId="1" fillId="0" borderId="15" xfId="0" applyFont="1" applyBorder="1"/>
    <xf numFmtId="0" fontId="6" fillId="4" borderId="18" xfId="0" applyFont="1" applyFill="1" applyBorder="1"/>
    <xf numFmtId="0" fontId="6" fillId="4" borderId="20" xfId="0" applyFont="1" applyFill="1" applyBorder="1"/>
    <xf numFmtId="0" fontId="6" fillId="0" borderId="2" xfId="0" applyFont="1" applyBorder="1"/>
    <xf numFmtId="0" fontId="8" fillId="0" borderId="21" xfId="0" applyFont="1" applyBorder="1"/>
    <xf numFmtId="0" fontId="1" fillId="2" borderId="17" xfId="0" applyFont="1" applyFill="1" applyBorder="1"/>
    <xf numFmtId="0" fontId="9" fillId="0" borderId="22" xfId="0" applyFont="1" applyBorder="1" applyAlignment="1">
      <alignment horizontal="center"/>
    </xf>
    <xf numFmtId="0" fontId="8" fillId="0" borderId="22" xfId="0" applyFont="1" applyBorder="1" applyAlignment="1">
      <alignment horizontal="center"/>
    </xf>
    <xf numFmtId="0" fontId="8" fillId="0" borderId="17" xfId="0" applyFont="1" applyBorder="1" applyAlignment="1">
      <alignment horizontal="center"/>
    </xf>
    <xf numFmtId="0" fontId="9" fillId="0" borderId="17" xfId="0" applyFont="1" applyBorder="1"/>
    <xf numFmtId="0" fontId="6" fillId="4" borderId="23" xfId="0" applyFont="1" applyFill="1" applyBorder="1"/>
    <xf numFmtId="0" fontId="6" fillId="4" borderId="0" xfId="0" applyFont="1" applyFill="1"/>
    <xf numFmtId="0" fontId="6" fillId="0" borderId="7" xfId="0" applyFont="1" applyBorder="1"/>
    <xf numFmtId="2" fontId="11" fillId="8" borderId="24" xfId="0" applyNumberFormat="1" applyFont="1" applyFill="1" applyBorder="1" applyAlignment="1">
      <alignment horizontal="center"/>
    </xf>
    <xf numFmtId="0" fontId="1" fillId="8" borderId="24" xfId="0" applyFont="1" applyFill="1" applyBorder="1"/>
    <xf numFmtId="1" fontId="1" fillId="2" borderId="14" xfId="0" applyNumberFormat="1" applyFont="1" applyFill="1" applyBorder="1"/>
    <xf numFmtId="0" fontId="8" fillId="9" borderId="17" xfId="0" applyFont="1" applyFill="1" applyBorder="1" applyAlignment="1">
      <alignment horizontal="center"/>
    </xf>
    <xf numFmtId="0" fontId="8" fillId="5" borderId="17" xfId="0" applyFont="1" applyFill="1" applyBorder="1" applyAlignment="1">
      <alignment horizontal="center"/>
    </xf>
    <xf numFmtId="0" fontId="6" fillId="4" borderId="25" xfId="0" applyFont="1" applyFill="1" applyBorder="1"/>
    <xf numFmtId="0" fontId="6" fillId="4" borderId="8" xfId="0" applyFont="1" applyFill="1" applyBorder="1"/>
    <xf numFmtId="0" fontId="10" fillId="4" borderId="8" xfId="0" applyFont="1" applyFill="1" applyBorder="1" applyAlignment="1">
      <alignment horizontal="center"/>
    </xf>
    <xf numFmtId="0" fontId="1" fillId="0" borderId="26" xfId="0" applyFont="1" applyBorder="1"/>
    <xf numFmtId="0" fontId="10" fillId="0" borderId="0" xfId="0" applyFont="1"/>
    <xf numFmtId="0" fontId="6" fillId="7" borderId="0" xfId="0" applyFont="1" applyFill="1" applyAlignment="1">
      <alignment horizontal="center"/>
    </xf>
    <xf numFmtId="0" fontId="6" fillId="7" borderId="27" xfId="0" applyFont="1" applyFill="1" applyBorder="1" applyAlignment="1">
      <alignment horizontal="center"/>
    </xf>
    <xf numFmtId="0" fontId="8" fillId="0" borderId="28" xfId="0" applyFont="1" applyBorder="1"/>
    <xf numFmtId="0" fontId="1" fillId="2" borderId="14" xfId="0" applyFont="1" applyFill="1" applyBorder="1"/>
    <xf numFmtId="0" fontId="9" fillId="0" borderId="14" xfId="0" applyFont="1" applyBorder="1"/>
    <xf numFmtId="1" fontId="8" fillId="9" borderId="14" xfId="0" applyNumberFormat="1" applyFont="1" applyFill="1" applyBorder="1" applyAlignment="1">
      <alignment horizontal="center"/>
    </xf>
    <xf numFmtId="1" fontId="8" fillId="5" borderId="14" xfId="0" applyNumberFormat="1" applyFont="1" applyFill="1" applyBorder="1" applyAlignment="1">
      <alignment horizontal="center"/>
    </xf>
    <xf numFmtId="0" fontId="6" fillId="0" borderId="0" xfId="0" applyFont="1" applyAlignment="1">
      <alignment horizontal="center"/>
    </xf>
    <xf numFmtId="0" fontId="6" fillId="0" borderId="27" xfId="0" applyFont="1" applyBorder="1" applyAlignment="1">
      <alignment horizontal="center"/>
    </xf>
    <xf numFmtId="0" fontId="6" fillId="0" borderId="0" xfId="0" applyFont="1" applyAlignment="1">
      <alignment horizontal="right"/>
    </xf>
    <xf numFmtId="0" fontId="1" fillId="0" borderId="29" xfId="0" applyFont="1" applyBorder="1"/>
    <xf numFmtId="0" fontId="1" fillId="0" borderId="16" xfId="0" applyFont="1" applyBorder="1"/>
    <xf numFmtId="0" fontId="6" fillId="4" borderId="30" xfId="0" applyFont="1" applyFill="1" applyBorder="1"/>
    <xf numFmtId="0" fontId="10" fillId="0" borderId="8" xfId="0" applyFont="1" applyBorder="1"/>
    <xf numFmtId="1" fontId="6" fillId="0" borderId="8" xfId="0" applyNumberFormat="1" applyFont="1" applyBorder="1" applyAlignment="1">
      <alignment horizontal="center"/>
    </xf>
    <xf numFmtId="1" fontId="6" fillId="0" borderId="22" xfId="0" applyNumberFormat="1" applyFont="1" applyBorder="1" applyAlignment="1">
      <alignment horizontal="center"/>
    </xf>
    <xf numFmtId="0" fontId="9" fillId="3" borderId="21" xfId="0" applyFont="1" applyFill="1" applyBorder="1" applyAlignment="1">
      <alignment horizontal="center"/>
    </xf>
    <xf numFmtId="0" fontId="6" fillId="0" borderId="8" xfId="0" applyFont="1" applyBorder="1"/>
    <xf numFmtId="0" fontId="1" fillId="2" borderId="28" xfId="0" applyFont="1" applyFill="1" applyBorder="1"/>
    <xf numFmtId="0" fontId="1" fillId="0" borderId="32" xfId="0" applyFont="1" applyBorder="1"/>
    <xf numFmtId="1" fontId="6" fillId="0" borderId="0" xfId="0" applyNumberFormat="1" applyFont="1" applyAlignment="1">
      <alignment horizontal="center"/>
    </xf>
    <xf numFmtId="1" fontId="6" fillId="0" borderId="27" xfId="0" applyNumberFormat="1" applyFont="1" applyBorder="1" applyAlignment="1">
      <alignment horizontal="center"/>
    </xf>
    <xf numFmtId="164" fontId="6" fillId="0" borderId="8" xfId="0" applyNumberFormat="1" applyFont="1" applyBorder="1" applyAlignment="1">
      <alignment horizontal="center"/>
    </xf>
    <xf numFmtId="0" fontId="6" fillId="0" borderId="22" xfId="0" applyFont="1" applyBorder="1"/>
    <xf numFmtId="0" fontId="6" fillId="4" borderId="33" xfId="0" applyFont="1" applyFill="1" applyBorder="1"/>
    <xf numFmtId="0" fontId="14" fillId="3" borderId="34" xfId="0" applyFont="1" applyFill="1" applyBorder="1"/>
    <xf numFmtId="0" fontId="14" fillId="0" borderId="24" xfId="0" applyFont="1" applyBorder="1" applyAlignment="1">
      <alignment horizontal="center"/>
    </xf>
    <xf numFmtId="0" fontId="14" fillId="0" borderId="14" xfId="0" applyFont="1" applyBorder="1" applyAlignment="1">
      <alignment horizontal="center"/>
    </xf>
    <xf numFmtId="0" fontId="15" fillId="3" borderId="34" xfId="0" applyFont="1" applyFill="1" applyBorder="1"/>
    <xf numFmtId="0" fontId="6" fillId="2" borderId="17" xfId="0" applyFont="1" applyFill="1" applyBorder="1"/>
    <xf numFmtId="0" fontId="15" fillId="8" borderId="22" xfId="0" applyFont="1" applyFill="1" applyBorder="1" applyAlignment="1">
      <alignment horizontal="center"/>
    </xf>
    <xf numFmtId="0" fontId="15" fillId="8" borderId="17" xfId="0" applyFont="1" applyFill="1" applyBorder="1" applyAlignment="1">
      <alignment horizontal="center"/>
    </xf>
    <xf numFmtId="0" fontId="15" fillId="8" borderId="24" xfId="0" applyFont="1" applyFill="1" applyBorder="1" applyAlignment="1">
      <alignment horizontal="center"/>
    </xf>
    <xf numFmtId="0" fontId="15" fillId="8" borderId="14" xfId="0" applyFont="1" applyFill="1" applyBorder="1" applyAlignment="1">
      <alignment horizontal="center"/>
    </xf>
    <xf numFmtId="0" fontId="1" fillId="3" borderId="34" xfId="0" applyFont="1" applyFill="1" applyBorder="1"/>
    <xf numFmtId="0" fontId="14" fillId="3" borderId="14" xfId="0" applyFont="1" applyFill="1" applyBorder="1" applyAlignment="1">
      <alignment horizontal="center"/>
    </xf>
    <xf numFmtId="0" fontId="15" fillId="0" borderId="17" xfId="0" applyFont="1" applyBorder="1"/>
    <xf numFmtId="0" fontId="15" fillId="0" borderId="22" xfId="0" applyFont="1" applyBorder="1" applyAlignment="1">
      <alignment horizontal="center"/>
    </xf>
    <xf numFmtId="0" fontId="15" fillId="0" borderId="17" xfId="0" applyFont="1" applyBorder="1" applyAlignment="1">
      <alignment horizontal="center"/>
    </xf>
    <xf numFmtId="0" fontId="15" fillId="0" borderId="14" xfId="0" applyFont="1" applyBorder="1"/>
    <xf numFmtId="0" fontId="15" fillId="0" borderId="24" xfId="0" applyFont="1" applyBorder="1" applyAlignment="1">
      <alignment horizontal="center"/>
    </xf>
    <xf numFmtId="0" fontId="15" fillId="0" borderId="14" xfId="0" applyFont="1" applyBorder="1" applyAlignment="1">
      <alignment horizontal="center"/>
    </xf>
    <xf numFmtId="0" fontId="14" fillId="3" borderId="23" xfId="0" applyFont="1" applyFill="1" applyBorder="1"/>
    <xf numFmtId="1" fontId="15" fillId="0" borderId="22" xfId="0" applyNumberFormat="1" applyFont="1" applyBorder="1" applyAlignment="1">
      <alignment horizontal="center"/>
    </xf>
    <xf numFmtId="1" fontId="15" fillId="0" borderId="17" xfId="0" applyNumberFormat="1" applyFont="1" applyBorder="1" applyAlignment="1">
      <alignment horizontal="center"/>
    </xf>
    <xf numFmtId="1" fontId="15" fillId="0" borderId="24" xfId="0" applyNumberFormat="1" applyFont="1" applyBorder="1" applyAlignment="1">
      <alignment horizontal="center"/>
    </xf>
    <xf numFmtId="1" fontId="15" fillId="0" borderId="14" xfId="0" applyNumberFormat="1" applyFont="1" applyBorder="1" applyAlignment="1">
      <alignment horizontal="center"/>
    </xf>
    <xf numFmtId="2" fontId="15" fillId="0" borderId="14" xfId="0" applyNumberFormat="1" applyFont="1" applyBorder="1" applyAlignment="1">
      <alignment horizontal="center"/>
    </xf>
    <xf numFmtId="0" fontId="1" fillId="0" borderId="35" xfId="0" applyFont="1" applyBorder="1"/>
    <xf numFmtId="0" fontId="1" fillId="0" borderId="36" xfId="0" applyFont="1" applyBorder="1"/>
    <xf numFmtId="0" fontId="1" fillId="0" borderId="37" xfId="0" applyFont="1" applyBorder="1"/>
    <xf numFmtId="0" fontId="18" fillId="10" borderId="40" xfId="0" applyFont="1" applyFill="1" applyBorder="1" applyAlignment="1">
      <alignment horizontal="center" vertical="center" wrapText="1"/>
    </xf>
    <xf numFmtId="0" fontId="18" fillId="10" borderId="41" xfId="0" applyFont="1" applyFill="1" applyBorder="1" applyAlignment="1">
      <alignment horizontal="center" vertical="center" wrapText="1"/>
    </xf>
    <xf numFmtId="0" fontId="18" fillId="12" borderId="41" xfId="0" applyFont="1" applyFill="1" applyBorder="1" applyAlignment="1">
      <alignment horizontal="center" vertical="center" wrapText="1"/>
    </xf>
    <xf numFmtId="0" fontId="19" fillId="13" borderId="41" xfId="0" applyFont="1" applyFill="1" applyBorder="1" applyAlignment="1">
      <alignment horizontal="center" vertical="center" wrapText="1"/>
    </xf>
    <xf numFmtId="0" fontId="18" fillId="5" borderId="41" xfId="0" applyFont="1" applyFill="1" applyBorder="1" applyAlignment="1">
      <alignment horizontal="center" vertical="center" wrapText="1"/>
    </xf>
    <xf numFmtId="0" fontId="18" fillId="9" borderId="40" xfId="0" applyFont="1" applyFill="1" applyBorder="1" applyAlignment="1">
      <alignment horizontal="center" vertical="center" wrapText="1"/>
    </xf>
    <xf numFmtId="0" fontId="18" fillId="9" borderId="41" xfId="0" applyFont="1" applyFill="1" applyBorder="1" applyAlignment="1">
      <alignment horizontal="center" vertical="center" wrapText="1"/>
    </xf>
    <xf numFmtId="0" fontId="18" fillId="9" borderId="39" xfId="0" applyFont="1" applyFill="1" applyBorder="1" applyAlignment="1">
      <alignment vertical="center"/>
    </xf>
    <xf numFmtId="0" fontId="18" fillId="14" borderId="40" xfId="0" applyFont="1" applyFill="1" applyBorder="1" applyAlignment="1">
      <alignment horizontal="center" vertical="center" wrapText="1"/>
    </xf>
    <xf numFmtId="0" fontId="18" fillId="14" borderId="41" xfId="0" applyFont="1" applyFill="1" applyBorder="1" applyAlignment="1">
      <alignment horizontal="center" vertical="center" wrapText="1"/>
    </xf>
    <xf numFmtId="0" fontId="18" fillId="15" borderId="40"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18" fillId="16" borderId="40" xfId="0" applyFont="1" applyFill="1" applyBorder="1" applyAlignment="1">
      <alignment horizontal="center" vertical="center" wrapText="1"/>
    </xf>
    <xf numFmtId="0" fontId="18" fillId="16" borderId="41" xfId="0" applyFont="1" applyFill="1" applyBorder="1" applyAlignment="1">
      <alignment horizontal="center" vertical="center" wrapText="1"/>
    </xf>
    <xf numFmtId="0" fontId="18" fillId="17" borderId="39" xfId="0" applyFont="1" applyFill="1" applyBorder="1" applyAlignment="1">
      <alignment horizontal="center" vertical="center" wrapText="1"/>
    </xf>
    <xf numFmtId="0" fontId="18" fillId="11" borderId="24" xfId="0" applyFont="1" applyFill="1" applyBorder="1" applyAlignment="1">
      <alignment horizontal="center" vertical="center" wrapText="1"/>
    </xf>
    <xf numFmtId="0" fontId="18" fillId="11" borderId="14" xfId="0" applyFont="1" applyFill="1" applyBorder="1" applyAlignment="1">
      <alignment horizontal="center" vertical="center" wrapText="1"/>
    </xf>
    <xf numFmtId="0" fontId="18" fillId="2" borderId="24" xfId="0" applyFont="1" applyFill="1" applyBorder="1" applyAlignment="1">
      <alignment horizontal="center" vertical="center" wrapText="1"/>
    </xf>
    <xf numFmtId="0" fontId="18" fillId="2" borderId="14" xfId="0" applyFont="1" applyFill="1" applyBorder="1" applyAlignment="1">
      <alignment horizontal="center" vertical="center" wrapText="1"/>
    </xf>
    <xf numFmtId="0" fontId="18" fillId="12" borderId="15" xfId="0" applyFont="1" applyFill="1" applyBorder="1" applyAlignment="1">
      <alignment horizontal="center" vertical="center"/>
    </xf>
    <xf numFmtId="0" fontId="19" fillId="13" borderId="15" xfId="0" applyFont="1" applyFill="1" applyBorder="1" applyAlignment="1">
      <alignment horizontal="center" vertical="center"/>
    </xf>
    <xf numFmtId="0" fontId="18" fillId="5" borderId="15" xfId="0" applyFont="1" applyFill="1" applyBorder="1" applyAlignment="1">
      <alignment horizontal="center" vertical="center"/>
    </xf>
    <xf numFmtId="0" fontId="1" fillId="17" borderId="14" xfId="0" applyFont="1" applyFill="1" applyBorder="1" applyAlignment="1">
      <alignment vertical="center"/>
    </xf>
    <xf numFmtId="0" fontId="1" fillId="3" borderId="34" xfId="0" applyFont="1" applyFill="1" applyBorder="1" applyAlignment="1">
      <alignment horizontal="center" vertical="center"/>
    </xf>
    <xf numFmtId="165" fontId="1" fillId="3" borderId="14" xfId="0" applyNumberFormat="1" applyFont="1" applyFill="1" applyBorder="1" applyAlignment="1">
      <alignment vertical="center"/>
    </xf>
    <xf numFmtId="0" fontId="20" fillId="18" borderId="43" xfId="0" applyFont="1" applyFill="1" applyBorder="1" applyAlignment="1">
      <alignment vertical="center"/>
    </xf>
    <xf numFmtId="20" fontId="20" fillId="18" borderId="43" xfId="0" applyNumberFormat="1" applyFont="1" applyFill="1" applyBorder="1" applyAlignment="1">
      <alignment vertical="center"/>
    </xf>
    <xf numFmtId="0" fontId="20" fillId="18" borderId="7" xfId="0" applyFont="1" applyFill="1" applyBorder="1" applyAlignment="1">
      <alignment vertical="center"/>
    </xf>
    <xf numFmtId="165" fontId="1" fillId="3" borderId="14" xfId="0" applyNumberFormat="1" applyFont="1" applyFill="1" applyBorder="1" applyAlignment="1">
      <alignment horizontal="right" vertical="center"/>
    </xf>
    <xf numFmtId="0" fontId="1" fillId="3" borderId="44" xfId="0" applyFont="1" applyFill="1" applyBorder="1" applyAlignment="1">
      <alignment horizontal="center" vertical="center"/>
    </xf>
    <xf numFmtId="0" fontId="20" fillId="18" borderId="15" xfId="0" applyFont="1" applyFill="1" applyBorder="1" applyAlignment="1">
      <alignment vertical="center"/>
    </xf>
    <xf numFmtId="0" fontId="20" fillId="18" borderId="5" xfId="0" applyFont="1" applyFill="1" applyBorder="1" applyAlignment="1">
      <alignment vertical="center"/>
    </xf>
    <xf numFmtId="0" fontId="20" fillId="18" borderId="14" xfId="0" applyFont="1" applyFill="1" applyBorder="1" applyAlignment="1">
      <alignment vertical="center"/>
    </xf>
    <xf numFmtId="0" fontId="1" fillId="0" borderId="0" xfId="0" applyFont="1" applyAlignment="1">
      <alignment vertical="center"/>
    </xf>
    <xf numFmtId="0" fontId="20" fillId="0" borderId="0" xfId="0" applyFont="1" applyAlignment="1">
      <alignment vertical="center"/>
    </xf>
    <xf numFmtId="0" fontId="6" fillId="3" borderId="0" xfId="0" applyFont="1" applyFill="1"/>
    <xf numFmtId="0" fontId="23" fillId="20" borderId="48" xfId="0" applyFont="1" applyFill="1" applyBorder="1" applyAlignment="1">
      <alignment horizontal="center" wrapText="1"/>
    </xf>
    <xf numFmtId="0" fontId="24" fillId="20" borderId="49" xfId="0" applyFont="1" applyFill="1" applyBorder="1" applyAlignment="1">
      <alignment horizontal="center" vertical="center" wrapText="1"/>
    </xf>
    <xf numFmtId="0" fontId="24" fillId="20" borderId="50" xfId="0" applyFont="1" applyFill="1" applyBorder="1" applyAlignment="1">
      <alignment horizontal="center" vertical="center" wrapText="1"/>
    </xf>
    <xf numFmtId="0" fontId="23" fillId="3" borderId="51" xfId="0" applyFont="1" applyFill="1" applyBorder="1" applyAlignment="1">
      <alignment horizontal="center"/>
    </xf>
    <xf numFmtId="0" fontId="23" fillId="3" borderId="52" xfId="0" applyFont="1" applyFill="1" applyBorder="1" applyAlignment="1">
      <alignment horizontal="center"/>
    </xf>
    <xf numFmtId="0" fontId="23" fillId="3" borderId="53" xfId="0" applyFont="1" applyFill="1" applyBorder="1" applyAlignment="1">
      <alignment horizontal="center" wrapText="1"/>
    </xf>
    <xf numFmtId="0" fontId="24" fillId="3" borderId="53" xfId="0" applyFont="1" applyFill="1" applyBorder="1" applyAlignment="1">
      <alignment horizontal="center" vertical="center" wrapText="1"/>
    </xf>
    <xf numFmtId="0" fontId="25" fillId="18" borderId="54" xfId="0" applyFont="1" applyFill="1" applyBorder="1" applyAlignment="1">
      <alignment horizontal="center"/>
    </xf>
    <xf numFmtId="166" fontId="25" fillId="18" borderId="26" xfId="0" applyNumberFormat="1" applyFont="1" applyFill="1" applyBorder="1" applyAlignment="1">
      <alignment horizontal="center"/>
    </xf>
    <xf numFmtId="0" fontId="25" fillId="18" borderId="35" xfId="0" applyFont="1" applyFill="1" applyBorder="1" applyAlignment="1">
      <alignment horizontal="center"/>
    </xf>
    <xf numFmtId="0" fontId="25" fillId="18" borderId="55" xfId="0" applyFont="1" applyFill="1" applyBorder="1" applyAlignment="1">
      <alignment horizontal="center"/>
    </xf>
    <xf numFmtId="0" fontId="25" fillId="18" borderId="56" xfId="0" applyFont="1" applyFill="1" applyBorder="1" applyAlignment="1">
      <alignment horizontal="center"/>
    </xf>
    <xf numFmtId="0" fontId="6" fillId="0" borderId="0" xfId="0" applyFont="1"/>
    <xf numFmtId="0" fontId="25" fillId="21" borderId="57" xfId="0" applyFont="1" applyFill="1" applyBorder="1" applyAlignment="1">
      <alignment horizontal="center"/>
    </xf>
    <xf numFmtId="166" fontId="25" fillId="21" borderId="58" xfId="0" applyNumberFormat="1" applyFont="1" applyFill="1" applyBorder="1" applyAlignment="1">
      <alignment horizontal="center"/>
    </xf>
    <xf numFmtId="0" fontId="25" fillId="21" borderId="59" xfId="0" applyFont="1" applyFill="1" applyBorder="1" applyAlignment="1">
      <alignment horizontal="center"/>
    </xf>
    <xf numFmtId="0" fontId="25" fillId="21" borderId="60" xfId="0" applyFont="1" applyFill="1" applyBorder="1" applyAlignment="1">
      <alignment horizontal="center"/>
    </xf>
    <xf numFmtId="0" fontId="25" fillId="21" borderId="61" xfId="0" applyFont="1" applyFill="1" applyBorder="1" applyAlignment="1">
      <alignment horizontal="center"/>
    </xf>
    <xf numFmtId="0" fontId="25" fillId="18" borderId="57" xfId="0" applyFont="1" applyFill="1" applyBorder="1" applyAlignment="1">
      <alignment horizontal="center"/>
    </xf>
    <xf numFmtId="166" fontId="25" fillId="18" borderId="58" xfId="0" applyNumberFormat="1" applyFont="1" applyFill="1" applyBorder="1" applyAlignment="1">
      <alignment horizontal="center"/>
    </xf>
    <xf numFmtId="0" fontId="25" fillId="18" borderId="59" xfId="0" applyFont="1" applyFill="1" applyBorder="1" applyAlignment="1">
      <alignment horizontal="center"/>
    </xf>
    <xf numFmtId="0" fontId="25" fillId="18" borderId="60" xfId="0" applyFont="1" applyFill="1" applyBorder="1" applyAlignment="1">
      <alignment horizontal="center"/>
    </xf>
    <xf numFmtId="0" fontId="25" fillId="18" borderId="61" xfId="0" applyFont="1" applyFill="1" applyBorder="1" applyAlignment="1">
      <alignment horizontal="center"/>
    </xf>
    <xf numFmtId="0" fontId="25" fillId="21" borderId="58" xfId="0" applyFont="1" applyFill="1" applyBorder="1" applyAlignment="1">
      <alignment horizontal="center"/>
    </xf>
    <xf numFmtId="0" fontId="25" fillId="18" borderId="58" xfId="0" applyFont="1" applyFill="1" applyBorder="1" applyAlignment="1">
      <alignment horizontal="center"/>
    </xf>
    <xf numFmtId="0" fontId="26" fillId="0" borderId="0" xfId="0" applyFont="1" applyAlignment="1">
      <alignment horizontal="center" vertical="center"/>
    </xf>
    <xf numFmtId="9" fontId="24" fillId="3" borderId="70" xfId="0" applyNumberFormat="1" applyFont="1" applyFill="1" applyBorder="1" applyAlignment="1">
      <alignment horizontal="center" vertical="center"/>
    </xf>
    <xf numFmtId="9" fontId="24" fillId="3" borderId="71" xfId="0" applyNumberFormat="1" applyFont="1" applyFill="1" applyBorder="1" applyAlignment="1">
      <alignment horizontal="center" vertical="center"/>
    </xf>
    <xf numFmtId="9" fontId="24" fillId="3" borderId="72" xfId="0" applyNumberFormat="1" applyFont="1" applyFill="1" applyBorder="1" applyAlignment="1">
      <alignment horizontal="center" vertical="center"/>
    </xf>
    <xf numFmtId="0" fontId="27" fillId="0" borderId="0" xfId="0" applyFont="1" applyAlignment="1">
      <alignment horizontal="center" vertical="center"/>
    </xf>
    <xf numFmtId="0" fontId="28" fillId="3" borderId="73" xfId="0" applyFont="1" applyFill="1" applyBorder="1" applyAlignment="1">
      <alignment horizontal="center" vertical="center"/>
    </xf>
    <xf numFmtId="0" fontId="28" fillId="3" borderId="74" xfId="0" applyFont="1" applyFill="1" applyBorder="1" applyAlignment="1">
      <alignment horizontal="center" vertical="center" wrapText="1"/>
    </xf>
    <xf numFmtId="0" fontId="24" fillId="3" borderId="75" xfId="0" applyFont="1" applyFill="1" applyBorder="1" applyAlignment="1">
      <alignment horizontal="center" vertical="center"/>
    </xf>
    <xf numFmtId="0" fontId="24" fillId="3" borderId="76" xfId="0" applyFont="1" applyFill="1" applyBorder="1" applyAlignment="1">
      <alignment horizontal="center" vertical="center"/>
    </xf>
    <xf numFmtId="0" fontId="24" fillId="3" borderId="76" xfId="0" applyFont="1" applyFill="1" applyBorder="1" applyAlignment="1">
      <alignment horizontal="center" vertical="center" wrapText="1"/>
    </xf>
    <xf numFmtId="0" fontId="24" fillId="3" borderId="41" xfId="0" applyFont="1" applyFill="1" applyBorder="1" applyAlignment="1">
      <alignment horizontal="center" vertical="center"/>
    </xf>
    <xf numFmtId="0" fontId="18" fillId="22" borderId="24" xfId="0" applyFont="1" applyFill="1" applyBorder="1" applyAlignment="1">
      <alignment horizontal="center"/>
    </xf>
    <xf numFmtId="0" fontId="18" fillId="22" borderId="14" xfId="0" applyFont="1" applyFill="1" applyBorder="1" applyAlignment="1">
      <alignment horizontal="center"/>
    </xf>
    <xf numFmtId="0" fontId="18" fillId="20" borderId="24" xfId="0" applyFont="1" applyFill="1" applyBorder="1" applyAlignment="1">
      <alignment horizontal="center"/>
    </xf>
    <xf numFmtId="0" fontId="18" fillId="20" borderId="14" xfId="0" applyFont="1" applyFill="1" applyBorder="1" applyAlignment="1">
      <alignment horizontal="center"/>
    </xf>
    <xf numFmtId="0" fontId="18" fillId="23" borderId="24" xfId="0" applyFont="1" applyFill="1" applyBorder="1" applyAlignment="1">
      <alignment horizontal="center"/>
    </xf>
    <xf numFmtId="0" fontId="18" fillId="23" borderId="14" xfId="0" applyFont="1" applyFill="1" applyBorder="1" applyAlignment="1">
      <alignment horizontal="center"/>
    </xf>
    <xf numFmtId="0" fontId="18" fillId="24" borderId="24" xfId="0" applyFont="1" applyFill="1" applyBorder="1" applyAlignment="1">
      <alignment horizontal="center"/>
    </xf>
    <xf numFmtId="0" fontId="18" fillId="24" borderId="14" xfId="0" applyFont="1" applyFill="1" applyBorder="1" applyAlignment="1">
      <alignment horizontal="center"/>
    </xf>
    <xf numFmtId="0" fontId="18" fillId="6" borderId="24" xfId="0" applyFont="1" applyFill="1" applyBorder="1"/>
    <xf numFmtId="0" fontId="18" fillId="6" borderId="77" xfId="0" applyFont="1" applyFill="1" applyBorder="1"/>
    <xf numFmtId="0" fontId="29" fillId="25" borderId="78" xfId="0" applyFont="1" applyFill="1" applyBorder="1"/>
    <xf numFmtId="0" fontId="29" fillId="25" borderId="62" xfId="0" applyFont="1" applyFill="1" applyBorder="1"/>
    <xf numFmtId="0" fontId="30" fillId="26" borderId="62" xfId="0" applyFont="1" applyFill="1" applyBorder="1"/>
    <xf numFmtId="0" fontId="30" fillId="26" borderId="79" xfId="0" applyFont="1" applyFill="1" applyBorder="1"/>
    <xf numFmtId="0" fontId="28" fillId="0" borderId="0" xfId="0" applyFont="1" applyAlignment="1">
      <alignment horizontal="center" vertical="center"/>
    </xf>
    <xf numFmtId="0" fontId="31" fillId="25" borderId="80" xfId="0" applyFont="1" applyFill="1" applyBorder="1"/>
    <xf numFmtId="0" fontId="32" fillId="0" borderId="31" xfId="0" applyFont="1" applyBorder="1" applyAlignment="1">
      <alignment horizontal="center"/>
    </xf>
    <xf numFmtId="0" fontId="32" fillId="27" borderId="82" xfId="0" applyFont="1" applyFill="1" applyBorder="1"/>
    <xf numFmtId="0" fontId="33" fillId="0" borderId="0" xfId="0" applyFont="1" applyAlignment="1">
      <alignment horizontal="center" wrapText="1"/>
    </xf>
    <xf numFmtId="0" fontId="32" fillId="27" borderId="62" xfId="0" applyFont="1" applyFill="1" applyBorder="1" applyAlignment="1">
      <alignment horizontal="center"/>
    </xf>
    <xf numFmtId="0" fontId="32" fillId="0" borderId="62" xfId="0" applyFont="1" applyBorder="1" applyAlignment="1">
      <alignment horizontal="center"/>
    </xf>
    <xf numFmtId="0" fontId="6" fillId="27" borderId="39" xfId="0" applyFont="1" applyFill="1" applyBorder="1" applyAlignment="1">
      <alignment horizontal="center"/>
    </xf>
    <xf numFmtId="0" fontId="20" fillId="18" borderId="37" xfId="0" applyFont="1" applyFill="1" applyBorder="1"/>
    <xf numFmtId="0" fontId="20" fillId="18" borderId="83" xfId="0" applyFont="1" applyFill="1" applyBorder="1"/>
    <xf numFmtId="0" fontId="20" fillId="18" borderId="7" xfId="0" applyFont="1" applyFill="1" applyBorder="1"/>
    <xf numFmtId="0" fontId="20" fillId="18" borderId="12" xfId="0" applyFont="1" applyFill="1" applyBorder="1"/>
    <xf numFmtId="0" fontId="1" fillId="6" borderId="84" xfId="0" applyFont="1" applyFill="1" applyBorder="1" applyAlignment="1">
      <alignment horizontal="center"/>
    </xf>
    <xf numFmtId="0" fontId="1" fillId="6" borderId="17" xfId="0" applyFont="1" applyFill="1" applyBorder="1" applyAlignment="1">
      <alignment horizontal="center"/>
    </xf>
    <xf numFmtId="0" fontId="29" fillId="25" borderId="85" xfId="0" applyFont="1" applyFill="1" applyBorder="1"/>
    <xf numFmtId="0" fontId="29" fillId="25" borderId="0" xfId="0" applyFont="1" applyFill="1"/>
    <xf numFmtId="0" fontId="30" fillId="26" borderId="0" xfId="0" applyFont="1" applyFill="1"/>
    <xf numFmtId="0" fontId="30" fillId="26" borderId="27" xfId="0" applyFont="1" applyFill="1" applyBorder="1"/>
    <xf numFmtId="0" fontId="31" fillId="25" borderId="86" xfId="0" applyFont="1" applyFill="1" applyBorder="1"/>
    <xf numFmtId="0" fontId="32" fillId="27" borderId="87" xfId="0" applyFont="1" applyFill="1" applyBorder="1"/>
    <xf numFmtId="0" fontId="32" fillId="27" borderId="0" xfId="0" applyFont="1" applyFill="1" applyAlignment="1">
      <alignment horizontal="center"/>
    </xf>
    <xf numFmtId="0" fontId="32" fillId="0" borderId="0" xfId="0" applyFont="1" applyAlignment="1">
      <alignment horizontal="center"/>
    </xf>
    <xf numFmtId="0" fontId="6" fillId="27" borderId="31" xfId="0" applyFont="1" applyFill="1" applyBorder="1" applyAlignment="1">
      <alignment horizontal="center"/>
    </xf>
    <xf numFmtId="0" fontId="29" fillId="25" borderId="88" xfId="0" applyFont="1" applyFill="1" applyBorder="1"/>
    <xf numFmtId="0" fontId="29" fillId="25" borderId="16" xfId="0" applyFont="1" applyFill="1" applyBorder="1"/>
    <xf numFmtId="0" fontId="30" fillId="26" borderId="16" xfId="0" applyFont="1" applyFill="1" applyBorder="1"/>
    <xf numFmtId="0" fontId="30" fillId="26" borderId="24" xfId="0" applyFont="1" applyFill="1" applyBorder="1"/>
    <xf numFmtId="0" fontId="32" fillId="27" borderId="16" xfId="0" applyFont="1" applyFill="1" applyBorder="1" applyAlignment="1">
      <alignment horizontal="center"/>
    </xf>
    <xf numFmtId="0" fontId="32" fillId="0" borderId="16" xfId="0" applyFont="1" applyBorder="1" applyAlignment="1">
      <alignment horizontal="center"/>
    </xf>
    <xf numFmtId="0" fontId="6" fillId="27" borderId="14" xfId="0" applyFont="1" applyFill="1" applyBorder="1" applyAlignment="1">
      <alignment horizontal="center"/>
    </xf>
    <xf numFmtId="0" fontId="18" fillId="6" borderId="42" xfId="0" applyFont="1" applyFill="1" applyBorder="1" applyAlignment="1">
      <alignment vertical="top"/>
    </xf>
    <xf numFmtId="0" fontId="1" fillId="6" borderId="42" xfId="0" applyFont="1" applyFill="1" applyBorder="1" applyAlignment="1">
      <alignment vertical="top"/>
    </xf>
    <xf numFmtId="0" fontId="1" fillId="6" borderId="89" xfId="0" applyFont="1" applyFill="1" applyBorder="1" applyAlignment="1">
      <alignment vertical="top"/>
    </xf>
    <xf numFmtId="0" fontId="34" fillId="0" borderId="62" xfId="0" applyFont="1" applyBorder="1" applyAlignment="1">
      <alignment horizontal="center" wrapText="1"/>
    </xf>
    <xf numFmtId="0" fontId="31" fillId="25" borderId="90" xfId="0" applyFont="1" applyFill="1" applyBorder="1"/>
    <xf numFmtId="0" fontId="32" fillId="0" borderId="14" xfId="0" applyFont="1" applyBorder="1" applyAlignment="1">
      <alignment horizontal="center"/>
    </xf>
    <xf numFmtId="0" fontId="28" fillId="0" borderId="0" xfId="0" applyFont="1" applyAlignment="1">
      <alignment horizontal="center" vertical="center" wrapText="1"/>
    </xf>
    <xf numFmtId="0" fontId="24" fillId="3" borderId="92" xfId="0" applyFont="1" applyFill="1" applyBorder="1" applyAlignment="1">
      <alignment horizontal="center"/>
    </xf>
    <xf numFmtId="0" fontId="32" fillId="0" borderId="39" xfId="0" applyFont="1" applyBorder="1" applyAlignment="1">
      <alignment horizontal="left"/>
    </xf>
    <xf numFmtId="0" fontId="18" fillId="6" borderId="93" xfId="0" applyFont="1" applyFill="1" applyBorder="1" applyAlignment="1">
      <alignment vertical="top"/>
    </xf>
    <xf numFmtId="0" fontId="24" fillId="3" borderId="94" xfId="0" applyFont="1" applyFill="1" applyBorder="1" applyAlignment="1">
      <alignment horizontal="center"/>
    </xf>
    <xf numFmtId="0" fontId="32" fillId="0" borderId="31" xfId="0" applyFont="1" applyBorder="1" applyAlignment="1">
      <alignment horizontal="left"/>
    </xf>
    <xf numFmtId="0" fontId="24" fillId="3" borderId="95" xfId="0" applyFont="1" applyFill="1" applyBorder="1" applyAlignment="1">
      <alignment horizontal="center"/>
    </xf>
    <xf numFmtId="0" fontId="32" fillId="0" borderId="14" xfId="0" applyFont="1" applyBorder="1" applyAlignment="1">
      <alignment horizontal="left"/>
    </xf>
    <xf numFmtId="167" fontId="32" fillId="0" borderId="0" xfId="0" applyNumberFormat="1" applyFont="1" applyAlignment="1">
      <alignment horizontal="center"/>
    </xf>
    <xf numFmtId="0" fontId="32" fillId="27" borderId="99" xfId="0" applyFont="1" applyFill="1" applyBorder="1"/>
    <xf numFmtId="0" fontId="29" fillId="25" borderId="100" xfId="0" applyFont="1" applyFill="1" applyBorder="1"/>
    <xf numFmtId="0" fontId="29" fillId="25" borderId="8" xfId="0" applyFont="1" applyFill="1" applyBorder="1"/>
    <xf numFmtId="0" fontId="30" fillId="26" borderId="8" xfId="0" applyFont="1" applyFill="1" applyBorder="1"/>
    <xf numFmtId="0" fontId="30" fillId="26" borderId="22" xfId="0" applyFont="1" applyFill="1" applyBorder="1"/>
    <xf numFmtId="0" fontId="32" fillId="27" borderId="101" xfId="0" applyFont="1" applyFill="1" applyBorder="1"/>
    <xf numFmtId="0" fontId="39" fillId="0" borderId="16" xfId="0" applyFont="1" applyBorder="1" applyAlignment="1">
      <alignment horizontal="center" wrapText="1"/>
    </xf>
    <xf numFmtId="0" fontId="6" fillId="0" borderId="0" xfId="0" applyFont="1" applyAlignment="1">
      <alignment textRotation="255"/>
    </xf>
    <xf numFmtId="0" fontId="6" fillId="0" borderId="0" xfId="0" applyFont="1" applyAlignment="1">
      <alignment wrapText="1"/>
    </xf>
    <xf numFmtId="0" fontId="40" fillId="10" borderId="73" xfId="0" applyFont="1" applyFill="1" applyBorder="1" applyAlignment="1">
      <alignment horizontal="right"/>
    </xf>
    <xf numFmtId="0" fontId="40" fillId="10" borderId="97" xfId="0" applyFont="1" applyFill="1" applyBorder="1" applyAlignment="1">
      <alignment horizontal="center"/>
    </xf>
    <xf numFmtId="0" fontId="41" fillId="0" borderId="104" xfId="0" applyFont="1" applyBorder="1" applyAlignment="1">
      <alignment wrapText="1"/>
    </xf>
    <xf numFmtId="0" fontId="20" fillId="18" borderId="14" xfId="0" applyFont="1" applyFill="1" applyBorder="1"/>
    <xf numFmtId="0" fontId="40" fillId="10" borderId="34" xfId="0" applyFont="1" applyFill="1" applyBorder="1" applyAlignment="1">
      <alignment horizontal="right"/>
    </xf>
    <xf numFmtId="0" fontId="40" fillId="10" borderId="17" xfId="0" applyFont="1" applyFill="1" applyBorder="1" applyAlignment="1">
      <alignment horizontal="center"/>
    </xf>
    <xf numFmtId="0" fontId="9" fillId="3" borderId="34" xfId="0" applyFont="1" applyFill="1" applyBorder="1" applyAlignment="1">
      <alignment horizontal="center"/>
    </xf>
    <xf numFmtId="0" fontId="9" fillId="3" borderId="22" xfId="0" applyFont="1" applyFill="1" applyBorder="1" applyAlignment="1">
      <alignment horizontal="center"/>
    </xf>
    <xf numFmtId="0" fontId="9" fillId="3" borderId="17" xfId="0" applyFont="1" applyFill="1" applyBorder="1" applyAlignment="1">
      <alignment horizontal="center"/>
    </xf>
    <xf numFmtId="0" fontId="15" fillId="0" borderId="34" xfId="0" applyFont="1" applyBorder="1"/>
    <xf numFmtId="0" fontId="43" fillId="0" borderId="22" xfId="0" applyFont="1" applyBorder="1"/>
    <xf numFmtId="0" fontId="15" fillId="0" borderId="22" xfId="0" applyFont="1" applyBorder="1"/>
    <xf numFmtId="0" fontId="15" fillId="29" borderId="34" xfId="0" applyFont="1" applyFill="1" applyBorder="1"/>
    <xf numFmtId="0" fontId="44" fillId="29" borderId="22" xfId="0" applyFont="1" applyFill="1" applyBorder="1"/>
    <xf numFmtId="0" fontId="45" fillId="0" borderId="34" xfId="0" applyFont="1" applyBorder="1"/>
    <xf numFmtId="0" fontId="1" fillId="0" borderId="22" xfId="0" applyFont="1" applyBorder="1"/>
    <xf numFmtId="0" fontId="1" fillId="0" borderId="17" xfId="0" applyFont="1" applyBorder="1"/>
    <xf numFmtId="0" fontId="45" fillId="0" borderId="44" xfId="0" applyFont="1" applyBorder="1"/>
    <xf numFmtId="0" fontId="46" fillId="0" borderId="24" xfId="0" applyFont="1" applyBorder="1"/>
    <xf numFmtId="0" fontId="1" fillId="0" borderId="24" xfId="0" applyFont="1" applyBorder="1"/>
    <xf numFmtId="0" fontId="1" fillId="0" borderId="14" xfId="0" applyFont="1" applyBorder="1"/>
    <xf numFmtId="0" fontId="1" fillId="0" borderId="22" xfId="0" applyFont="1" applyBorder="1" applyAlignment="1">
      <alignment horizontal="center"/>
    </xf>
    <xf numFmtId="0" fontId="1" fillId="0" borderId="17" xfId="0" applyFont="1" applyBorder="1" applyAlignment="1">
      <alignment horizontal="center"/>
    </xf>
    <xf numFmtId="0" fontId="15" fillId="0" borderId="44" xfId="0" applyFont="1" applyBorder="1"/>
    <xf numFmtId="0" fontId="1" fillId="0" borderId="24" xfId="0" applyFont="1" applyBorder="1" applyAlignment="1">
      <alignment horizontal="center"/>
    </xf>
    <xf numFmtId="0" fontId="1" fillId="0" borderId="14" xfId="0" applyFont="1" applyBorder="1" applyAlignment="1">
      <alignment horizontal="center"/>
    </xf>
    <xf numFmtId="0" fontId="45" fillId="0" borderId="21" xfId="0" applyFont="1" applyBorder="1"/>
    <xf numFmtId="0" fontId="47" fillId="0" borderId="8" xfId="0" applyFont="1" applyBorder="1"/>
    <xf numFmtId="0" fontId="45" fillId="28" borderId="105" xfId="0" applyFont="1" applyFill="1" applyBorder="1"/>
    <xf numFmtId="0" fontId="48" fillId="0" borderId="66" xfId="0" applyFont="1" applyBorder="1"/>
    <xf numFmtId="0" fontId="45" fillId="0" borderId="28" xfId="0" applyFont="1" applyBorder="1"/>
    <xf numFmtId="0" fontId="49" fillId="0" borderId="16" xfId="0" applyFont="1" applyBorder="1"/>
    <xf numFmtId="0" fontId="45" fillId="0" borderId="22" xfId="0" applyFont="1" applyBorder="1"/>
    <xf numFmtId="0" fontId="50" fillId="0" borderId="22" xfId="0" applyFont="1" applyBorder="1"/>
    <xf numFmtId="0" fontId="51" fillId="0" borderId="24" xfId="0" applyFont="1" applyBorder="1"/>
    <xf numFmtId="0" fontId="6" fillId="18" borderId="8" xfId="0" applyFont="1" applyFill="1" applyBorder="1"/>
    <xf numFmtId="0" fontId="27" fillId="18" borderId="8" xfId="0" applyFont="1" applyFill="1" applyBorder="1"/>
    <xf numFmtId="0" fontId="27" fillId="18" borderId="8" xfId="0" applyFont="1" applyFill="1" applyBorder="1" applyAlignment="1">
      <alignment horizontal="center"/>
    </xf>
    <xf numFmtId="9" fontId="27" fillId="18" borderId="8" xfId="0" applyNumberFormat="1" applyFont="1" applyFill="1" applyBorder="1" applyAlignment="1">
      <alignment horizontal="center"/>
    </xf>
    <xf numFmtId="0" fontId="6" fillId="0" borderId="27" xfId="0" applyFont="1" applyBorder="1"/>
    <xf numFmtId="0" fontId="52" fillId="18" borderId="22" xfId="0" applyFont="1" applyFill="1" applyBorder="1" applyAlignment="1">
      <alignment horizontal="center"/>
    </xf>
    <xf numFmtId="0" fontId="1" fillId="12" borderId="21" xfId="0" applyFont="1" applyFill="1" applyBorder="1"/>
    <xf numFmtId="0" fontId="1" fillId="12" borderId="17" xfId="0" applyFont="1" applyFill="1" applyBorder="1"/>
    <xf numFmtId="0" fontId="53" fillId="0" borderId="17" xfId="0" applyFont="1" applyBorder="1"/>
    <xf numFmtId="9" fontId="6" fillId="0" borderId="22" xfId="0" applyNumberFormat="1" applyFont="1" applyBorder="1"/>
    <xf numFmtId="0" fontId="6" fillId="29" borderId="22" xfId="0" applyFont="1" applyFill="1" applyBorder="1"/>
    <xf numFmtId="0" fontId="6" fillId="0" borderId="17" xfId="0" applyFont="1" applyBorder="1"/>
    <xf numFmtId="0" fontId="1" fillId="30" borderId="21" xfId="0" applyFont="1" applyFill="1" applyBorder="1"/>
    <xf numFmtId="0" fontId="1" fillId="30" borderId="17" xfId="0" applyFont="1" applyFill="1" applyBorder="1"/>
    <xf numFmtId="0" fontId="54" fillId="0" borderId="0" xfId="0" applyFont="1"/>
    <xf numFmtId="0" fontId="55" fillId="0" borderId="0" xfId="0" applyFont="1"/>
    <xf numFmtId="0" fontId="56" fillId="0" borderId="17" xfId="0" applyFont="1" applyBorder="1"/>
    <xf numFmtId="0" fontId="57" fillId="0" borderId="17" xfId="0" applyFont="1" applyBorder="1"/>
    <xf numFmtId="0" fontId="1" fillId="29" borderId="17" xfId="0" applyFont="1" applyFill="1" applyBorder="1"/>
    <xf numFmtId="0" fontId="1" fillId="31" borderId="21" xfId="0" applyFont="1" applyFill="1" applyBorder="1"/>
    <xf numFmtId="0" fontId="1" fillId="31" borderId="17" xfId="0" applyFont="1" applyFill="1" applyBorder="1"/>
    <xf numFmtId="0" fontId="1" fillId="32" borderId="21" xfId="0" applyFont="1" applyFill="1" applyBorder="1"/>
    <xf numFmtId="0" fontId="1" fillId="32" borderId="17" xfId="0" applyFont="1" applyFill="1" applyBorder="1"/>
    <xf numFmtId="0" fontId="1" fillId="32" borderId="106" xfId="0" applyFont="1" applyFill="1" applyBorder="1"/>
    <xf numFmtId="0" fontId="1" fillId="0" borderId="8" xfId="0" applyFont="1" applyBorder="1"/>
    <xf numFmtId="0" fontId="1" fillId="2" borderId="21" xfId="0" applyFont="1" applyFill="1" applyBorder="1"/>
    <xf numFmtId="0" fontId="1" fillId="2" borderId="106" xfId="0" applyFont="1" applyFill="1" applyBorder="1"/>
    <xf numFmtId="0" fontId="23" fillId="0" borderId="0" xfId="0" applyFont="1" applyAlignment="1">
      <alignment horizontal="center" vertical="center"/>
    </xf>
    <xf numFmtId="0" fontId="23" fillId="0" borderId="38" xfId="0" applyFont="1" applyBorder="1" applyAlignment="1">
      <alignment horizontal="center" vertical="center"/>
    </xf>
    <xf numFmtId="0" fontId="23" fillId="0" borderId="62" xfId="0" applyFont="1" applyBorder="1" applyAlignment="1">
      <alignment horizontal="center" vertical="center"/>
    </xf>
    <xf numFmtId="0" fontId="23" fillId="0" borderId="39" xfId="0" applyFont="1" applyBorder="1" applyAlignment="1">
      <alignment horizontal="center" vertical="center"/>
    </xf>
    <xf numFmtId="1" fontId="28" fillId="33" borderId="25" xfId="0" applyNumberFormat="1" applyFont="1" applyFill="1" applyBorder="1" applyAlignment="1">
      <alignment horizontal="center"/>
    </xf>
    <xf numFmtId="1" fontId="28" fillId="33" borderId="0" xfId="0" applyNumberFormat="1" applyFont="1" applyFill="1" applyAlignment="1">
      <alignment horizontal="center"/>
    </xf>
    <xf numFmtId="1" fontId="28" fillId="33" borderId="31" xfId="0" applyNumberFormat="1" applyFont="1" applyFill="1" applyBorder="1" applyAlignment="1">
      <alignment horizontal="center"/>
    </xf>
    <xf numFmtId="1" fontId="60" fillId="6" borderId="25" xfId="0" applyNumberFormat="1" applyFont="1" applyFill="1" applyBorder="1" applyAlignment="1">
      <alignment horizontal="center"/>
    </xf>
    <xf numFmtId="1" fontId="60" fillId="6" borderId="0" xfId="0" applyNumberFormat="1" applyFont="1" applyFill="1" applyAlignment="1">
      <alignment horizontal="center"/>
    </xf>
    <xf numFmtId="1" fontId="60" fillId="6" borderId="31" xfId="0" applyNumberFormat="1" applyFont="1" applyFill="1" applyBorder="1" applyAlignment="1">
      <alignment horizontal="center"/>
    </xf>
    <xf numFmtId="1" fontId="60" fillId="36" borderId="25" xfId="0" applyNumberFormat="1" applyFont="1" applyFill="1" applyBorder="1" applyAlignment="1">
      <alignment horizontal="center"/>
    </xf>
    <xf numFmtId="1" fontId="60" fillId="36" borderId="0" xfId="0" applyNumberFormat="1" applyFont="1" applyFill="1" applyAlignment="1">
      <alignment horizontal="center"/>
    </xf>
    <xf numFmtId="1" fontId="60" fillId="36" borderId="31" xfId="0" applyNumberFormat="1" applyFont="1" applyFill="1" applyBorder="1" applyAlignment="1">
      <alignment horizontal="center"/>
    </xf>
    <xf numFmtId="1" fontId="60" fillId="20" borderId="13" xfId="0" applyNumberFormat="1" applyFont="1" applyFill="1" applyBorder="1" applyAlignment="1">
      <alignment horizontal="center"/>
    </xf>
    <xf numFmtId="1" fontId="60" fillId="20" borderId="16" xfId="0" applyNumberFormat="1" applyFont="1" applyFill="1" applyBorder="1" applyAlignment="1">
      <alignment horizontal="center"/>
    </xf>
    <xf numFmtId="1" fontId="60" fillId="20" borderId="14" xfId="0" applyNumberFormat="1" applyFont="1" applyFill="1" applyBorder="1" applyAlignment="1">
      <alignment horizontal="center"/>
    </xf>
    <xf numFmtId="0" fontId="23" fillId="0" borderId="107" xfId="0" applyFont="1" applyBorder="1" applyAlignment="1">
      <alignment horizontal="center"/>
    </xf>
    <xf numFmtId="0" fontId="23" fillId="0" borderId="63" xfId="0" applyFont="1" applyBorder="1" applyAlignment="1">
      <alignment horizontal="center"/>
    </xf>
    <xf numFmtId="0" fontId="61" fillId="0" borderId="63" xfId="0" applyFont="1" applyBorder="1" applyAlignment="1">
      <alignment horizontal="center"/>
    </xf>
    <xf numFmtId="0" fontId="23" fillId="0" borderId="108" xfId="0" applyFont="1" applyBorder="1" applyAlignment="1">
      <alignment horizontal="center"/>
    </xf>
    <xf numFmtId="0" fontId="23" fillId="0" borderId="109" xfId="0" applyFont="1" applyBorder="1" applyAlignment="1">
      <alignment horizontal="center"/>
    </xf>
    <xf numFmtId="0" fontId="61" fillId="0" borderId="109" xfId="0" applyFont="1" applyBorder="1" applyAlignment="1">
      <alignment horizontal="center"/>
    </xf>
    <xf numFmtId="0" fontId="61" fillId="0" borderId="110" xfId="0" applyFont="1" applyBorder="1" applyAlignment="1">
      <alignment horizontal="center"/>
    </xf>
    <xf numFmtId="0" fontId="62" fillId="26" borderId="112" xfId="0" applyFont="1" applyFill="1" applyBorder="1" applyAlignment="1">
      <alignment horizontal="center"/>
    </xf>
    <xf numFmtId="0" fontId="7" fillId="26" borderId="112" xfId="0" applyFont="1" applyFill="1" applyBorder="1" applyAlignment="1">
      <alignment horizontal="center"/>
    </xf>
    <xf numFmtId="1" fontId="6" fillId="38" borderId="112" xfId="0" applyNumberFormat="1" applyFont="1" applyFill="1" applyBorder="1" applyAlignment="1">
      <alignment horizontal="center"/>
    </xf>
    <xf numFmtId="0" fontId="62" fillId="26" borderId="114" xfId="0" applyFont="1" applyFill="1" applyBorder="1" applyAlignment="1">
      <alignment horizontal="center"/>
    </xf>
    <xf numFmtId="0" fontId="7" fillId="26" borderId="114" xfId="0" applyFont="1" applyFill="1" applyBorder="1" applyAlignment="1">
      <alignment horizontal="center"/>
    </xf>
    <xf numFmtId="1" fontId="6" fillId="40" borderId="114" xfId="0" applyNumberFormat="1" applyFont="1" applyFill="1" applyBorder="1" applyAlignment="1">
      <alignment horizontal="center"/>
    </xf>
    <xf numFmtId="1" fontId="6" fillId="40" borderId="115" xfId="0" applyNumberFormat="1" applyFont="1" applyFill="1" applyBorder="1" applyAlignment="1">
      <alignment horizontal="center"/>
    </xf>
    <xf numFmtId="0" fontId="62" fillId="26" borderId="0" xfId="0" applyFont="1" applyFill="1" applyAlignment="1">
      <alignment horizontal="center"/>
    </xf>
    <xf numFmtId="0" fontId="7" fillId="26" borderId="0" xfId="0" applyFont="1" applyFill="1" applyAlignment="1">
      <alignment horizontal="center"/>
    </xf>
    <xf numFmtId="1" fontId="6" fillId="38" borderId="0" xfId="0" applyNumberFormat="1" applyFont="1" applyFill="1" applyAlignment="1">
      <alignment horizontal="center"/>
    </xf>
    <xf numFmtId="1" fontId="6" fillId="40" borderId="0" xfId="0" applyNumberFormat="1" applyFont="1" applyFill="1" applyAlignment="1">
      <alignment horizontal="center"/>
    </xf>
    <xf numFmtId="1" fontId="6" fillId="40" borderId="118" xfId="0" applyNumberFormat="1" applyFont="1" applyFill="1" applyBorder="1" applyAlignment="1">
      <alignment horizontal="center"/>
    </xf>
    <xf numFmtId="0" fontId="62" fillId="26" borderId="120" xfId="0" applyFont="1" applyFill="1" applyBorder="1" applyAlignment="1">
      <alignment horizontal="center"/>
    </xf>
    <xf numFmtId="0" fontId="7" fillId="26" borderId="120" xfId="0" applyFont="1" applyFill="1" applyBorder="1" applyAlignment="1">
      <alignment horizontal="center"/>
    </xf>
    <xf numFmtId="1" fontId="6" fillId="38" borderId="120" xfId="0" applyNumberFormat="1" applyFont="1" applyFill="1" applyBorder="1" applyAlignment="1">
      <alignment horizontal="center"/>
    </xf>
    <xf numFmtId="0" fontId="62" fillId="26" borderId="122" xfId="0" applyFont="1" applyFill="1" applyBorder="1" applyAlignment="1">
      <alignment horizontal="center"/>
    </xf>
    <xf numFmtId="0" fontId="7" fillId="26" borderId="122" xfId="0" applyFont="1" applyFill="1" applyBorder="1" applyAlignment="1">
      <alignment horizontal="center"/>
    </xf>
    <xf numFmtId="1" fontId="6" fillId="40" borderId="122" xfId="0" applyNumberFormat="1" applyFont="1" applyFill="1" applyBorder="1" applyAlignment="1">
      <alignment horizontal="center"/>
    </xf>
    <xf numFmtId="1" fontId="6" fillId="40" borderId="123" xfId="0" applyNumberFormat="1" applyFont="1" applyFill="1" applyBorder="1" applyAlignment="1">
      <alignment horizontal="center"/>
    </xf>
    <xf numFmtId="0" fontId="6" fillId="0" borderId="124" xfId="0" applyFont="1" applyBorder="1"/>
    <xf numFmtId="0" fontId="27" fillId="0" borderId="124" xfId="0" applyFont="1" applyBorder="1" applyAlignment="1">
      <alignment horizontal="left"/>
    </xf>
    <xf numFmtId="0" fontId="63" fillId="41" borderId="0" xfId="0" applyFont="1" applyFill="1" applyAlignment="1">
      <alignment horizontal="center"/>
    </xf>
    <xf numFmtId="1" fontId="63" fillId="41" borderId="0" xfId="0" applyNumberFormat="1" applyFont="1" applyFill="1" applyAlignment="1">
      <alignment horizontal="center"/>
    </xf>
    <xf numFmtId="0" fontId="63" fillId="42" borderId="108" xfId="0" applyFont="1" applyFill="1" applyBorder="1" applyAlignment="1">
      <alignment horizontal="center"/>
    </xf>
    <xf numFmtId="1" fontId="63" fillId="42" borderId="109" xfId="0" applyNumberFormat="1" applyFont="1" applyFill="1" applyBorder="1" applyAlignment="1">
      <alignment horizontal="center"/>
    </xf>
    <xf numFmtId="1" fontId="63" fillId="42" borderId="110" xfId="0" applyNumberFormat="1" applyFont="1" applyFill="1" applyBorder="1" applyAlignment="1">
      <alignment horizontal="center"/>
    </xf>
    <xf numFmtId="0" fontId="7" fillId="0" borderId="0" xfId="0" applyFont="1" applyAlignment="1">
      <alignment horizontal="left"/>
    </xf>
    <xf numFmtId="0" fontId="23" fillId="0" borderId="0" xfId="0" applyFont="1" applyAlignment="1">
      <alignment horizontal="left" vertical="top"/>
    </xf>
    <xf numFmtId="0" fontId="64" fillId="0" borderId="0" xfId="0" applyFont="1" applyAlignment="1">
      <alignment vertical="top"/>
    </xf>
    <xf numFmtId="0" fontId="65" fillId="0" borderId="0" xfId="0" applyFont="1"/>
    <xf numFmtId="0" fontId="23" fillId="0" borderId="0" xfId="0" applyFont="1" applyAlignment="1">
      <alignment horizontal="left" vertical="top" wrapText="1"/>
    </xf>
    <xf numFmtId="0" fontId="52" fillId="29" borderId="0" xfId="0" applyFont="1" applyFill="1" applyAlignment="1">
      <alignment horizontal="center"/>
    </xf>
    <xf numFmtId="0" fontId="27" fillId="29" borderId="0" xfId="0" applyFont="1" applyFill="1" applyAlignment="1">
      <alignment horizontal="center"/>
    </xf>
    <xf numFmtId="0" fontId="6" fillId="29" borderId="0" xfId="0" applyFont="1" applyFill="1"/>
    <xf numFmtId="0" fontId="27" fillId="43" borderId="0" xfId="0" applyFont="1" applyFill="1" applyAlignment="1">
      <alignment horizontal="center" vertical="center"/>
    </xf>
    <xf numFmtId="0" fontId="7" fillId="0" borderId="0" xfId="0" applyFont="1" applyAlignment="1">
      <alignment horizontal="center" vertical="center"/>
    </xf>
    <xf numFmtId="0" fontId="18" fillId="44" borderId="85" xfId="0" applyFont="1" applyFill="1" applyBorder="1" applyAlignment="1">
      <alignment horizontal="center"/>
    </xf>
    <xf numFmtId="0" fontId="1" fillId="45" borderId="0" xfId="0" applyFont="1" applyFill="1" applyAlignment="1">
      <alignment horizontal="center"/>
    </xf>
    <xf numFmtId="0" fontId="1" fillId="46" borderId="0" xfId="0" applyFont="1" applyFill="1" applyAlignment="1">
      <alignment horizontal="center"/>
    </xf>
    <xf numFmtId="0" fontId="66" fillId="44" borderId="85" xfId="0" applyFont="1" applyFill="1" applyBorder="1" applyAlignment="1">
      <alignment horizontal="center"/>
    </xf>
    <xf numFmtId="0" fontId="1" fillId="0" borderId="0" xfId="0" applyFont="1" applyAlignment="1">
      <alignment horizontal="center"/>
    </xf>
    <xf numFmtId="0" fontId="3" fillId="3" borderId="13" xfId="0" applyFont="1" applyFill="1" applyBorder="1" applyAlignment="1">
      <alignment horizontal="center"/>
    </xf>
    <xf numFmtId="0" fontId="4" fillId="0" borderId="14" xfId="0" applyFont="1" applyBorder="1"/>
    <xf numFmtId="0" fontId="5" fillId="3" borderId="16" xfId="0" applyFont="1" applyFill="1" applyBorder="1" applyAlignment="1">
      <alignment horizontal="center"/>
    </xf>
    <xf numFmtId="0" fontId="4" fillId="0" borderId="16" xfId="0" applyFont="1" applyBorder="1"/>
    <xf numFmtId="0" fontId="3" fillId="3" borderId="8" xfId="0" applyFont="1" applyFill="1" applyBorder="1" applyAlignment="1">
      <alignment horizontal="center"/>
    </xf>
    <xf numFmtId="0" fontId="4" fillId="0" borderId="8" xfId="0" applyFont="1" applyBorder="1"/>
    <xf numFmtId="0" fontId="4" fillId="0" borderId="17" xfId="0" applyFont="1" applyBorder="1"/>
    <xf numFmtId="0" fontId="7" fillId="4" borderId="19" xfId="0" applyFont="1" applyFill="1" applyBorder="1" applyAlignment="1">
      <alignment horizontal="center"/>
    </xf>
    <xf numFmtId="0" fontId="4" fillId="0" borderId="19" xfId="0" applyFont="1" applyBorder="1"/>
    <xf numFmtId="0" fontId="4" fillId="0" borderId="2" xfId="0" applyFont="1" applyBorder="1"/>
    <xf numFmtId="2" fontId="8" fillId="5" borderId="8" xfId="0" applyNumberFormat="1" applyFont="1" applyFill="1" applyBorder="1" applyAlignment="1">
      <alignment horizontal="center"/>
    </xf>
    <xf numFmtId="0" fontId="10" fillId="6" borderId="12" xfId="0" applyFont="1" applyFill="1" applyBorder="1" applyAlignment="1">
      <alignment horizontal="center"/>
    </xf>
    <xf numFmtId="0" fontId="4" fillId="0" borderId="7" xfId="0" applyFont="1" applyBorder="1"/>
    <xf numFmtId="0" fontId="10" fillId="7" borderId="12" xfId="0" applyFont="1" applyFill="1" applyBorder="1" applyAlignment="1">
      <alignment horizontal="center"/>
    </xf>
    <xf numFmtId="2" fontId="12" fillId="3" borderId="16" xfId="0" applyNumberFormat="1" applyFont="1" applyFill="1" applyBorder="1" applyAlignment="1">
      <alignment horizontal="center"/>
    </xf>
    <xf numFmtId="0" fontId="3" fillId="3" borderId="0" xfId="0" applyFont="1" applyFill="1" applyAlignment="1">
      <alignment horizontal="center"/>
    </xf>
    <xf numFmtId="0" fontId="0" fillId="0" borderId="0" xfId="0"/>
    <xf numFmtId="0" fontId="4" fillId="0" borderId="31" xfId="0" applyFont="1" applyBorder="1"/>
    <xf numFmtId="0" fontId="9" fillId="3" borderId="13" xfId="0" applyFont="1" applyFill="1" applyBorder="1" applyAlignment="1">
      <alignment horizontal="center"/>
    </xf>
    <xf numFmtId="0" fontId="6" fillId="2" borderId="8" xfId="0" applyFont="1" applyFill="1" applyBorder="1"/>
    <xf numFmtId="0" fontId="6" fillId="2" borderId="16" xfId="0" applyFont="1" applyFill="1" applyBorder="1"/>
    <xf numFmtId="0" fontId="9" fillId="3" borderId="16" xfId="0" applyFont="1" applyFill="1" applyBorder="1" applyAlignment="1">
      <alignment horizontal="center"/>
    </xf>
    <xf numFmtId="0" fontId="13" fillId="0" borderId="8" xfId="0" applyFont="1" applyBorder="1"/>
    <xf numFmtId="0" fontId="13" fillId="0" borderId="16" xfId="0" applyFont="1" applyBorder="1"/>
    <xf numFmtId="0" fontId="16" fillId="9" borderId="0" xfId="0" applyFont="1" applyFill="1" applyAlignment="1">
      <alignment horizontal="center"/>
    </xf>
    <xf numFmtId="0" fontId="14" fillId="2" borderId="16" xfId="0" applyFont="1" applyFill="1" applyBorder="1" applyAlignment="1">
      <alignment horizontal="center"/>
    </xf>
    <xf numFmtId="0" fontId="15" fillId="0" borderId="8" xfId="0" applyFont="1" applyBorder="1"/>
    <xf numFmtId="0" fontId="14" fillId="3" borderId="16" xfId="0" applyFont="1" applyFill="1" applyBorder="1" applyAlignment="1">
      <alignment horizontal="center"/>
    </xf>
    <xf numFmtId="0" fontId="17" fillId="0" borderId="16" xfId="0" applyFont="1" applyBorder="1"/>
    <xf numFmtId="0" fontId="14" fillId="3" borderId="0" xfId="0" applyFont="1" applyFill="1" applyAlignment="1">
      <alignment horizontal="center"/>
    </xf>
    <xf numFmtId="0" fontId="14" fillId="3" borderId="8" xfId="0" applyFont="1" applyFill="1" applyBorder="1" applyAlignment="1">
      <alignment horizontal="center"/>
    </xf>
    <xf numFmtId="0" fontId="1" fillId="0" borderId="8" xfId="0" applyFont="1" applyBorder="1" applyAlignment="1">
      <alignment horizontal="center"/>
    </xf>
    <xf numFmtId="0" fontId="1" fillId="0" borderId="16" xfId="0" applyFont="1" applyBorder="1" applyAlignment="1">
      <alignment horizontal="center"/>
    </xf>
    <xf numFmtId="0" fontId="15" fillId="0" borderId="16" xfId="0" applyFont="1" applyBorder="1"/>
    <xf numFmtId="0" fontId="1" fillId="9" borderId="31" xfId="0" applyFont="1" applyFill="1" applyBorder="1" applyAlignment="1">
      <alignment vertical="center"/>
    </xf>
    <xf numFmtId="164" fontId="1" fillId="0" borderId="31" xfId="0" applyNumberFormat="1" applyFont="1" applyBorder="1" applyAlignment="1">
      <alignment horizontal="center" vertical="center"/>
    </xf>
    <xf numFmtId="164" fontId="1" fillId="8" borderId="31" xfId="0" applyNumberFormat="1" applyFont="1" applyFill="1" applyBorder="1" applyAlignment="1">
      <alignment horizontal="center" vertical="center"/>
    </xf>
    <xf numFmtId="0" fontId="1" fillId="14" borderId="27" xfId="0" applyFont="1" applyFill="1" applyBorder="1" applyAlignment="1">
      <alignment horizontal="center" vertical="center"/>
    </xf>
    <xf numFmtId="0" fontId="4" fillId="0" borderId="27" xfId="0" applyFont="1" applyBorder="1"/>
    <xf numFmtId="0" fontId="1" fillId="15" borderId="27" xfId="0" applyFont="1" applyFill="1" applyBorder="1" applyAlignment="1">
      <alignment vertical="center"/>
    </xf>
    <xf numFmtId="0" fontId="4" fillId="0" borderId="24" xfId="0" applyFont="1" applyBorder="1"/>
    <xf numFmtId="0" fontId="18" fillId="3" borderId="38" xfId="0" applyFont="1" applyFill="1" applyBorder="1" applyAlignment="1">
      <alignment horizontal="center" vertical="top"/>
    </xf>
    <xf numFmtId="0" fontId="4" fillId="0" borderId="39" xfId="0" applyFont="1" applyBorder="1"/>
    <xf numFmtId="0" fontId="4" fillId="0" borderId="13" xfId="0" applyFont="1" applyBorder="1"/>
    <xf numFmtId="0" fontId="18" fillId="3" borderId="39" xfId="0" applyFont="1" applyFill="1" applyBorder="1" applyAlignment="1">
      <alignment horizontal="center" vertical="center" textRotation="90"/>
    </xf>
    <xf numFmtId="0" fontId="18" fillId="11" borderId="42" xfId="0" applyFont="1" applyFill="1" applyBorder="1" applyAlignment="1">
      <alignment horizontal="center" vertical="center"/>
    </xf>
    <xf numFmtId="0" fontId="4" fillId="0" borderId="41" xfId="0" applyFont="1" applyBorder="1"/>
    <xf numFmtId="0" fontId="18" fillId="2" borderId="42" xfId="0" applyFont="1" applyFill="1" applyBorder="1" applyAlignment="1">
      <alignment horizontal="center" vertical="center"/>
    </xf>
    <xf numFmtId="0" fontId="18" fillId="10" borderId="16" xfId="0" applyFont="1" applyFill="1" applyBorder="1" applyAlignment="1">
      <alignment horizontal="center" vertical="center"/>
    </xf>
    <xf numFmtId="0" fontId="18" fillId="9" borderId="0" xfId="0" applyFont="1" applyFill="1" applyAlignment="1">
      <alignment horizontal="center" vertical="center"/>
    </xf>
    <xf numFmtId="0" fontId="18" fillId="5" borderId="16" xfId="0" applyFont="1" applyFill="1" applyBorder="1" applyAlignment="1">
      <alignment horizontal="center" vertical="center"/>
    </xf>
    <xf numFmtId="0" fontId="1" fillId="16" borderId="27" xfId="0" applyFont="1" applyFill="1" applyBorder="1" applyAlignment="1">
      <alignment vertical="center"/>
    </xf>
    <xf numFmtId="0" fontId="1" fillId="3" borderId="31" xfId="0" applyFont="1" applyFill="1" applyBorder="1" applyAlignment="1">
      <alignment horizontal="center" vertical="center"/>
    </xf>
    <xf numFmtId="0" fontId="1" fillId="3" borderId="31" xfId="0" applyFont="1" applyFill="1" applyBorder="1" applyAlignment="1">
      <alignment vertical="center"/>
    </xf>
    <xf numFmtId="0" fontId="1" fillId="0" borderId="0" xfId="0" applyFont="1" applyAlignment="1">
      <alignment horizontal="center" vertical="center"/>
    </xf>
    <xf numFmtId="20" fontId="1" fillId="0" borderId="31" xfId="0" applyNumberFormat="1" applyFont="1" applyBorder="1" applyAlignment="1">
      <alignment horizontal="center" vertical="center"/>
    </xf>
    <xf numFmtId="164" fontId="1" fillId="19" borderId="31" xfId="0" applyNumberFormat="1" applyFont="1" applyFill="1" applyBorder="1" applyAlignment="1">
      <alignment horizontal="center" vertical="center"/>
    </xf>
    <xf numFmtId="0" fontId="22" fillId="4" borderId="0" xfId="0" applyFont="1" applyFill="1"/>
    <xf numFmtId="0" fontId="22" fillId="3" borderId="0" xfId="0" applyFont="1" applyFill="1"/>
    <xf numFmtId="0" fontId="23" fillId="20" borderId="46" xfId="0" applyFont="1" applyFill="1" applyBorder="1" applyAlignment="1">
      <alignment horizontal="center"/>
    </xf>
    <xf numFmtId="0" fontId="4" fillId="0" borderId="47" xfId="0" applyFont="1" applyBorder="1"/>
    <xf numFmtId="0" fontId="21" fillId="3" borderId="45" xfId="0" applyFont="1" applyFill="1" applyBorder="1" applyAlignment="1">
      <alignment horizontal="center" vertical="center"/>
    </xf>
    <xf numFmtId="0" fontId="4" fillId="0" borderId="42" xfId="0" applyFont="1" applyBorder="1"/>
    <xf numFmtId="0" fontId="18" fillId="24" borderId="66" xfId="0" applyFont="1" applyFill="1" applyBorder="1" applyAlignment="1">
      <alignment horizontal="center"/>
    </xf>
    <xf numFmtId="0" fontId="4" fillId="0" borderId="66" xfId="0" applyFont="1" applyBorder="1"/>
    <xf numFmtId="0" fontId="4" fillId="0" borderId="67" xfId="0" applyFont="1" applyBorder="1"/>
    <xf numFmtId="0" fontId="18" fillId="22" borderId="66" xfId="0" applyFont="1" applyFill="1" applyBorder="1" applyAlignment="1">
      <alignment horizontal="center"/>
    </xf>
    <xf numFmtId="0" fontId="21" fillId="3" borderId="38" xfId="0" applyFont="1" applyFill="1" applyBorder="1" applyAlignment="1">
      <alignment horizontal="center" vertical="center" wrapText="1"/>
    </xf>
    <xf numFmtId="0" fontId="4" fillId="0" borderId="62" xfId="0" applyFont="1" applyBorder="1"/>
    <xf numFmtId="0" fontId="18" fillId="3" borderId="63" xfId="0" applyFont="1" applyFill="1" applyBorder="1" applyAlignment="1">
      <alignment horizontal="center"/>
    </xf>
    <xf numFmtId="0" fontId="4" fillId="0" borderId="63" xfId="0" applyFont="1" applyBorder="1"/>
    <xf numFmtId="0" fontId="4" fillId="0" borderId="64" xfId="0" applyFont="1" applyBorder="1"/>
    <xf numFmtId="0" fontId="18" fillId="3" borderId="62" xfId="0" applyFont="1" applyFill="1" applyBorder="1" applyAlignment="1">
      <alignment horizontal="center"/>
    </xf>
    <xf numFmtId="0" fontId="18" fillId="23" borderId="66" xfId="0" applyFont="1" applyFill="1" applyBorder="1" applyAlignment="1">
      <alignment horizontal="center"/>
    </xf>
    <xf numFmtId="0" fontId="18" fillId="9" borderId="65" xfId="0" applyFont="1" applyFill="1" applyBorder="1" applyAlignment="1">
      <alignment horizontal="center" wrapText="1"/>
    </xf>
    <xf numFmtId="0" fontId="18" fillId="6" borderId="66" xfId="0" applyFont="1" applyFill="1" applyBorder="1" applyAlignment="1">
      <alignment horizontal="center"/>
    </xf>
    <xf numFmtId="0" fontId="4" fillId="0" borderId="69" xfId="0" applyFont="1" applyBorder="1"/>
    <xf numFmtId="0" fontId="18" fillId="20" borderId="66" xfId="0" applyFont="1" applyFill="1" applyBorder="1" applyAlignment="1">
      <alignment horizontal="center"/>
    </xf>
    <xf numFmtId="0" fontId="18" fillId="6" borderId="68" xfId="0" applyFont="1" applyFill="1" applyBorder="1" applyAlignment="1">
      <alignment horizontal="center"/>
    </xf>
    <xf numFmtId="0" fontId="4" fillId="0" borderId="77" xfId="0" applyFont="1" applyBorder="1"/>
    <xf numFmtId="0" fontId="28" fillId="4" borderId="81" xfId="0" applyFont="1" applyFill="1" applyBorder="1" applyAlignment="1">
      <alignment horizontal="center" vertical="center" textRotation="255"/>
    </xf>
    <xf numFmtId="0" fontId="4" fillId="0" borderId="23" xfId="0" applyFont="1" applyBorder="1"/>
    <xf numFmtId="0" fontId="4" fillId="0" borderId="44" xfId="0" applyFont="1" applyBorder="1"/>
    <xf numFmtId="0" fontId="37" fillId="3" borderId="96" xfId="0" applyFont="1" applyFill="1" applyBorder="1"/>
    <xf numFmtId="0" fontId="4" fillId="0" borderId="97" xfId="0" applyFont="1" applyBorder="1"/>
    <xf numFmtId="0" fontId="38" fillId="28" borderId="98" xfId="0" applyFont="1" applyFill="1" applyBorder="1" applyAlignment="1">
      <alignment vertical="top" wrapText="1"/>
    </xf>
    <xf numFmtId="0" fontId="4" fillId="0" borderId="65" xfId="0" applyFont="1" applyBorder="1"/>
    <xf numFmtId="0" fontId="4" fillId="0" borderId="25" xfId="0" applyFont="1" applyBorder="1"/>
    <xf numFmtId="0" fontId="4" fillId="0" borderId="91" xfId="0" applyFont="1" applyBorder="1"/>
    <xf numFmtId="0" fontId="6" fillId="28" borderId="25" xfId="0" applyFont="1" applyFill="1" applyBorder="1" applyAlignment="1">
      <alignment vertical="top" wrapText="1"/>
    </xf>
    <xf numFmtId="0" fontId="35" fillId="3" borderId="38" xfId="0" applyFont="1" applyFill="1" applyBorder="1" applyAlignment="1">
      <alignment horizontal="center"/>
    </xf>
    <xf numFmtId="0" fontId="36" fillId="28" borderId="25" xfId="0" applyFont="1" applyFill="1" applyBorder="1" applyAlignment="1">
      <alignment horizontal="center" vertical="center"/>
    </xf>
    <xf numFmtId="0" fontId="41" fillId="0" borderId="102" xfId="0" applyFont="1" applyBorder="1" applyAlignment="1">
      <alignment wrapText="1"/>
    </xf>
    <xf numFmtId="0" fontId="4" fillId="0" borderId="102" xfId="0" applyFont="1" applyBorder="1"/>
    <xf numFmtId="0" fontId="4" fillId="0" borderId="103" xfId="0" applyFont="1" applyBorder="1"/>
    <xf numFmtId="0" fontId="20" fillId="18" borderId="31" xfId="0" applyFont="1" applyFill="1" applyBorder="1" applyAlignment="1">
      <alignment vertical="top"/>
    </xf>
    <xf numFmtId="0" fontId="4" fillId="0" borderId="43" xfId="0" applyFont="1" applyBorder="1"/>
    <xf numFmtId="0" fontId="15" fillId="19" borderId="91" xfId="0" applyFont="1" applyFill="1" applyBorder="1" applyAlignment="1">
      <alignment horizontal="center"/>
    </xf>
    <xf numFmtId="0" fontId="42" fillId="9" borderId="0" xfId="0" applyFont="1" applyFill="1" applyAlignment="1">
      <alignment horizontal="center"/>
    </xf>
    <xf numFmtId="0" fontId="9" fillId="0" borderId="16" xfId="0" applyFont="1" applyBorder="1"/>
    <xf numFmtId="0" fontId="52" fillId="18" borderId="0" xfId="0" applyFont="1" applyFill="1" applyAlignment="1">
      <alignment horizontal="center"/>
    </xf>
    <xf numFmtId="0" fontId="27" fillId="9" borderId="13" xfId="0" applyFont="1" applyFill="1" applyBorder="1" applyAlignment="1">
      <alignment horizontal="center"/>
    </xf>
    <xf numFmtId="0" fontId="27" fillId="39" borderId="113" xfId="0" applyFont="1" applyFill="1" applyBorder="1" applyAlignment="1">
      <alignment horizontal="center" vertical="center" textRotation="90"/>
    </xf>
    <xf numFmtId="0" fontId="4" fillId="0" borderId="117" xfId="0" applyFont="1" applyBorder="1"/>
    <xf numFmtId="0" fontId="4" fillId="0" borderId="121" xfId="0" applyFont="1" applyBorder="1"/>
    <xf numFmtId="0" fontId="58" fillId="3" borderId="0" xfId="0" applyFont="1" applyFill="1" applyAlignment="1">
      <alignment horizontal="center" vertical="center"/>
    </xf>
    <xf numFmtId="0" fontId="28" fillId="33" borderId="38" xfId="0" applyFont="1" applyFill="1" applyBorder="1" applyAlignment="1">
      <alignment horizontal="center"/>
    </xf>
    <xf numFmtId="0" fontId="59" fillId="34" borderId="25" xfId="0" applyFont="1" applyFill="1" applyBorder="1" applyAlignment="1">
      <alignment horizontal="center"/>
    </xf>
    <xf numFmtId="0" fontId="59" fillId="35" borderId="25" xfId="0" applyFont="1" applyFill="1" applyBorder="1" applyAlignment="1">
      <alignment horizontal="center"/>
    </xf>
    <xf numFmtId="0" fontId="27" fillId="37" borderId="111" xfId="0" applyFont="1" applyFill="1" applyBorder="1" applyAlignment="1">
      <alignment horizontal="center" vertical="center" textRotation="90"/>
    </xf>
    <xf numFmtId="0" fontId="4" fillId="0" borderId="116" xfId="0" applyFont="1" applyBorder="1"/>
    <xf numFmtId="0" fontId="4" fillId="0" borderId="11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76200</xdr:rowOff>
    </xdr:from>
    <xdr:ext cx="1133475" cy="1047750"/>
    <xdr:pic>
      <xdr:nvPicPr>
        <xdr:cNvPr id="2" name="image1.png" title="Imagem">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prozis.com/nBW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tagram.com/reel/CrWG0H9A7KB/?igshid=YmMyMTA2M2Y="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prozis.com/pt/pt/prozis/36-x-h2o-infusion-9-g" TargetMode="External"/><Relationship Id="rId13" Type="http://schemas.openxmlformats.org/officeDocument/2006/relationships/hyperlink" Target="https://www.prozis.com/pt/pt/prozis/8-x-protein-brownie-original-80-g?label=TlVUMDAvMTc1MDYwMDYzMw%3D%3D" TargetMode="External"/><Relationship Id="rId18" Type="http://schemas.openxmlformats.org/officeDocument/2006/relationships/hyperlink" Target="https://www.prozis.com/pt/pt/prozis/9-x-billion-barra-proteica-de-amendoim-e-chocolate-branco-65-g" TargetMode="External"/><Relationship Id="rId26" Type="http://schemas.openxmlformats.org/officeDocument/2006/relationships/hyperlink" Target="https://www.prozis.com/pt/pt/prozis/4-x-wrap-proteico?label=TlVUMDAvMTY4MTUxMDYzMw%3D%3D" TargetMode="External"/><Relationship Id="rId39" Type="http://schemas.openxmlformats.org/officeDocument/2006/relationships/hyperlink" Target="https://www.prozis.com/pt/pt/prozis/fiber-mix-mistura-de-fibras?label=TlVUMDAvMTY4NzE5MDAwMA%3D%3D" TargetMode="External"/><Relationship Id="rId3" Type="http://schemas.openxmlformats.org/officeDocument/2006/relationships/hyperlink" Target="https://www.prozis.com/pt/pt/prozis/creatina-mono-hidratada-300-g" TargetMode="External"/><Relationship Id="rId21" Type="http://schemas.openxmlformats.org/officeDocument/2006/relationships/hyperlink" Target="https://www.prozis.com/pt/pt/prozis/12-x-zero-bar-40-g-baixo-teor-de-acucares" TargetMode="External"/><Relationship Id="rId34" Type="http://schemas.openxmlformats.org/officeDocument/2006/relationships/hyperlink" Target="https://www.prozis.com/pt/pt/alimentacao-saudavel/molhos-xaropes-e-compotas/molhos-zero" TargetMode="External"/><Relationship Id="rId42" Type="http://schemas.openxmlformats.org/officeDocument/2006/relationships/hyperlink" Target="https://www.prozis.com/pt/pt/prozis/100-proteina-de-arroz-900-g" TargetMode="External"/><Relationship Id="rId47" Type="http://schemas.openxmlformats.org/officeDocument/2006/relationships/hyperlink" Target="https://www.prozis.com/pt/pt/prozis/100-whey-prime-1000-g" TargetMode="External"/><Relationship Id="rId7" Type="http://schemas.openxmlformats.org/officeDocument/2006/relationships/hyperlink" Target="https://www.prozis.com/pt/pt/prozis/extrato-de-ashwagandha-450-mg-90-capsulas-vegetarianas" TargetMode="External"/><Relationship Id="rId12" Type="http://schemas.openxmlformats.org/officeDocument/2006/relationships/hyperlink" Target="https://www.prozis.com/pt/pt/prozis/12-x-zero-cookie-60-g" TargetMode="External"/><Relationship Id="rId17" Type="http://schemas.openxmlformats.org/officeDocument/2006/relationships/hyperlink" Target="https://www.prozis.com/pt/pt/prozis/9-x-billion-barra-proteica-de-amendoim-65-g" TargetMode="External"/><Relationship Id="rId25" Type="http://schemas.openxmlformats.org/officeDocument/2006/relationships/hyperlink" Target="https://www.prozis.com/pt/pt/prozis/6-x-high-protein-waffles-original-25-g?label=TlVUMDAvMTY2OTgzMDYzMw%3D%3D" TargetMode="External"/><Relationship Id="rId33" Type="http://schemas.openxmlformats.org/officeDocument/2006/relationships/hyperlink" Target="https://www.prozis.com/pt/pt/prozis/manteiga-de-amendoim-1000-g" TargetMode="External"/><Relationship Id="rId38" Type="http://schemas.openxmlformats.org/officeDocument/2006/relationships/hyperlink" Target="https://www.prozis.com/pt/pt/prozis/casca-de-psilio-1000-mg-60-capsulas-vegetarianas" TargetMode="External"/><Relationship Id="rId46" Type="http://schemas.openxmlformats.org/officeDocument/2006/relationships/hyperlink" Target="https://www.prozis.com/pt/pt/prozis/100-vegan-protein-900-g" TargetMode="External"/><Relationship Id="rId2" Type="http://schemas.openxmlformats.org/officeDocument/2006/relationships/hyperlink" Target="https://www.prozis.com/pt/pt/prozis/multi-prz-200-caps" TargetMode="External"/><Relationship Id="rId16" Type="http://schemas.openxmlformats.org/officeDocument/2006/relationships/hyperlink" Target="https://www.prozis.com/pt/pt/prozis/8-x-barlicious-barra-proteica-70-g" TargetMode="External"/><Relationship Id="rId20" Type="http://schemas.openxmlformats.org/officeDocument/2006/relationships/hyperlink" Target="https://www.prozis.com/pt/pt/prozis/12-x-diet-bar-35-g" TargetMode="External"/><Relationship Id="rId29" Type="http://schemas.openxmlformats.org/officeDocument/2006/relationships/hyperlink" Target="https://www.prozis.com/pt/pt/prozis/lean-bread-pao-multicereais-360-g?label=TlVUMDAvMTQwMTIyMDAwMA%3D%3D" TargetMode="External"/><Relationship Id="rId41" Type="http://schemas.openxmlformats.org/officeDocument/2006/relationships/hyperlink" Target="https://www.prozis.com/pt/pt/prozis/100-proteina-de-soja-900-g" TargetMode="External"/><Relationship Id="rId1" Type="http://schemas.openxmlformats.org/officeDocument/2006/relationships/hyperlink" Target="https://www.prozis.com/pt/pt/prozis/omega-3-epa-plus-90-softgels" TargetMode="External"/><Relationship Id="rId6" Type="http://schemas.openxmlformats.org/officeDocument/2006/relationships/hyperlink" Target="https://www.prozis.com/pt/pt/prozis/melatonina-180-capsulas" TargetMode="External"/><Relationship Id="rId11" Type="http://schemas.openxmlformats.org/officeDocument/2006/relationships/hyperlink" Target="https://www.prozis.com/pt/pt/prozis/12-x-protein-gourmet-bar-80-g" TargetMode="External"/><Relationship Id="rId24" Type="http://schemas.openxmlformats.org/officeDocument/2006/relationships/hyperlink" Target="https://www.prozis.com/pt/pt/prozis/6-x-high-protein-waffles-chocolate-30-g?label=TlVUMDAvMTY2OTg1MDAwMg%3D%3D" TargetMode="External"/><Relationship Id="rId32" Type="http://schemas.openxmlformats.org/officeDocument/2006/relationships/hyperlink" Target="https://www.prozis.com/pt/pt/prozis/100-clara-de-ovo-liquida-albumina-1000-g" TargetMode="External"/><Relationship Id="rId37" Type="http://schemas.openxmlformats.org/officeDocument/2006/relationships/hyperlink" Target="https://www.prozis.com/pt/pt/prozis/xtreme-mass-gainer-2722-g?label=TlVUMDAvMTMyNjYxMDAwNg%3D%3D" TargetMode="External"/><Relationship Id="rId40" Type="http://schemas.openxmlformats.org/officeDocument/2006/relationships/hyperlink" Target="https://www.prozis.com/pt/pt/prozis/100-whey-hydro-isolate-pro-2000-g" TargetMode="External"/><Relationship Id="rId45" Type="http://schemas.openxmlformats.org/officeDocument/2006/relationships/hyperlink" Target="https://www.prozis.com/pt/pt/prozis/100-real-whey-protein-1000-g?ot=GAPTSS&amp;campaignid=18580646313&amp;adgroupid=&amp;keyword=&amp;placement=&amp;utm_source=PRZGAPT&amp;gclid=CjwKCAjw44mlBhAQEiwAqP3eVp9ehjMX1RDTfhS0x2AXUw1sM-d91SYkmh5KY3t9zR1MmJ-q8v9OQhoCibgQAvD_BwE" TargetMode="External"/><Relationship Id="rId5" Type="http://schemas.openxmlformats.org/officeDocument/2006/relationships/hyperlink" Target="https://www.prozis.com/pt/pt/prozis/beta-alanina-300-g?label=TlVUMDAvMTM5MDk2MDE2Mg%3D%3D" TargetMode="External"/><Relationship Id="rId15" Type="http://schemas.openxmlformats.org/officeDocument/2006/relationships/hyperlink" Target="https://www.prozis.com/pt/pt/prozis/10-x-melty-60-g-barra-proteica-com-baixo-teor-de-acucares?label=TlVUMDAvMTQ5NjMzMDAxMA%3D%3D" TargetMode="External"/><Relationship Id="rId23" Type="http://schemas.openxmlformats.org/officeDocument/2006/relationships/hyperlink" Target="https://www.prozis.com/pt/pt/prozis/12-x-protein-snack-30-g?label=TlVUMDAvMTM4NzA4MDAxMA%3D%3D" TargetMode="External"/><Relationship Id="rId28" Type="http://schemas.openxmlformats.org/officeDocument/2006/relationships/hyperlink" Target="https://www.prozis.com/pt/pt/prozis/oatmeal-whey-aveia-e-proteina-whey-1000-g?label=TlVUMDAvMTM5NzQwMDA2NQ%3D%3D" TargetMode="External"/><Relationship Id="rId36" Type="http://schemas.openxmlformats.org/officeDocument/2006/relationships/hyperlink" Target="https://www.prozis.com/pt/pt/prozis/manteiga-de-amendoim-1000-g" TargetMode="External"/><Relationship Id="rId10" Type="http://schemas.openxmlformats.org/officeDocument/2006/relationships/hyperlink" Target="https://www.prozis.com/pt/pt/prozis/8-x-xtracore-80-g?label=TlVUMDAvMTUxODkwMDczNg%3D%3D" TargetMode="External"/><Relationship Id="rId19" Type="http://schemas.openxmlformats.org/officeDocument/2006/relationships/hyperlink" Target="https://www.prozis.com/pt/pt/prozis/12-x-zero-snack-35-g?label=TlVUMDAvMTQwMzMxMDAxMA%3D%3D" TargetMode="External"/><Relationship Id="rId31" Type="http://schemas.openxmlformats.org/officeDocument/2006/relationships/hyperlink" Target="https://www.prozis.com/pt/pt/alimentacao-saudavel/refeicoes" TargetMode="External"/><Relationship Id="rId44" Type="http://schemas.openxmlformats.org/officeDocument/2006/relationships/hyperlink" Target="https://www.prozis.com/pt/pt/prozis/clear-whey-isolate-manga-e-pessego-500-g" TargetMode="External"/><Relationship Id="rId4" Type="http://schemas.openxmlformats.org/officeDocument/2006/relationships/hyperlink" Target="https://www.prozis.com/pt/pt/prozis/cafeina-200-mg-90-capsulas" TargetMode="External"/><Relationship Id="rId9" Type="http://schemas.openxmlformats.org/officeDocument/2006/relationships/hyperlink" Target="https://www.prozis.com/pt/pt/prozis/cookinspray-oleo-antiaderente-em-spray-200-ml" TargetMode="External"/><Relationship Id="rId14" Type="http://schemas.openxmlformats.org/officeDocument/2006/relationships/hyperlink" Target="https://www.prozis.com/pt/pt/prozis/12-x-pow-protein-cookie-60-g" TargetMode="External"/><Relationship Id="rId22" Type="http://schemas.openxmlformats.org/officeDocument/2006/relationships/hyperlink" Target="https://www.prozis.com/pt/pt/prozis/12-x-protein-snack-35-g?label=TlVUMDAvMTIzMDgxMDAwNg%3D%3D" TargetMode="External"/><Relationship Id="rId27" Type="http://schemas.openxmlformats.org/officeDocument/2006/relationships/hyperlink" Target="https://www.prozis.com/pt/pt/prozis/pancake-protein-panquecas-de-aveia-com-proteina-400-g?label=TlVUMDAvMTQwMzUwMTQ5MQ%3D%3D" TargetMode="External"/><Relationship Id="rId30" Type="http://schemas.openxmlformats.org/officeDocument/2006/relationships/hyperlink" Target="https://www.prozis.com/pt/pt/prozis/aveia-instantanea-em-po-1250-g" TargetMode="External"/><Relationship Id="rId35" Type="http://schemas.openxmlformats.org/officeDocument/2006/relationships/hyperlink" Target="https://www.prozis.com/pt/pt/prozis/dextrose-2000-g" TargetMode="External"/><Relationship Id="rId43" Type="http://schemas.openxmlformats.org/officeDocument/2006/relationships/hyperlink" Target="https://www.prozis.com/pt/pt/prozis/100-pea-protein-900-g" TargetMode="External"/><Relationship Id="rId48" Type="http://schemas.openxmlformats.org/officeDocument/2006/relationships/hyperlink" Target="https://www.prozis.com/pt/pt/prozis/whey-protein-fusion-900-g"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youtu.be/Z6spwKEdb8A" TargetMode="External"/><Relationship Id="rId21" Type="http://schemas.openxmlformats.org/officeDocument/2006/relationships/hyperlink" Target="https://youtu.be/Gadiybic1jk" TargetMode="External"/><Relationship Id="rId42" Type="http://schemas.openxmlformats.org/officeDocument/2006/relationships/hyperlink" Target="https://youtu.be/qwNF1WDCfI4" TargetMode="External"/><Relationship Id="rId63" Type="http://schemas.openxmlformats.org/officeDocument/2006/relationships/hyperlink" Target="https://youtu.be/WyVuZ5uK8k8" TargetMode="External"/><Relationship Id="rId84" Type="http://schemas.openxmlformats.org/officeDocument/2006/relationships/hyperlink" Target="https://youtu.be/u4IpIy0VGjE" TargetMode="External"/><Relationship Id="rId138" Type="http://schemas.openxmlformats.org/officeDocument/2006/relationships/hyperlink" Target="https://youtu.be/j6n6092Yiyk" TargetMode="External"/><Relationship Id="rId159" Type="http://schemas.openxmlformats.org/officeDocument/2006/relationships/hyperlink" Target="https://youtu.be/2JnxTklcDvQ" TargetMode="External"/><Relationship Id="rId170" Type="http://schemas.openxmlformats.org/officeDocument/2006/relationships/hyperlink" Target="https://youtu.be/2ZrqzTvbxRE" TargetMode="External"/><Relationship Id="rId191" Type="http://schemas.openxmlformats.org/officeDocument/2006/relationships/hyperlink" Target="https://youtube.com/shorts/0CL9kjbImBY?feature=share" TargetMode="External"/><Relationship Id="rId205" Type="http://schemas.openxmlformats.org/officeDocument/2006/relationships/hyperlink" Target="https://youtu.be/DxY2sbMDtK0" TargetMode="External"/><Relationship Id="rId226" Type="http://schemas.openxmlformats.org/officeDocument/2006/relationships/hyperlink" Target="https://youtu.be/JB0PSsIDHTw" TargetMode="External"/><Relationship Id="rId107" Type="http://schemas.openxmlformats.org/officeDocument/2006/relationships/hyperlink" Target="https://youtu.be/6DdaG1KsE38" TargetMode="External"/><Relationship Id="rId11" Type="http://schemas.openxmlformats.org/officeDocument/2006/relationships/hyperlink" Target="https://youtu.be/pYMAEfw5HXA" TargetMode="External"/><Relationship Id="rId32" Type="http://schemas.openxmlformats.org/officeDocument/2006/relationships/hyperlink" Target="https://youtu.be/zoM5p9QCslY" TargetMode="External"/><Relationship Id="rId53" Type="http://schemas.openxmlformats.org/officeDocument/2006/relationships/hyperlink" Target="https://youtu.be/ykHSVgXU1Yg" TargetMode="External"/><Relationship Id="rId74" Type="http://schemas.openxmlformats.org/officeDocument/2006/relationships/hyperlink" Target="https://youtu.be/MOmHtKUKbvo" TargetMode="External"/><Relationship Id="rId128" Type="http://schemas.openxmlformats.org/officeDocument/2006/relationships/hyperlink" Target="https://youtube.com/shorts/EJan7nBcJzM?feature=share" TargetMode="External"/><Relationship Id="rId149" Type="http://schemas.openxmlformats.org/officeDocument/2006/relationships/hyperlink" Target="https://youtu.be/EVGFzPHpsyk" TargetMode="External"/><Relationship Id="rId5" Type="http://schemas.openxmlformats.org/officeDocument/2006/relationships/hyperlink" Target="https://youtube.com/shorts/pXQojCQjmZA?feature=share" TargetMode="External"/><Relationship Id="rId95" Type="http://schemas.openxmlformats.org/officeDocument/2006/relationships/hyperlink" Target="https://youtu.be/iDMXEv8L64Y" TargetMode="External"/><Relationship Id="rId160" Type="http://schemas.openxmlformats.org/officeDocument/2006/relationships/hyperlink" Target="https://youtu.be/r4WDya0RZxE" TargetMode="External"/><Relationship Id="rId181" Type="http://schemas.openxmlformats.org/officeDocument/2006/relationships/hyperlink" Target="https://youtu.be/e3ugqY_wxy8" TargetMode="External"/><Relationship Id="rId216" Type="http://schemas.openxmlformats.org/officeDocument/2006/relationships/hyperlink" Target="https://youtu.be/Rf89J8jpb-M" TargetMode="External"/><Relationship Id="rId22" Type="http://schemas.openxmlformats.org/officeDocument/2006/relationships/hyperlink" Target="https://youtube.com/shorts/uc1H5C-tpEU?feature=share" TargetMode="External"/><Relationship Id="rId43" Type="http://schemas.openxmlformats.org/officeDocument/2006/relationships/hyperlink" Target="https://youtu.be/xXh1dFX60cs" TargetMode="External"/><Relationship Id="rId64" Type="http://schemas.openxmlformats.org/officeDocument/2006/relationships/hyperlink" Target="https://youtu.be/aG3nDTjm16Y" TargetMode="External"/><Relationship Id="rId118" Type="http://schemas.openxmlformats.org/officeDocument/2006/relationships/hyperlink" Target="https://youtube.com/shorts/RB9SX4KkuEk?feature=share" TargetMode="External"/><Relationship Id="rId139" Type="http://schemas.openxmlformats.org/officeDocument/2006/relationships/hyperlink" Target="https://youtu.be/iC5v-1Y4OI4" TargetMode="External"/><Relationship Id="rId80" Type="http://schemas.openxmlformats.org/officeDocument/2006/relationships/hyperlink" Target="https://youtu.be/SH5ivwB_LhE" TargetMode="External"/><Relationship Id="rId85" Type="http://schemas.openxmlformats.org/officeDocument/2006/relationships/hyperlink" Target="https://youtu.be/u4IpIy0VGjE" TargetMode="External"/><Relationship Id="rId150" Type="http://schemas.openxmlformats.org/officeDocument/2006/relationships/hyperlink" Target="https://youtu.be/iVzxWUUvuW8" TargetMode="External"/><Relationship Id="rId155" Type="http://schemas.openxmlformats.org/officeDocument/2006/relationships/hyperlink" Target="https://youtu.be/LFb5ENgNIt4" TargetMode="External"/><Relationship Id="rId171" Type="http://schemas.openxmlformats.org/officeDocument/2006/relationships/hyperlink" Target="https://youtu.be/lJHNeSpM65c" TargetMode="External"/><Relationship Id="rId176" Type="http://schemas.openxmlformats.org/officeDocument/2006/relationships/hyperlink" Target="https://youtu.be/Zuy1CG434Tw" TargetMode="External"/><Relationship Id="rId192" Type="http://schemas.openxmlformats.org/officeDocument/2006/relationships/hyperlink" Target="https://youtu.be/5ex6XUWB0_k" TargetMode="External"/><Relationship Id="rId197" Type="http://schemas.openxmlformats.org/officeDocument/2006/relationships/hyperlink" Target="https://youtu.be/zLehuYDhAJU" TargetMode="External"/><Relationship Id="rId206" Type="http://schemas.openxmlformats.org/officeDocument/2006/relationships/hyperlink" Target="https://youtu.be/cVM4K_I4z18" TargetMode="External"/><Relationship Id="rId227" Type="http://schemas.openxmlformats.org/officeDocument/2006/relationships/hyperlink" Target="https://youtu.be/tUKjmSylLIg" TargetMode="External"/><Relationship Id="rId201" Type="http://schemas.openxmlformats.org/officeDocument/2006/relationships/hyperlink" Target="https://youtu.be/4q112HC_wzo" TargetMode="External"/><Relationship Id="rId222" Type="http://schemas.openxmlformats.org/officeDocument/2006/relationships/hyperlink" Target="https://youtu.be/fYpYYg7lT_Y" TargetMode="External"/><Relationship Id="rId12" Type="http://schemas.openxmlformats.org/officeDocument/2006/relationships/hyperlink" Target="https://youtu.be/8LFPPPaYISo" TargetMode="External"/><Relationship Id="rId17" Type="http://schemas.openxmlformats.org/officeDocument/2006/relationships/hyperlink" Target="https://youtube.com/shorts/H2V6HlpaEyE?feature=share" TargetMode="External"/><Relationship Id="rId33" Type="http://schemas.openxmlformats.org/officeDocument/2006/relationships/hyperlink" Target="https://youtu.be/F8kzp7ldavg" TargetMode="External"/><Relationship Id="rId38" Type="http://schemas.openxmlformats.org/officeDocument/2006/relationships/hyperlink" Target="https://youtu.be/cbrbksVsuQ4" TargetMode="External"/><Relationship Id="rId59" Type="http://schemas.openxmlformats.org/officeDocument/2006/relationships/hyperlink" Target="https://youtu.be/pss0QOfpSao" TargetMode="External"/><Relationship Id="rId103" Type="http://schemas.openxmlformats.org/officeDocument/2006/relationships/hyperlink" Target="https://youtu.be/529K0ZjxJzQ" TargetMode="External"/><Relationship Id="rId108" Type="http://schemas.openxmlformats.org/officeDocument/2006/relationships/hyperlink" Target="https://youtube.com/shorts/L-AqifK0ocE?feature=share" TargetMode="External"/><Relationship Id="rId124" Type="http://schemas.openxmlformats.org/officeDocument/2006/relationships/hyperlink" Target="https://youtu.be/lMsFTJ7TZm4" TargetMode="External"/><Relationship Id="rId129" Type="http://schemas.openxmlformats.org/officeDocument/2006/relationships/hyperlink" Target="https://youtube.com/shorts/pcygr8dUaTQ?feature=share" TargetMode="External"/><Relationship Id="rId54" Type="http://schemas.openxmlformats.org/officeDocument/2006/relationships/hyperlink" Target="https://youtu.be/x99pS7PgAAQ" TargetMode="External"/><Relationship Id="rId70" Type="http://schemas.openxmlformats.org/officeDocument/2006/relationships/hyperlink" Target="https://youtu.be/oHjivORRk1Y" TargetMode="External"/><Relationship Id="rId75" Type="http://schemas.openxmlformats.org/officeDocument/2006/relationships/hyperlink" Target="https://youtu.be/x8hljkfvgo4" TargetMode="External"/><Relationship Id="rId91" Type="http://schemas.openxmlformats.org/officeDocument/2006/relationships/hyperlink" Target="https://youtu.be/eKXpjMUG2H8" TargetMode="External"/><Relationship Id="rId96" Type="http://schemas.openxmlformats.org/officeDocument/2006/relationships/hyperlink" Target="https://youtube.com/shorts/MNHZ7VYL3Ys?feature=share" TargetMode="External"/><Relationship Id="rId140" Type="http://schemas.openxmlformats.org/officeDocument/2006/relationships/hyperlink" Target="https://youtube.com/shorts/wvBMFyzDcy0?feature=share" TargetMode="External"/><Relationship Id="rId145" Type="http://schemas.openxmlformats.org/officeDocument/2006/relationships/hyperlink" Target="https://youtu.be/1RlJ1jFM4Gw" TargetMode="External"/><Relationship Id="rId161" Type="http://schemas.openxmlformats.org/officeDocument/2006/relationships/hyperlink" Target="https://youtu.be/cndZI8LA7VI" TargetMode="External"/><Relationship Id="rId166" Type="http://schemas.openxmlformats.org/officeDocument/2006/relationships/hyperlink" Target="https://youtu.be/VLtfSGUsVio" TargetMode="External"/><Relationship Id="rId182" Type="http://schemas.openxmlformats.org/officeDocument/2006/relationships/hyperlink" Target="https://youtu.be/ZFBG6Lrfl50" TargetMode="External"/><Relationship Id="rId187" Type="http://schemas.openxmlformats.org/officeDocument/2006/relationships/hyperlink" Target="https://youtu.be/d9Ay9FN0-0k" TargetMode="External"/><Relationship Id="rId217" Type="http://schemas.openxmlformats.org/officeDocument/2006/relationships/hyperlink" Target="https://youtu.be/kJZiWK7bQzo" TargetMode="External"/><Relationship Id="rId1" Type="http://schemas.openxmlformats.org/officeDocument/2006/relationships/hyperlink" Target="https://youtu.be/WcUsU8gNmGI" TargetMode="External"/><Relationship Id="rId6" Type="http://schemas.openxmlformats.org/officeDocument/2006/relationships/hyperlink" Target="https://youtu.be/n1RomOv6TWw" TargetMode="External"/><Relationship Id="rId212" Type="http://schemas.openxmlformats.org/officeDocument/2006/relationships/hyperlink" Target="https://youtu.be/aEAm7bUhWYI" TargetMode="External"/><Relationship Id="rId233" Type="http://schemas.openxmlformats.org/officeDocument/2006/relationships/hyperlink" Target="https://youtu.be/iMdpJQ6aUgM" TargetMode="External"/><Relationship Id="rId23" Type="http://schemas.openxmlformats.org/officeDocument/2006/relationships/hyperlink" Target="https://youtu.be/WvehBL6yQnE" TargetMode="External"/><Relationship Id="rId28" Type="http://schemas.openxmlformats.org/officeDocument/2006/relationships/hyperlink" Target="https://youtu.be/ZUt7vr8tZb0" TargetMode="External"/><Relationship Id="rId49" Type="http://schemas.openxmlformats.org/officeDocument/2006/relationships/hyperlink" Target="https://youtu.be/GUS7wdRfRNk" TargetMode="External"/><Relationship Id="rId114" Type="http://schemas.openxmlformats.org/officeDocument/2006/relationships/hyperlink" Target="https://youtube.com/shorts/_zDJioacERU?feature=share" TargetMode="External"/><Relationship Id="rId119" Type="http://schemas.openxmlformats.org/officeDocument/2006/relationships/hyperlink" Target="https://youtu.be/zVgZgk2EbW4" TargetMode="External"/><Relationship Id="rId44" Type="http://schemas.openxmlformats.org/officeDocument/2006/relationships/hyperlink" Target="https://youtu.be/CoUt2wXKquA" TargetMode="External"/><Relationship Id="rId60" Type="http://schemas.openxmlformats.org/officeDocument/2006/relationships/hyperlink" Target="https://youtu.be/ktdUTtnfhWI" TargetMode="External"/><Relationship Id="rId65" Type="http://schemas.openxmlformats.org/officeDocument/2006/relationships/hyperlink" Target="https://youtu.be/MKfzpZ4Q0uU" TargetMode="External"/><Relationship Id="rId81" Type="http://schemas.openxmlformats.org/officeDocument/2006/relationships/hyperlink" Target="https://youtu.be/SYPJv6TPACY" TargetMode="External"/><Relationship Id="rId86" Type="http://schemas.openxmlformats.org/officeDocument/2006/relationships/hyperlink" Target="https://youtu.be/-b2FHDcuefw" TargetMode="External"/><Relationship Id="rId130" Type="http://schemas.openxmlformats.org/officeDocument/2006/relationships/hyperlink" Target="https://youtu.be/7wvD5fsY8CQ" TargetMode="External"/><Relationship Id="rId135" Type="http://schemas.openxmlformats.org/officeDocument/2006/relationships/hyperlink" Target="https://youtube.com/shorts/PmqFtRqgN1k?feature=share" TargetMode="External"/><Relationship Id="rId151" Type="http://schemas.openxmlformats.org/officeDocument/2006/relationships/hyperlink" Target="https://youtu.be/S7mRgBc8sdQ" TargetMode="External"/><Relationship Id="rId156" Type="http://schemas.openxmlformats.org/officeDocument/2006/relationships/hyperlink" Target="https://youtu.be/iq2FQHFlNjs" TargetMode="External"/><Relationship Id="rId177" Type="http://schemas.openxmlformats.org/officeDocument/2006/relationships/hyperlink" Target="https://youtu.be/VwvFea-fIs8" TargetMode="External"/><Relationship Id="rId198" Type="http://schemas.openxmlformats.org/officeDocument/2006/relationships/hyperlink" Target="https://youtu.be/oTgcomRRaWw" TargetMode="External"/><Relationship Id="rId172" Type="http://schemas.openxmlformats.org/officeDocument/2006/relationships/hyperlink" Target="https://youtu.be/xW3CK4j1TjE" TargetMode="External"/><Relationship Id="rId193" Type="http://schemas.openxmlformats.org/officeDocument/2006/relationships/hyperlink" Target="https://youtu.be/GslrzAkiYII" TargetMode="External"/><Relationship Id="rId202" Type="http://schemas.openxmlformats.org/officeDocument/2006/relationships/hyperlink" Target="https://youtu.be/9EFf0IW-Fpo" TargetMode="External"/><Relationship Id="rId207" Type="http://schemas.openxmlformats.org/officeDocument/2006/relationships/hyperlink" Target="https://youtu.be/5XOLZLFhzw0" TargetMode="External"/><Relationship Id="rId223" Type="http://schemas.openxmlformats.org/officeDocument/2006/relationships/hyperlink" Target="https://youtu.be/pOVTprvuTOE" TargetMode="External"/><Relationship Id="rId228" Type="http://schemas.openxmlformats.org/officeDocument/2006/relationships/hyperlink" Target="https://youtu.be/BNPYAPsfXe4" TargetMode="External"/><Relationship Id="rId13" Type="http://schemas.openxmlformats.org/officeDocument/2006/relationships/hyperlink" Target="https://youtu.be/qo92P0K2jb0" TargetMode="External"/><Relationship Id="rId18" Type="http://schemas.openxmlformats.org/officeDocument/2006/relationships/hyperlink" Target="https://youtu.be/lIJXCLxzZvI" TargetMode="External"/><Relationship Id="rId39" Type="http://schemas.openxmlformats.org/officeDocument/2006/relationships/hyperlink" Target="https://youtu.be/oEjRAgKCUwc" TargetMode="External"/><Relationship Id="rId109" Type="http://schemas.openxmlformats.org/officeDocument/2006/relationships/hyperlink" Target="https://youtu.be/nC7ByT4l2Rs" TargetMode="External"/><Relationship Id="rId34" Type="http://schemas.openxmlformats.org/officeDocument/2006/relationships/hyperlink" Target="https://youtube.com/shorts/KgvssqlufQM?feature=share" TargetMode="External"/><Relationship Id="rId50" Type="http://schemas.openxmlformats.org/officeDocument/2006/relationships/hyperlink" Target="https://youtu.be/VOgtP6qh9Ws" TargetMode="External"/><Relationship Id="rId55" Type="http://schemas.openxmlformats.org/officeDocument/2006/relationships/hyperlink" Target="https://youtu.be/RiHWKt7uK0U" TargetMode="External"/><Relationship Id="rId76" Type="http://schemas.openxmlformats.org/officeDocument/2006/relationships/hyperlink" Target="https://youtube.com/shorts/sNTHP1a9byE?feature=share" TargetMode="External"/><Relationship Id="rId97" Type="http://schemas.openxmlformats.org/officeDocument/2006/relationships/hyperlink" Target="https://youtu.be/q26jPaocakg" TargetMode="External"/><Relationship Id="rId104" Type="http://schemas.openxmlformats.org/officeDocument/2006/relationships/hyperlink" Target="https://youtu.be/Z4mFZYLwsQQ" TargetMode="External"/><Relationship Id="rId120" Type="http://schemas.openxmlformats.org/officeDocument/2006/relationships/hyperlink" Target="https://youtu.be/vzGd1kmixjc" TargetMode="External"/><Relationship Id="rId125" Type="http://schemas.openxmlformats.org/officeDocument/2006/relationships/hyperlink" Target="https://youtu.be/qVt5DoIWoU8" TargetMode="External"/><Relationship Id="rId141" Type="http://schemas.openxmlformats.org/officeDocument/2006/relationships/hyperlink" Target="https://youtube.com/shorts/xEkDcXxKQJI?feature=share" TargetMode="External"/><Relationship Id="rId146" Type="http://schemas.openxmlformats.org/officeDocument/2006/relationships/hyperlink" Target="https://youtu.be/esBpHmiwUcw" TargetMode="External"/><Relationship Id="rId167" Type="http://schemas.openxmlformats.org/officeDocument/2006/relationships/hyperlink" Target="https://youtu.be/Vd-dZ4CScKU" TargetMode="External"/><Relationship Id="rId188" Type="http://schemas.openxmlformats.org/officeDocument/2006/relationships/hyperlink" Target="https://youtu.be/Hprh6T-d2KM" TargetMode="External"/><Relationship Id="rId7" Type="http://schemas.openxmlformats.org/officeDocument/2006/relationships/hyperlink" Target="https://youtu.be/Kzkeb3Ce_pk" TargetMode="External"/><Relationship Id="rId71" Type="http://schemas.openxmlformats.org/officeDocument/2006/relationships/hyperlink" Target="https://youtu.be/teGAg19KWw0" TargetMode="External"/><Relationship Id="rId92" Type="http://schemas.openxmlformats.org/officeDocument/2006/relationships/hyperlink" Target="https://youtube.com/shorts/bab2a6zkwqI?feature=share" TargetMode="External"/><Relationship Id="rId162" Type="http://schemas.openxmlformats.org/officeDocument/2006/relationships/hyperlink" Target="https://youtu.be/zO7I1e7FZAE" TargetMode="External"/><Relationship Id="rId183" Type="http://schemas.openxmlformats.org/officeDocument/2006/relationships/hyperlink" Target="https://youtu.be/6BqneAOg_VI" TargetMode="External"/><Relationship Id="rId213" Type="http://schemas.openxmlformats.org/officeDocument/2006/relationships/hyperlink" Target="https://youtu.be/l4XbbB0Kgto" TargetMode="External"/><Relationship Id="rId218" Type="http://schemas.openxmlformats.org/officeDocument/2006/relationships/hyperlink" Target="https://youtu.be/BhJm3bsy3AQ" TargetMode="External"/><Relationship Id="rId234" Type="http://schemas.openxmlformats.org/officeDocument/2006/relationships/hyperlink" Target="https://youtu.be/rhD38IyqgtM" TargetMode="External"/><Relationship Id="rId2" Type="http://schemas.openxmlformats.org/officeDocument/2006/relationships/hyperlink" Target="https://youtu.be/tPIZtS0j1Hg" TargetMode="External"/><Relationship Id="rId29" Type="http://schemas.openxmlformats.org/officeDocument/2006/relationships/hyperlink" Target="https://youtu.be/-tH0kO5CgWk" TargetMode="External"/><Relationship Id="rId24" Type="http://schemas.openxmlformats.org/officeDocument/2006/relationships/hyperlink" Target="https://youtu.be/gEfc9YVoySs" TargetMode="External"/><Relationship Id="rId40" Type="http://schemas.openxmlformats.org/officeDocument/2006/relationships/hyperlink" Target="https://youtu.be/EwfwfhTPhe0" TargetMode="External"/><Relationship Id="rId45" Type="http://schemas.openxmlformats.org/officeDocument/2006/relationships/hyperlink" Target="https://youtu.be/1Hj4DtaPADE" TargetMode="External"/><Relationship Id="rId66" Type="http://schemas.openxmlformats.org/officeDocument/2006/relationships/hyperlink" Target="https://youtu.be/4yYz0NCWFRk" TargetMode="External"/><Relationship Id="rId87" Type="http://schemas.openxmlformats.org/officeDocument/2006/relationships/hyperlink" Target="https://youtu.be/sN5b_esSVj4" TargetMode="External"/><Relationship Id="rId110" Type="http://schemas.openxmlformats.org/officeDocument/2006/relationships/hyperlink" Target="https://youtu.be/NI7YGthe4EA" TargetMode="External"/><Relationship Id="rId115" Type="http://schemas.openxmlformats.org/officeDocument/2006/relationships/hyperlink" Target="https://youtu.be/YA2VDHL7eZc" TargetMode="External"/><Relationship Id="rId131" Type="http://schemas.openxmlformats.org/officeDocument/2006/relationships/hyperlink" Target="https://youtu.be/vJ89YIbLnto" TargetMode="External"/><Relationship Id="rId136" Type="http://schemas.openxmlformats.org/officeDocument/2006/relationships/hyperlink" Target="https://youtu.be/15u0hrQHL14" TargetMode="External"/><Relationship Id="rId157" Type="http://schemas.openxmlformats.org/officeDocument/2006/relationships/hyperlink" Target="https://youtu.be/GWGo_w4b7fU" TargetMode="External"/><Relationship Id="rId178" Type="http://schemas.openxmlformats.org/officeDocument/2006/relationships/hyperlink" Target="https://youtu.be/Krm1v3RP4Iw" TargetMode="External"/><Relationship Id="rId61" Type="http://schemas.openxmlformats.org/officeDocument/2006/relationships/hyperlink" Target="https://youtu.be/I2CQeB4LrAw" TargetMode="External"/><Relationship Id="rId82" Type="http://schemas.openxmlformats.org/officeDocument/2006/relationships/hyperlink" Target="https://youtu.be/6ZwbBza7x54" TargetMode="External"/><Relationship Id="rId152" Type="http://schemas.openxmlformats.org/officeDocument/2006/relationships/hyperlink" Target="https://youtu.be/Ryus82ZHEEU" TargetMode="External"/><Relationship Id="rId173" Type="http://schemas.openxmlformats.org/officeDocument/2006/relationships/hyperlink" Target="https://youtu.be/utbGNed_V68" TargetMode="External"/><Relationship Id="rId194" Type="http://schemas.openxmlformats.org/officeDocument/2006/relationships/hyperlink" Target="https://youtu.be/wEr6WQaxczU" TargetMode="External"/><Relationship Id="rId199" Type="http://schemas.openxmlformats.org/officeDocument/2006/relationships/hyperlink" Target="https://youtu.be/iN0OFn6E11I" TargetMode="External"/><Relationship Id="rId203" Type="http://schemas.openxmlformats.org/officeDocument/2006/relationships/hyperlink" Target="https://youtu.be/bH1yhptIOzc" TargetMode="External"/><Relationship Id="rId208" Type="http://schemas.openxmlformats.org/officeDocument/2006/relationships/hyperlink" Target="https://youtu.be/BCIU_SIsviM" TargetMode="External"/><Relationship Id="rId229" Type="http://schemas.openxmlformats.org/officeDocument/2006/relationships/hyperlink" Target="https://youtu.be/eoPHHS0REjc" TargetMode="External"/><Relationship Id="rId19" Type="http://schemas.openxmlformats.org/officeDocument/2006/relationships/hyperlink" Target="https://youtu.be/381QNvqq_5s" TargetMode="External"/><Relationship Id="rId224" Type="http://schemas.openxmlformats.org/officeDocument/2006/relationships/hyperlink" Target="https://youtu.be/YGoZy8Y5yms" TargetMode="External"/><Relationship Id="rId14" Type="http://schemas.openxmlformats.org/officeDocument/2006/relationships/hyperlink" Target="https://youtu.be/g93I74fnOpk" TargetMode="External"/><Relationship Id="rId30" Type="http://schemas.openxmlformats.org/officeDocument/2006/relationships/hyperlink" Target="https://youtu.be/EvaEXreIYEU" TargetMode="External"/><Relationship Id="rId35" Type="http://schemas.openxmlformats.org/officeDocument/2006/relationships/hyperlink" Target="https://youtu.be/fPXRvw6LmJI" TargetMode="External"/><Relationship Id="rId56" Type="http://schemas.openxmlformats.org/officeDocument/2006/relationships/hyperlink" Target="https://youtu.be/iu2vnAvS8SA" TargetMode="External"/><Relationship Id="rId77" Type="http://schemas.openxmlformats.org/officeDocument/2006/relationships/hyperlink" Target="https://youtu.be/9hZT-XcdPqc" TargetMode="External"/><Relationship Id="rId100" Type="http://schemas.openxmlformats.org/officeDocument/2006/relationships/hyperlink" Target="https://youtu.be/p3982igeDE8" TargetMode="External"/><Relationship Id="rId105" Type="http://schemas.openxmlformats.org/officeDocument/2006/relationships/hyperlink" Target="https://youtu.be/-6OIaQYvbjw" TargetMode="External"/><Relationship Id="rId126" Type="http://schemas.openxmlformats.org/officeDocument/2006/relationships/hyperlink" Target="https://youtube.com/shorts/Fim3vhgdRFk?feature=share" TargetMode="External"/><Relationship Id="rId147" Type="http://schemas.openxmlformats.org/officeDocument/2006/relationships/hyperlink" Target="https://youtu.be/VCixxR3wfoM" TargetMode="External"/><Relationship Id="rId168" Type="http://schemas.openxmlformats.org/officeDocument/2006/relationships/hyperlink" Target="https://youtube.com/shorts/bhuf9kWbVtM?feature=share" TargetMode="External"/><Relationship Id="rId8" Type="http://schemas.openxmlformats.org/officeDocument/2006/relationships/hyperlink" Target="https://youtu.be/orDUcRQnH3k" TargetMode="External"/><Relationship Id="rId51" Type="http://schemas.openxmlformats.org/officeDocument/2006/relationships/hyperlink" Target="https://youtube.com/shorts/Pt6-1kTAfE0?feature=share" TargetMode="External"/><Relationship Id="rId72" Type="http://schemas.openxmlformats.org/officeDocument/2006/relationships/hyperlink" Target="https://www.youtube.com/shorts/GHar7RpOJrg" TargetMode="External"/><Relationship Id="rId93" Type="http://schemas.openxmlformats.org/officeDocument/2006/relationships/hyperlink" Target="https://youtu.be/zzQHXTpceAo" TargetMode="External"/><Relationship Id="rId98" Type="http://schemas.openxmlformats.org/officeDocument/2006/relationships/hyperlink" Target="https://youtu.be/WGsEzHD65HQ" TargetMode="External"/><Relationship Id="rId121" Type="http://schemas.openxmlformats.org/officeDocument/2006/relationships/hyperlink" Target="https://youtu.be/Gc4VxWFUXgo" TargetMode="External"/><Relationship Id="rId142" Type="http://schemas.openxmlformats.org/officeDocument/2006/relationships/hyperlink" Target="https://youtu.be/DqX1dRstKwk" TargetMode="External"/><Relationship Id="rId163" Type="http://schemas.openxmlformats.org/officeDocument/2006/relationships/hyperlink" Target="https://youtu.be/QNcMV949pn0" TargetMode="External"/><Relationship Id="rId184" Type="http://schemas.openxmlformats.org/officeDocument/2006/relationships/hyperlink" Target="https://youtu.be/NHZrRCz48cQ" TargetMode="External"/><Relationship Id="rId189" Type="http://schemas.openxmlformats.org/officeDocument/2006/relationships/hyperlink" Target="https://youtu.be/G8KYVpkCkOA" TargetMode="External"/><Relationship Id="rId219" Type="http://schemas.openxmlformats.org/officeDocument/2006/relationships/hyperlink" Target="https://youtu.be/Ks0By-PzviA" TargetMode="External"/><Relationship Id="rId3" Type="http://schemas.openxmlformats.org/officeDocument/2006/relationships/hyperlink" Target="https://youtu.be/9JbUuix8X4o" TargetMode="External"/><Relationship Id="rId214" Type="http://schemas.openxmlformats.org/officeDocument/2006/relationships/hyperlink" Target="https://youtu.be/3MlH7m1lWYo" TargetMode="External"/><Relationship Id="rId230" Type="http://schemas.openxmlformats.org/officeDocument/2006/relationships/hyperlink" Target="https://youtu.be/4rdQ7N-u9Sc" TargetMode="External"/><Relationship Id="rId235" Type="http://schemas.openxmlformats.org/officeDocument/2006/relationships/hyperlink" Target="https://youtu.be/TTU6gfgIohU" TargetMode="External"/><Relationship Id="rId25" Type="http://schemas.openxmlformats.org/officeDocument/2006/relationships/hyperlink" Target="https://youtu.be/dY6KGH9LsbI" TargetMode="External"/><Relationship Id="rId46" Type="http://schemas.openxmlformats.org/officeDocument/2006/relationships/hyperlink" Target="https://youtu.be/QwWFTQPGHSY" TargetMode="External"/><Relationship Id="rId67" Type="http://schemas.openxmlformats.org/officeDocument/2006/relationships/hyperlink" Target="https://youtu.be/Ft7E49Tw3UQ" TargetMode="External"/><Relationship Id="rId116" Type="http://schemas.openxmlformats.org/officeDocument/2006/relationships/hyperlink" Target="https://youtu.be/RH8ycVbvRE0" TargetMode="External"/><Relationship Id="rId137" Type="http://schemas.openxmlformats.org/officeDocument/2006/relationships/hyperlink" Target="https://youtu.be/qYiF0ZaEL94" TargetMode="External"/><Relationship Id="rId158" Type="http://schemas.openxmlformats.org/officeDocument/2006/relationships/hyperlink" Target="https://youtu.be/UqW1_7atqtg" TargetMode="External"/><Relationship Id="rId20" Type="http://schemas.openxmlformats.org/officeDocument/2006/relationships/hyperlink" Target="https://youtu.be/x6IKM5FNbzQ" TargetMode="External"/><Relationship Id="rId41" Type="http://schemas.openxmlformats.org/officeDocument/2006/relationships/hyperlink" Target="https://youtube.com/shorts/jQIwRsyq3Yc?feature=share" TargetMode="External"/><Relationship Id="rId62" Type="http://schemas.openxmlformats.org/officeDocument/2006/relationships/hyperlink" Target="https://youtu.be/b5Aqknu-1Ng" TargetMode="External"/><Relationship Id="rId83" Type="http://schemas.openxmlformats.org/officeDocument/2006/relationships/hyperlink" Target="https://youtu.be/Lk9DA7MxiwY" TargetMode="External"/><Relationship Id="rId88" Type="http://schemas.openxmlformats.org/officeDocument/2006/relationships/hyperlink" Target="https://youtu.be/wzmCYDapfm8" TargetMode="External"/><Relationship Id="rId111" Type="http://schemas.openxmlformats.org/officeDocument/2006/relationships/hyperlink" Target="https://youtu.be/LZGgiRGTPcQ" TargetMode="External"/><Relationship Id="rId132" Type="http://schemas.openxmlformats.org/officeDocument/2006/relationships/hyperlink" Target="https://youtu.be/V24CoFGIKvc" TargetMode="External"/><Relationship Id="rId153" Type="http://schemas.openxmlformats.org/officeDocument/2006/relationships/hyperlink" Target="https://youtu.be/X7nnAmvmf6Y" TargetMode="External"/><Relationship Id="rId174" Type="http://schemas.openxmlformats.org/officeDocument/2006/relationships/hyperlink" Target="https://youtu.be/6PG79Ezhfzo" TargetMode="External"/><Relationship Id="rId179" Type="http://schemas.openxmlformats.org/officeDocument/2006/relationships/hyperlink" Target="https://youtu.be/B5MFTNbu_cs" TargetMode="External"/><Relationship Id="rId195" Type="http://schemas.openxmlformats.org/officeDocument/2006/relationships/hyperlink" Target="https://youtu.be/Xzv5or9mINw" TargetMode="External"/><Relationship Id="rId209" Type="http://schemas.openxmlformats.org/officeDocument/2006/relationships/hyperlink" Target="https://youtu.be/OFiwrn4IUD8" TargetMode="External"/><Relationship Id="rId190" Type="http://schemas.openxmlformats.org/officeDocument/2006/relationships/hyperlink" Target="https://youtu.be/NCX6IShzOwo" TargetMode="External"/><Relationship Id="rId204" Type="http://schemas.openxmlformats.org/officeDocument/2006/relationships/hyperlink" Target="https://youtu.be/XsmOTlaKUTA" TargetMode="External"/><Relationship Id="rId220" Type="http://schemas.openxmlformats.org/officeDocument/2006/relationships/hyperlink" Target="https://youtu.be/5N8_sEkk6zU" TargetMode="External"/><Relationship Id="rId225" Type="http://schemas.openxmlformats.org/officeDocument/2006/relationships/hyperlink" Target="https://youtu.be/pRkHcAxP1wQ" TargetMode="External"/><Relationship Id="rId15" Type="http://schemas.openxmlformats.org/officeDocument/2006/relationships/hyperlink" Target="https://youtu.be/NgrgYoDFPoc" TargetMode="External"/><Relationship Id="rId36" Type="http://schemas.openxmlformats.org/officeDocument/2006/relationships/hyperlink" Target="https://youtube.com/shorts/wo1rfNoCgTQ?feature=share" TargetMode="External"/><Relationship Id="rId57" Type="http://schemas.openxmlformats.org/officeDocument/2006/relationships/hyperlink" Target="https://youtube.com/shorts/6Os0Lm8OWAM?feature=share" TargetMode="External"/><Relationship Id="rId106" Type="http://schemas.openxmlformats.org/officeDocument/2006/relationships/hyperlink" Target="https://youtu.be/BSLiPKdHWsU" TargetMode="External"/><Relationship Id="rId127" Type="http://schemas.openxmlformats.org/officeDocument/2006/relationships/hyperlink" Target="https://youtu.be/e0rnci_VtNY" TargetMode="External"/><Relationship Id="rId10" Type="http://schemas.openxmlformats.org/officeDocument/2006/relationships/hyperlink" Target="https://youtu.be/Eg9Kwr92gS0" TargetMode="External"/><Relationship Id="rId31" Type="http://schemas.openxmlformats.org/officeDocument/2006/relationships/hyperlink" Target="https://youtu.be/lrmgEHkHfNU" TargetMode="External"/><Relationship Id="rId52" Type="http://schemas.openxmlformats.org/officeDocument/2006/relationships/hyperlink" Target="https://youtu.be/BAEmJXvZd5E" TargetMode="External"/><Relationship Id="rId73" Type="http://schemas.openxmlformats.org/officeDocument/2006/relationships/hyperlink" Target="https://www.youtube.com/shorts/a7VXjG3LvR8" TargetMode="External"/><Relationship Id="rId78" Type="http://schemas.openxmlformats.org/officeDocument/2006/relationships/hyperlink" Target="https://youtu.be/u53nsBJnQRM" TargetMode="External"/><Relationship Id="rId94" Type="http://schemas.openxmlformats.org/officeDocument/2006/relationships/hyperlink" Target="https://youtu.be/m2dehWkOe-k" TargetMode="External"/><Relationship Id="rId99" Type="http://schemas.openxmlformats.org/officeDocument/2006/relationships/hyperlink" Target="https://youtu.be/7dQ6VBF2gAg" TargetMode="External"/><Relationship Id="rId101" Type="http://schemas.openxmlformats.org/officeDocument/2006/relationships/hyperlink" Target="https://youtu.be/iLNTqSVGyFM" TargetMode="External"/><Relationship Id="rId122" Type="http://schemas.openxmlformats.org/officeDocument/2006/relationships/hyperlink" Target="https://youtu.be/CIF_qdeqKgM" TargetMode="External"/><Relationship Id="rId143" Type="http://schemas.openxmlformats.org/officeDocument/2006/relationships/hyperlink" Target="https://youtu.be/TMNT0krfVk8" TargetMode="External"/><Relationship Id="rId148" Type="http://schemas.openxmlformats.org/officeDocument/2006/relationships/hyperlink" Target="https://youtube.com/shorts/aInMhTBVxbI?feature=share" TargetMode="External"/><Relationship Id="rId164" Type="http://schemas.openxmlformats.org/officeDocument/2006/relationships/hyperlink" Target="https://youtu.be/ZcR4nbHOVqk" TargetMode="External"/><Relationship Id="rId169" Type="http://schemas.openxmlformats.org/officeDocument/2006/relationships/hyperlink" Target="https://youtu.be/zMfDaWFqLCo" TargetMode="External"/><Relationship Id="rId185" Type="http://schemas.openxmlformats.org/officeDocument/2006/relationships/hyperlink" Target="https://youtu.be/vYK58oAZv30" TargetMode="External"/><Relationship Id="rId4" Type="http://schemas.openxmlformats.org/officeDocument/2006/relationships/hyperlink" Target="https://youtu.be/1m6fZSun6ME" TargetMode="External"/><Relationship Id="rId9" Type="http://schemas.openxmlformats.org/officeDocument/2006/relationships/hyperlink" Target="https://youtu.be/rzhZ9k73ryA" TargetMode="External"/><Relationship Id="rId180" Type="http://schemas.openxmlformats.org/officeDocument/2006/relationships/hyperlink" Target="https://youtu.be/T2mzHsQtjZs" TargetMode="External"/><Relationship Id="rId210" Type="http://schemas.openxmlformats.org/officeDocument/2006/relationships/hyperlink" Target="https://youtu.be/G2WSOSw9C3M" TargetMode="External"/><Relationship Id="rId215" Type="http://schemas.openxmlformats.org/officeDocument/2006/relationships/hyperlink" Target="https://youtu.be/G_YeVq913TM" TargetMode="External"/><Relationship Id="rId236" Type="http://schemas.openxmlformats.org/officeDocument/2006/relationships/hyperlink" Target="https://youtu.be/PllczP42iXs" TargetMode="External"/><Relationship Id="rId26" Type="http://schemas.openxmlformats.org/officeDocument/2006/relationships/hyperlink" Target="https://youtu.be/kF3nRuX99rw" TargetMode="External"/><Relationship Id="rId231" Type="http://schemas.openxmlformats.org/officeDocument/2006/relationships/hyperlink" Target="https://youtu.be/rqSE5w3qL2o" TargetMode="External"/><Relationship Id="rId47" Type="http://schemas.openxmlformats.org/officeDocument/2006/relationships/hyperlink" Target="https://youtube.com/shorts/eJ0MLjjbbjk?feature=share" TargetMode="External"/><Relationship Id="rId68" Type="http://schemas.openxmlformats.org/officeDocument/2006/relationships/hyperlink" Target="https://youtube.com/shorts/uhiztQ8V9Vw?feature=share" TargetMode="External"/><Relationship Id="rId89" Type="http://schemas.openxmlformats.org/officeDocument/2006/relationships/hyperlink" Target="https://youtu.be/4JxUq7gfGxw" TargetMode="External"/><Relationship Id="rId112" Type="http://schemas.openxmlformats.org/officeDocument/2006/relationships/hyperlink" Target="https://youtu.be/1VJWgLoPyLc" TargetMode="External"/><Relationship Id="rId133" Type="http://schemas.openxmlformats.org/officeDocument/2006/relationships/hyperlink" Target="https://www.youtube.com/shorts/1satDE63Bwc" TargetMode="External"/><Relationship Id="rId154" Type="http://schemas.openxmlformats.org/officeDocument/2006/relationships/hyperlink" Target="https://youtu.be/T7xL9iNgSgA" TargetMode="External"/><Relationship Id="rId175" Type="http://schemas.openxmlformats.org/officeDocument/2006/relationships/hyperlink" Target="https://youtu.be/sNMwCdJJSt4" TargetMode="External"/><Relationship Id="rId196" Type="http://schemas.openxmlformats.org/officeDocument/2006/relationships/hyperlink" Target="https://youtu.be/ZyyDc4g2h6w" TargetMode="External"/><Relationship Id="rId200" Type="http://schemas.openxmlformats.org/officeDocument/2006/relationships/hyperlink" Target="https://youtu.be/leX1rrEioL0" TargetMode="External"/><Relationship Id="rId16" Type="http://schemas.openxmlformats.org/officeDocument/2006/relationships/hyperlink" Target="https://youtu.be/UW2PZRGpAFU" TargetMode="External"/><Relationship Id="rId221" Type="http://schemas.openxmlformats.org/officeDocument/2006/relationships/hyperlink" Target="https://youtu.be/By7JDAyBuyY" TargetMode="External"/><Relationship Id="rId37" Type="http://schemas.openxmlformats.org/officeDocument/2006/relationships/hyperlink" Target="https://youtu.be/NZaNK2IIGts" TargetMode="External"/><Relationship Id="rId58" Type="http://schemas.openxmlformats.org/officeDocument/2006/relationships/hyperlink" Target="https://youtu.be/NmqklJDizWo" TargetMode="External"/><Relationship Id="rId79" Type="http://schemas.openxmlformats.org/officeDocument/2006/relationships/hyperlink" Target="https://youtu.be/RbQZwsGUAzY" TargetMode="External"/><Relationship Id="rId102" Type="http://schemas.openxmlformats.org/officeDocument/2006/relationships/hyperlink" Target="https://youtu.be/e2N3xn8kVl4" TargetMode="External"/><Relationship Id="rId123" Type="http://schemas.openxmlformats.org/officeDocument/2006/relationships/hyperlink" Target="https://youtu.be/QijTo6HBLr4" TargetMode="External"/><Relationship Id="rId144" Type="http://schemas.openxmlformats.org/officeDocument/2006/relationships/hyperlink" Target="https://youtu.be/_ywBc7HELjc" TargetMode="External"/><Relationship Id="rId90" Type="http://schemas.openxmlformats.org/officeDocument/2006/relationships/hyperlink" Target="https://youtu.be/YyuF67n29-Q" TargetMode="External"/><Relationship Id="rId165" Type="http://schemas.openxmlformats.org/officeDocument/2006/relationships/hyperlink" Target="https://youtube.com/shorts/YMBh0ST03RM?feature=share" TargetMode="External"/><Relationship Id="rId186" Type="http://schemas.openxmlformats.org/officeDocument/2006/relationships/hyperlink" Target="https://youtu.be/gMs8t_heBtM" TargetMode="External"/><Relationship Id="rId211" Type="http://schemas.openxmlformats.org/officeDocument/2006/relationships/hyperlink" Target="https://youtu.be/Ujba6U2v85E" TargetMode="External"/><Relationship Id="rId232" Type="http://schemas.openxmlformats.org/officeDocument/2006/relationships/hyperlink" Target="https://youtu.be/VXWulXnxHOY" TargetMode="External"/><Relationship Id="rId27" Type="http://schemas.openxmlformats.org/officeDocument/2006/relationships/hyperlink" Target="https://youtube.com/shorts/A9Eqjm4W9_g?feature=share" TargetMode="External"/><Relationship Id="rId48" Type="http://schemas.openxmlformats.org/officeDocument/2006/relationships/hyperlink" Target="https://youtube.com/shorts/IZRQMn9rc0o?feature=share" TargetMode="External"/><Relationship Id="rId69" Type="http://schemas.openxmlformats.org/officeDocument/2006/relationships/hyperlink" Target="https://youtu.be/FA6jHdFlvg8" TargetMode="External"/><Relationship Id="rId113" Type="http://schemas.openxmlformats.org/officeDocument/2006/relationships/hyperlink" Target="https://youtube.com/shorts/UtbesEEl-_k?feature=share" TargetMode="External"/><Relationship Id="rId134" Type="http://schemas.openxmlformats.org/officeDocument/2006/relationships/hyperlink" Target="https://youtu.be/OGGtZdctyi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8"/>
  <sheetViews>
    <sheetView zoomScale="75" zoomScaleNormal="75" workbookViewId="0">
      <selection activeCell="I7" sqref="I7"/>
    </sheetView>
  </sheetViews>
  <sheetFormatPr defaultColWidth="12.6328125" defaultRowHeight="15" customHeight="1"/>
  <cols>
    <col min="1" max="1" width="42.1796875" customWidth="1"/>
    <col min="2" max="2" width="7.6328125" customWidth="1"/>
    <col min="3" max="3" width="4.26953125" customWidth="1"/>
    <col min="4" max="4" width="28.7265625" customWidth="1"/>
    <col min="6" max="6" width="14.7265625" customWidth="1"/>
    <col min="7" max="7" width="10.7265625" customWidth="1"/>
    <col min="8" max="8" width="14" customWidth="1"/>
    <col min="9" max="9" width="17.26953125" customWidth="1"/>
    <col min="10" max="10" width="3.453125" customWidth="1"/>
    <col min="12" max="13" width="9.6328125" customWidth="1"/>
    <col min="14" max="14" width="2.453125" customWidth="1"/>
    <col min="15" max="15" width="17.6328125" customWidth="1"/>
    <col min="19" max="19" width="2.26953125" customWidth="1"/>
  </cols>
  <sheetData>
    <row r="1" spans="1:26" ht="15" customHeight="1">
      <c r="A1" s="1"/>
      <c r="B1" s="2"/>
      <c r="C1" s="3" t="s">
        <v>2285</v>
      </c>
      <c r="D1" s="4"/>
      <c r="E1" s="4"/>
      <c r="F1" s="2"/>
      <c r="G1" s="3" t="s">
        <v>0</v>
      </c>
      <c r="H1" s="4"/>
      <c r="I1" s="4"/>
      <c r="J1" s="4"/>
      <c r="K1" s="4"/>
      <c r="L1" s="4"/>
      <c r="M1" s="2"/>
      <c r="N1" s="5"/>
      <c r="O1" s="5"/>
      <c r="P1" s="5"/>
      <c r="Q1" s="5"/>
      <c r="R1" s="5"/>
      <c r="S1" s="6"/>
      <c r="T1" s="6"/>
      <c r="U1" s="6"/>
      <c r="V1" s="6"/>
      <c r="W1" s="6"/>
      <c r="X1" s="6"/>
      <c r="Y1" s="6"/>
      <c r="Z1" s="6"/>
    </row>
    <row r="2" spans="1:26" ht="15" customHeight="1">
      <c r="A2" s="7"/>
      <c r="B2" s="8"/>
      <c r="C2" s="9" t="s">
        <v>1</v>
      </c>
      <c r="D2" s="10"/>
      <c r="E2" s="10"/>
      <c r="F2" s="8"/>
      <c r="G2" s="9" t="s">
        <v>2</v>
      </c>
      <c r="H2" s="10"/>
      <c r="I2" s="10"/>
      <c r="J2" s="10"/>
      <c r="K2" s="10"/>
      <c r="L2" s="10"/>
      <c r="M2" s="8"/>
      <c r="N2" s="5"/>
      <c r="O2" s="5"/>
      <c r="P2" s="5"/>
      <c r="Q2" s="5"/>
      <c r="R2" s="5"/>
      <c r="S2" s="6"/>
      <c r="T2" s="6"/>
      <c r="U2" s="6"/>
      <c r="V2" s="6"/>
      <c r="W2" s="6"/>
      <c r="X2" s="6"/>
      <c r="Y2" s="6"/>
      <c r="Z2" s="6"/>
    </row>
    <row r="3" spans="1:26" ht="15" customHeight="1">
      <c r="A3" s="7"/>
      <c r="B3" s="8"/>
      <c r="C3" s="9" t="s">
        <v>3</v>
      </c>
      <c r="D3" s="10"/>
      <c r="E3" s="10"/>
      <c r="F3" s="8"/>
      <c r="G3" s="11"/>
      <c r="H3" s="10"/>
      <c r="I3" s="10"/>
      <c r="J3" s="10"/>
      <c r="K3" s="10"/>
      <c r="L3" s="10"/>
      <c r="M3" s="8"/>
      <c r="N3" s="5"/>
      <c r="O3" s="5"/>
      <c r="P3" s="5"/>
      <c r="Q3" s="5"/>
      <c r="R3" s="5"/>
      <c r="S3" s="6"/>
      <c r="T3" s="6"/>
      <c r="U3" s="6"/>
      <c r="V3" s="6"/>
      <c r="W3" s="6"/>
      <c r="X3" s="6"/>
      <c r="Y3" s="6"/>
      <c r="Z3" s="6"/>
    </row>
    <row r="4" spans="1:26" ht="8.5" customHeight="1">
      <c r="A4" s="12"/>
      <c r="B4" s="13"/>
      <c r="C4" s="8"/>
      <c r="D4" s="13"/>
      <c r="E4" s="13"/>
      <c r="F4" s="13"/>
      <c r="G4" s="13"/>
      <c r="H4" s="13"/>
      <c r="I4" s="13"/>
      <c r="J4" s="8"/>
      <c r="K4" s="13"/>
      <c r="L4" s="13"/>
      <c r="M4" s="13"/>
      <c r="N4" s="5"/>
      <c r="O4" s="14"/>
      <c r="P4" s="14"/>
      <c r="Q4" s="14"/>
      <c r="R4" s="14"/>
      <c r="S4" s="14"/>
      <c r="T4" s="14"/>
      <c r="U4" s="14"/>
      <c r="V4" s="14"/>
      <c r="W4" s="14"/>
      <c r="X4" s="14"/>
      <c r="Y4" s="14"/>
      <c r="Z4" s="14"/>
    </row>
    <row r="5" spans="1:26" ht="25" customHeight="1">
      <c r="A5" s="355" t="s">
        <v>4</v>
      </c>
      <c r="B5" s="356"/>
      <c r="C5" s="15"/>
      <c r="D5" s="357" t="s">
        <v>5</v>
      </c>
      <c r="E5" s="358"/>
      <c r="F5" s="358"/>
      <c r="G5" s="358"/>
      <c r="H5" s="358"/>
      <c r="I5" s="356"/>
      <c r="J5" s="15"/>
      <c r="K5" s="359" t="s">
        <v>6</v>
      </c>
      <c r="L5" s="360"/>
      <c r="M5" s="361"/>
      <c r="N5" s="16"/>
      <c r="O5" s="362" t="s">
        <v>7</v>
      </c>
      <c r="P5" s="363"/>
      <c r="Q5" s="363"/>
      <c r="R5" s="364"/>
      <c r="S5" s="17"/>
      <c r="T5" s="18"/>
      <c r="U5" s="8"/>
      <c r="V5" s="8"/>
      <c r="W5" s="8"/>
      <c r="X5" s="8"/>
      <c r="Y5" s="8"/>
      <c r="Z5" s="8"/>
    </row>
    <row r="6" spans="1:26" ht="21">
      <c r="A6" s="19" t="s">
        <v>8</v>
      </c>
      <c r="B6" s="20"/>
      <c r="C6" s="15"/>
      <c r="D6" s="21" t="s">
        <v>9</v>
      </c>
      <c r="E6" s="22" t="s">
        <v>10</v>
      </c>
      <c r="F6" s="22" t="s">
        <v>11</v>
      </c>
      <c r="G6" s="22" t="s">
        <v>12</v>
      </c>
      <c r="H6" s="22" t="s">
        <v>13</v>
      </c>
      <c r="I6" s="23" t="s">
        <v>14</v>
      </c>
      <c r="J6" s="15"/>
      <c r="K6" s="24" t="s">
        <v>15</v>
      </c>
      <c r="L6" s="365">
        <f>D7+I7</f>
        <v>0</v>
      </c>
      <c r="M6" s="361"/>
      <c r="N6" s="25"/>
      <c r="O6" s="366" t="s">
        <v>16</v>
      </c>
      <c r="P6" s="367"/>
      <c r="Q6" s="368"/>
      <c r="R6" s="367"/>
      <c r="S6" s="26"/>
      <c r="T6" s="27"/>
      <c r="U6" s="8"/>
      <c r="V6" s="8"/>
      <c r="W6" s="8"/>
      <c r="X6" s="8"/>
      <c r="Y6" s="8"/>
      <c r="Z6" s="8"/>
    </row>
    <row r="7" spans="1:26" ht="21">
      <c r="A7" s="19" t="s">
        <v>17</v>
      </c>
      <c r="B7" s="20"/>
      <c r="C7" s="15"/>
      <c r="D7" s="28">
        <f>(10*B6+6.25*B7-5*B8+5)*B9</f>
        <v>0</v>
      </c>
      <c r="E7" s="29">
        <f>B6</f>
        <v>0</v>
      </c>
      <c r="F7" s="29">
        <f>B7</f>
        <v>0</v>
      </c>
      <c r="G7" s="29">
        <f>B8</f>
        <v>0</v>
      </c>
      <c r="H7" s="29">
        <f>B9</f>
        <v>0</v>
      </c>
      <c r="I7" s="30"/>
      <c r="J7" s="15"/>
      <c r="K7" s="24" t="s">
        <v>18</v>
      </c>
      <c r="L7" s="31">
        <f>(L21*B6)</f>
        <v>0</v>
      </c>
      <c r="M7" s="32">
        <f>(L22*B6)</f>
        <v>0</v>
      </c>
      <c r="N7" s="33"/>
      <c r="O7" s="34"/>
      <c r="P7" s="35" t="s">
        <v>18</v>
      </c>
      <c r="Q7" s="35" t="s">
        <v>19</v>
      </c>
      <c r="R7" s="35" t="s">
        <v>20</v>
      </c>
      <c r="S7" s="26"/>
      <c r="T7" s="27"/>
      <c r="U7" s="8"/>
      <c r="V7" s="8"/>
      <c r="W7" s="8"/>
      <c r="X7" s="8"/>
      <c r="Y7" s="8"/>
      <c r="Z7" s="8"/>
    </row>
    <row r="8" spans="1:26" ht="21">
      <c r="A8" s="19" t="s">
        <v>12</v>
      </c>
      <c r="B8" s="20"/>
      <c r="C8" s="36"/>
      <c r="D8" s="36"/>
      <c r="E8" s="36"/>
      <c r="F8" s="36"/>
      <c r="G8" s="36"/>
      <c r="H8" s="36"/>
      <c r="I8" s="36"/>
      <c r="J8" s="15"/>
      <c r="K8" s="24" t="s">
        <v>21</v>
      </c>
      <c r="L8" s="31">
        <f>(K21*B6)</f>
        <v>0</v>
      </c>
      <c r="M8" s="32">
        <f>(K22*B6)</f>
        <v>0</v>
      </c>
      <c r="N8" s="25"/>
      <c r="O8" s="37" t="s">
        <v>22</v>
      </c>
      <c r="P8" s="38">
        <v>2.2999999999999998</v>
      </c>
      <c r="Q8" s="38">
        <v>0.8</v>
      </c>
      <c r="R8" s="39">
        <v>5</v>
      </c>
      <c r="S8" s="26"/>
      <c r="T8" s="27"/>
      <c r="U8" s="8"/>
      <c r="V8" s="8"/>
      <c r="W8" s="8"/>
      <c r="X8" s="8"/>
      <c r="Y8" s="8"/>
      <c r="Z8" s="8"/>
    </row>
    <row r="9" spans="1:26" ht="21">
      <c r="A9" s="40" t="s">
        <v>23</v>
      </c>
      <c r="B9" s="41"/>
      <c r="C9" s="36"/>
      <c r="D9" s="36"/>
      <c r="E9" s="36"/>
      <c r="F9" s="36"/>
      <c r="G9" s="36"/>
      <c r="H9" s="36"/>
      <c r="I9" s="36"/>
      <c r="J9" s="15"/>
      <c r="K9" s="42" t="s">
        <v>20</v>
      </c>
      <c r="L9" s="43">
        <f>(L6-((M7*4)+(M8*9)))/4</f>
        <v>0</v>
      </c>
      <c r="M9" s="44">
        <f>(L6-((L7*4)+(L8*9)))/4</f>
        <v>0</v>
      </c>
      <c r="N9" s="25"/>
      <c r="O9" s="37" t="s">
        <v>24</v>
      </c>
      <c r="P9" s="45">
        <f>P8*E7</f>
        <v>0</v>
      </c>
      <c r="Q9" s="45">
        <f>Q8*E7</f>
        <v>0</v>
      </c>
      <c r="R9" s="46">
        <f>R8*E7</f>
        <v>0</v>
      </c>
      <c r="S9" s="26"/>
      <c r="T9" s="47">
        <f>(P9*4)+(Q9*9)+(R9*4)</f>
        <v>0</v>
      </c>
      <c r="U9" s="8"/>
      <c r="V9" s="8"/>
      <c r="W9" s="8"/>
      <c r="X9" s="8"/>
      <c r="Y9" s="8"/>
      <c r="Z9" s="8"/>
    </row>
    <row r="10" spans="1:26" ht="14.5">
      <c r="A10" s="12"/>
      <c r="B10" s="8"/>
      <c r="C10" s="36"/>
      <c r="D10" s="48"/>
      <c r="E10" s="48"/>
      <c r="F10" s="48"/>
      <c r="G10" s="48"/>
      <c r="H10" s="48"/>
      <c r="I10" s="48"/>
      <c r="J10" s="36"/>
      <c r="K10" s="49"/>
      <c r="L10" s="49"/>
      <c r="M10" s="48"/>
      <c r="N10" s="50"/>
      <c r="O10" s="51" t="s">
        <v>25</v>
      </c>
      <c r="P10" s="52" t="e">
        <f>(P9*4)/T9*100</f>
        <v>#DIV/0!</v>
      </c>
      <c r="Q10" s="52" t="e">
        <f>(Q9*9)/T9*100</f>
        <v>#DIV/0!</v>
      </c>
      <c r="R10" s="53" t="e">
        <f>(R9*4)/T9*100</f>
        <v>#DIV/0!</v>
      </c>
      <c r="S10" s="26"/>
      <c r="T10" s="27"/>
      <c r="U10" s="8"/>
      <c r="V10" s="8"/>
      <c r="W10" s="8"/>
      <c r="X10" s="8"/>
      <c r="Y10" s="8"/>
      <c r="Z10" s="8"/>
    </row>
    <row r="11" spans="1:26" ht="28.5">
      <c r="A11" s="54" t="s">
        <v>26</v>
      </c>
      <c r="B11" s="36"/>
      <c r="C11" s="15"/>
      <c r="D11" s="369" t="s">
        <v>27</v>
      </c>
      <c r="E11" s="358"/>
      <c r="F11" s="358"/>
      <c r="G11" s="358"/>
      <c r="H11" s="358"/>
      <c r="I11" s="356"/>
      <c r="J11" s="15"/>
      <c r="K11" s="370" t="s">
        <v>6</v>
      </c>
      <c r="L11" s="371"/>
      <c r="M11" s="372"/>
      <c r="N11" s="33"/>
      <c r="O11" s="55"/>
      <c r="P11" s="55"/>
      <c r="Q11" s="55"/>
      <c r="R11" s="55"/>
      <c r="S11" s="26"/>
      <c r="T11" s="27"/>
      <c r="U11" s="8"/>
      <c r="V11" s="8"/>
      <c r="W11" s="8"/>
      <c r="X11" s="8"/>
      <c r="Y11" s="8"/>
      <c r="Z11" s="8"/>
    </row>
    <row r="12" spans="1:26" ht="21">
      <c r="A12" s="56" t="s">
        <v>28</v>
      </c>
      <c r="B12" s="36"/>
      <c r="C12" s="15"/>
      <c r="D12" s="21" t="s">
        <v>9</v>
      </c>
      <c r="E12" s="22" t="s">
        <v>10</v>
      </c>
      <c r="F12" s="22" t="s">
        <v>11</v>
      </c>
      <c r="G12" s="22" t="s">
        <v>12</v>
      </c>
      <c r="H12" s="22" t="s">
        <v>13</v>
      </c>
      <c r="I12" s="23" t="s">
        <v>14</v>
      </c>
      <c r="J12" s="15"/>
      <c r="K12" s="24" t="s">
        <v>15</v>
      </c>
      <c r="L12" s="365">
        <f>D13+I13</f>
        <v>0</v>
      </c>
      <c r="M12" s="361"/>
      <c r="N12" s="25"/>
      <c r="O12" s="37" t="s">
        <v>29</v>
      </c>
      <c r="P12" s="38">
        <v>25</v>
      </c>
      <c r="Q12" s="38">
        <v>20</v>
      </c>
      <c r="R12" s="39">
        <v>55</v>
      </c>
      <c r="S12" s="26"/>
      <c r="T12" s="27"/>
      <c r="U12" s="8"/>
      <c r="V12" s="8"/>
      <c r="W12" s="8"/>
      <c r="X12" s="8"/>
      <c r="Y12" s="8"/>
      <c r="Z12" s="8"/>
    </row>
    <row r="13" spans="1:26" ht="21">
      <c r="A13" s="57"/>
      <c r="B13" s="48"/>
      <c r="C13" s="15"/>
      <c r="D13" s="28">
        <f>(10*B6+6.25*B7-5*B8-161)*B9</f>
        <v>0</v>
      </c>
      <c r="E13" s="29">
        <f>B6</f>
        <v>0</v>
      </c>
      <c r="F13" s="29">
        <f>B7</f>
        <v>0</v>
      </c>
      <c r="G13" s="29">
        <f>B8</f>
        <v>0</v>
      </c>
      <c r="H13" s="29">
        <f>B9</f>
        <v>0</v>
      </c>
      <c r="I13" s="30"/>
      <c r="J13" s="15"/>
      <c r="K13" s="24" t="s">
        <v>18</v>
      </c>
      <c r="L13" s="31">
        <f>(L21*B6)</f>
        <v>0</v>
      </c>
      <c r="M13" s="32">
        <f>(L22*B6)</f>
        <v>0</v>
      </c>
      <c r="N13" s="25"/>
      <c r="O13" s="37" t="s">
        <v>24</v>
      </c>
      <c r="P13" s="58">
        <f>(Q6*(P12/100)/4)</f>
        <v>0</v>
      </c>
      <c r="Q13" s="58">
        <f>(Q6*(Q12/100)/9)</f>
        <v>0</v>
      </c>
      <c r="R13" s="59">
        <f>(Q6*(R12/100)/4)</f>
        <v>0</v>
      </c>
      <c r="S13" s="26"/>
      <c r="T13" s="47">
        <f>(P13*4)+(Q13*9)+(R13*4)</f>
        <v>0</v>
      </c>
      <c r="U13" s="8"/>
      <c r="V13" s="8"/>
      <c r="W13" s="8"/>
      <c r="X13" s="8"/>
      <c r="Y13" s="8"/>
      <c r="Z13" s="8"/>
    </row>
    <row r="14" spans="1:26" ht="21">
      <c r="A14" s="373" t="s">
        <v>30</v>
      </c>
      <c r="B14" s="356"/>
      <c r="C14" s="36"/>
      <c r="D14" s="36"/>
      <c r="E14" s="36"/>
      <c r="F14" s="36"/>
      <c r="G14" s="36"/>
      <c r="H14" s="36"/>
      <c r="I14" s="36"/>
      <c r="J14" s="15"/>
      <c r="K14" s="24" t="s">
        <v>21</v>
      </c>
      <c r="L14" s="31">
        <f>(K21*B6)</f>
        <v>0</v>
      </c>
      <c r="M14" s="32">
        <f>(K22*B6)</f>
        <v>0</v>
      </c>
      <c r="N14" s="25"/>
      <c r="O14" s="51" t="s">
        <v>31</v>
      </c>
      <c r="P14" s="60" t="e">
        <f>P13/E7</f>
        <v>#DIV/0!</v>
      </c>
      <c r="Q14" s="60" t="e">
        <f>Q13/E7</f>
        <v>#DIV/0!</v>
      </c>
      <c r="R14" s="60" t="e">
        <f>R13/E7</f>
        <v>#DIV/0!</v>
      </c>
      <c r="S14" s="26"/>
      <c r="T14" s="27"/>
      <c r="U14" s="8"/>
      <c r="V14" s="8"/>
      <c r="W14" s="8"/>
      <c r="X14" s="8"/>
      <c r="Y14" s="8"/>
      <c r="Z14" s="8"/>
    </row>
    <row r="15" spans="1:26" ht="21">
      <c r="A15" s="374" t="s">
        <v>32</v>
      </c>
      <c r="B15" s="361"/>
      <c r="C15" s="36"/>
      <c r="D15" s="36"/>
      <c r="E15" s="36"/>
      <c r="F15" s="36"/>
      <c r="G15" s="36"/>
      <c r="H15" s="36"/>
      <c r="I15" s="36"/>
      <c r="J15" s="15"/>
      <c r="K15" s="42" t="s">
        <v>20</v>
      </c>
      <c r="L15" s="43">
        <f>(L12-((M13*4)+(M14*9)))/4</f>
        <v>0</v>
      </c>
      <c r="M15" s="44">
        <f>(L12-((L13*4)+(L14*9)))/4</f>
        <v>0</v>
      </c>
      <c r="N15" s="33"/>
      <c r="O15" s="55"/>
      <c r="P15" s="55"/>
      <c r="Q15" s="55"/>
      <c r="R15" s="55"/>
      <c r="S15" s="26"/>
      <c r="T15" s="27"/>
      <c r="U15" s="8"/>
      <c r="V15" s="8"/>
      <c r="W15" s="8"/>
      <c r="X15" s="8"/>
      <c r="Y15" s="8"/>
      <c r="Z15" s="8"/>
    </row>
    <row r="16" spans="1:26" ht="14.5">
      <c r="A16" s="374" t="s">
        <v>33</v>
      </c>
      <c r="B16" s="361"/>
      <c r="C16" s="36"/>
      <c r="D16" s="48"/>
      <c r="E16" s="48"/>
      <c r="F16" s="48"/>
      <c r="G16" s="48"/>
      <c r="H16" s="48"/>
      <c r="I16" s="36"/>
      <c r="J16" s="36"/>
      <c r="K16" s="36"/>
      <c r="L16" s="36"/>
      <c r="M16" s="36"/>
      <c r="N16" s="50"/>
      <c r="O16" s="51" t="s">
        <v>34</v>
      </c>
      <c r="P16" s="55"/>
      <c r="Q16" s="55"/>
      <c r="R16" s="61"/>
      <c r="S16" s="26"/>
      <c r="T16" s="27"/>
      <c r="U16" s="8"/>
      <c r="V16" s="8"/>
      <c r="W16" s="8"/>
      <c r="X16" s="8"/>
      <c r="Y16" s="8"/>
      <c r="Z16" s="8"/>
    </row>
    <row r="17" spans="1:26" ht="21">
      <c r="A17" s="375"/>
      <c r="B17" s="356"/>
      <c r="C17" s="15"/>
      <c r="D17" s="376" t="s">
        <v>13</v>
      </c>
      <c r="E17" s="358"/>
      <c r="F17" s="358"/>
      <c r="G17" s="358"/>
      <c r="H17" s="356"/>
      <c r="I17" s="36"/>
      <c r="J17" s="36"/>
      <c r="K17" s="36"/>
      <c r="L17" s="36"/>
      <c r="M17" s="36"/>
      <c r="N17" s="62"/>
      <c r="O17" s="26"/>
      <c r="P17" s="26"/>
      <c r="Q17" s="26"/>
      <c r="R17" s="26"/>
      <c r="S17" s="26"/>
      <c r="T17" s="27"/>
      <c r="U17" s="8"/>
      <c r="V17" s="8"/>
      <c r="W17" s="8"/>
      <c r="X17" s="8"/>
      <c r="Y17" s="8"/>
      <c r="Z17" s="8"/>
    </row>
    <row r="18" spans="1:26" ht="15.5">
      <c r="A18" s="49"/>
      <c r="B18" s="48"/>
      <c r="C18" s="15"/>
      <c r="D18" s="377" t="s">
        <v>35</v>
      </c>
      <c r="E18" s="360"/>
      <c r="F18" s="360"/>
      <c r="G18" s="360"/>
      <c r="H18" s="361"/>
      <c r="I18" s="36"/>
      <c r="J18" s="36"/>
      <c r="K18" s="48"/>
      <c r="L18" s="48"/>
      <c r="M18" s="36"/>
      <c r="N18" s="5"/>
      <c r="O18" s="8"/>
      <c r="P18" s="8"/>
      <c r="Q18" s="8"/>
      <c r="R18" s="8"/>
      <c r="S18" s="8"/>
      <c r="T18" s="8"/>
      <c r="U18" s="8"/>
      <c r="V18" s="8"/>
      <c r="W18" s="8"/>
      <c r="X18" s="8"/>
      <c r="Y18" s="8"/>
      <c r="Z18" s="8"/>
    </row>
    <row r="19" spans="1:26" ht="21">
      <c r="A19" s="373" t="s">
        <v>36</v>
      </c>
      <c r="B19" s="356"/>
      <c r="C19" s="15"/>
      <c r="D19" s="377" t="s">
        <v>37</v>
      </c>
      <c r="E19" s="360"/>
      <c r="F19" s="360"/>
      <c r="G19" s="360"/>
      <c r="H19" s="361"/>
      <c r="I19" s="36"/>
      <c r="J19" s="15"/>
      <c r="K19" s="376" t="s">
        <v>38</v>
      </c>
      <c r="L19" s="356"/>
      <c r="M19" s="36"/>
      <c r="N19" s="5"/>
      <c r="O19" s="8"/>
      <c r="P19" s="8"/>
      <c r="Q19" s="8"/>
      <c r="R19" s="8"/>
      <c r="S19" s="8"/>
      <c r="T19" s="8"/>
      <c r="U19" s="8"/>
      <c r="V19" s="8"/>
      <c r="W19" s="8"/>
      <c r="X19" s="8"/>
      <c r="Y19" s="8"/>
      <c r="Z19" s="8"/>
    </row>
    <row r="20" spans="1:26" ht="15.5">
      <c r="A20" s="63" t="s">
        <v>39</v>
      </c>
      <c r="B20" s="20"/>
      <c r="C20" s="15"/>
      <c r="D20" s="377" t="s">
        <v>40</v>
      </c>
      <c r="E20" s="360"/>
      <c r="F20" s="360"/>
      <c r="G20" s="360"/>
      <c r="H20" s="361"/>
      <c r="I20" s="36"/>
      <c r="J20" s="15"/>
      <c r="K20" s="64" t="s">
        <v>21</v>
      </c>
      <c r="L20" s="65" t="s">
        <v>18</v>
      </c>
      <c r="M20" s="36"/>
      <c r="N20" s="5"/>
      <c r="O20" s="8"/>
      <c r="P20" s="8"/>
      <c r="Q20" s="8"/>
      <c r="R20" s="8"/>
      <c r="S20" s="8"/>
      <c r="T20" s="8"/>
      <c r="U20" s="8"/>
      <c r="V20" s="8"/>
      <c r="W20" s="8"/>
      <c r="X20" s="8"/>
      <c r="Y20" s="8"/>
      <c r="Z20" s="8"/>
    </row>
    <row r="21" spans="1:26" ht="15.5">
      <c r="A21" s="66" t="s">
        <v>41</v>
      </c>
      <c r="B21" s="67"/>
      <c r="C21" s="15"/>
      <c r="D21" s="377" t="s">
        <v>42</v>
      </c>
      <c r="E21" s="360"/>
      <c r="F21" s="360"/>
      <c r="G21" s="360"/>
      <c r="H21" s="361"/>
      <c r="I21" s="36"/>
      <c r="J21" s="15"/>
      <c r="K21" s="68">
        <v>0.5</v>
      </c>
      <c r="L21" s="69">
        <v>1.6</v>
      </c>
      <c r="M21" s="36"/>
      <c r="N21" s="5"/>
      <c r="O21" s="8"/>
      <c r="P21" s="8"/>
      <c r="Q21" s="8"/>
      <c r="R21" s="8"/>
      <c r="S21" s="8"/>
      <c r="T21" s="8"/>
      <c r="U21" s="8"/>
      <c r="V21" s="8"/>
      <c r="W21" s="8"/>
      <c r="X21" s="8"/>
      <c r="Y21" s="8"/>
      <c r="Z21" s="8"/>
    </row>
    <row r="22" spans="1:26" ht="15.5">
      <c r="A22" s="66" t="s">
        <v>43</v>
      </c>
      <c r="B22" s="67"/>
      <c r="C22" s="15"/>
      <c r="D22" s="378" t="s">
        <v>44</v>
      </c>
      <c r="E22" s="358"/>
      <c r="F22" s="358"/>
      <c r="G22" s="358"/>
      <c r="H22" s="356"/>
      <c r="I22" s="36"/>
      <c r="J22" s="15"/>
      <c r="K22" s="70">
        <v>1</v>
      </c>
      <c r="L22" s="71">
        <v>2.2000000000000002</v>
      </c>
      <c r="M22" s="36"/>
      <c r="N22" s="5"/>
      <c r="O22" s="8"/>
      <c r="P22" s="8"/>
      <c r="Q22" s="8"/>
      <c r="R22" s="8"/>
      <c r="S22" s="8"/>
      <c r="T22" s="8"/>
      <c r="U22" s="8"/>
      <c r="V22" s="8"/>
      <c r="W22" s="8"/>
      <c r="X22" s="8"/>
      <c r="Y22" s="8"/>
      <c r="Z22" s="8"/>
    </row>
    <row r="23" spans="1:26" ht="15.5">
      <c r="A23" s="63" t="s">
        <v>45</v>
      </c>
      <c r="B23" s="20"/>
      <c r="C23" s="36"/>
      <c r="D23" s="48"/>
      <c r="E23" s="48"/>
      <c r="F23" s="48"/>
      <c r="G23" s="48"/>
      <c r="H23" s="36"/>
      <c r="I23" s="48"/>
      <c r="J23" s="48"/>
      <c r="K23" s="49"/>
      <c r="L23" s="48"/>
      <c r="M23" s="48"/>
      <c r="N23" s="5"/>
      <c r="O23" s="8"/>
      <c r="P23" s="8"/>
      <c r="Q23" s="8"/>
      <c r="R23" s="8"/>
      <c r="S23" s="8"/>
      <c r="T23" s="8"/>
      <c r="U23" s="8"/>
      <c r="V23" s="8"/>
      <c r="W23" s="8"/>
      <c r="X23" s="8"/>
      <c r="Y23" s="8"/>
      <c r="Z23" s="8"/>
    </row>
    <row r="24" spans="1:26" ht="15.5">
      <c r="A24" s="72" t="s">
        <v>46</v>
      </c>
      <c r="B24" s="20"/>
      <c r="C24" s="15"/>
      <c r="D24" s="379" t="s">
        <v>47</v>
      </c>
      <c r="E24" s="371"/>
      <c r="F24" s="371"/>
      <c r="G24" s="372"/>
      <c r="H24" s="15"/>
      <c r="I24" s="380" t="s">
        <v>48</v>
      </c>
      <c r="J24" s="358"/>
      <c r="K24" s="358"/>
      <c r="L24" s="358"/>
      <c r="M24" s="356"/>
      <c r="N24" s="5"/>
      <c r="O24" s="8"/>
      <c r="P24" s="8"/>
      <c r="Q24" s="8"/>
      <c r="R24" s="8"/>
      <c r="S24" s="8"/>
      <c r="T24" s="8"/>
      <c r="U24" s="8"/>
      <c r="V24" s="8"/>
      <c r="W24" s="8"/>
      <c r="X24" s="8"/>
      <c r="Y24" s="8"/>
      <c r="Z24" s="8"/>
    </row>
    <row r="25" spans="1:26" ht="15.5">
      <c r="A25" s="72" t="s">
        <v>49</v>
      </c>
      <c r="B25" s="20"/>
      <c r="C25" s="15"/>
      <c r="D25" s="381"/>
      <c r="E25" s="360"/>
      <c r="F25" s="360"/>
      <c r="G25" s="361"/>
      <c r="H25" s="15"/>
      <c r="I25" s="73" t="s">
        <v>50</v>
      </c>
      <c r="J25" s="382" t="s">
        <v>51</v>
      </c>
      <c r="K25" s="356"/>
      <c r="L25" s="382" t="s">
        <v>52</v>
      </c>
      <c r="M25" s="356"/>
      <c r="N25" s="5"/>
      <c r="O25" s="8"/>
      <c r="P25" s="8"/>
      <c r="Q25" s="8"/>
      <c r="R25" s="8"/>
      <c r="S25" s="8"/>
      <c r="T25" s="8"/>
      <c r="U25" s="8"/>
      <c r="V25" s="8"/>
      <c r="W25" s="8"/>
      <c r="X25" s="8"/>
      <c r="Y25" s="8"/>
      <c r="Z25" s="8"/>
    </row>
    <row r="26" spans="1:26" ht="15.5">
      <c r="A26" s="72" t="s">
        <v>53</v>
      </c>
      <c r="B26" s="20"/>
      <c r="C26" s="15"/>
      <c r="D26" s="383" t="s">
        <v>54</v>
      </c>
      <c r="E26" s="358"/>
      <c r="F26" s="358"/>
      <c r="G26" s="356"/>
      <c r="H26" s="15"/>
      <c r="I26" s="74" t="s">
        <v>55</v>
      </c>
      <c r="J26" s="75">
        <v>1</v>
      </c>
      <c r="K26" s="75">
        <v>1.5</v>
      </c>
      <c r="L26" s="75">
        <v>0.5</v>
      </c>
      <c r="M26" s="76">
        <v>0.75</v>
      </c>
      <c r="N26" s="5"/>
      <c r="O26" s="8"/>
      <c r="P26" s="8"/>
      <c r="Q26" s="8"/>
      <c r="R26" s="8"/>
      <c r="S26" s="8"/>
      <c r="T26" s="8"/>
      <c r="U26" s="8"/>
      <c r="V26" s="8"/>
      <c r="W26" s="8"/>
      <c r="X26" s="8"/>
      <c r="Y26" s="8"/>
      <c r="Z26" s="8"/>
    </row>
    <row r="27" spans="1:26" ht="15.5">
      <c r="A27" s="63" t="s">
        <v>56</v>
      </c>
      <c r="B27" s="20"/>
      <c r="C27" s="36"/>
      <c r="D27" s="48"/>
      <c r="E27" s="48"/>
      <c r="F27" s="48"/>
      <c r="G27" s="48"/>
      <c r="H27" s="15"/>
      <c r="I27" s="74" t="s">
        <v>57</v>
      </c>
      <c r="J27" s="75">
        <v>0.5</v>
      </c>
      <c r="K27" s="75">
        <v>1</v>
      </c>
      <c r="L27" s="75">
        <v>0.25</v>
      </c>
      <c r="M27" s="76">
        <v>0.5</v>
      </c>
      <c r="N27" s="5"/>
      <c r="O27" s="8"/>
      <c r="P27" s="8"/>
      <c r="Q27" s="8"/>
      <c r="R27" s="8"/>
      <c r="S27" s="8"/>
      <c r="T27" s="8"/>
      <c r="U27" s="8"/>
      <c r="V27" s="8"/>
      <c r="W27" s="8"/>
      <c r="X27" s="8"/>
      <c r="Y27" s="8"/>
      <c r="Z27" s="8"/>
    </row>
    <row r="28" spans="1:26" ht="15.5">
      <c r="A28" s="63" t="s">
        <v>58</v>
      </c>
      <c r="B28" s="20"/>
      <c r="C28" s="15"/>
      <c r="D28" s="384" t="s">
        <v>59</v>
      </c>
      <c r="E28" s="371"/>
      <c r="F28" s="371"/>
      <c r="G28" s="372"/>
      <c r="H28" s="15"/>
      <c r="I28" s="77" t="s">
        <v>60</v>
      </c>
      <c r="J28" s="78">
        <v>0.25</v>
      </c>
      <c r="K28" s="78">
        <v>0.5</v>
      </c>
      <c r="L28" s="78">
        <v>0.125</v>
      </c>
      <c r="M28" s="79">
        <v>0.25</v>
      </c>
      <c r="N28" s="5"/>
      <c r="O28" s="8"/>
      <c r="P28" s="8"/>
      <c r="Q28" s="8"/>
      <c r="R28" s="8"/>
      <c r="S28" s="8"/>
      <c r="T28" s="8"/>
      <c r="U28" s="8"/>
      <c r="V28" s="8"/>
      <c r="W28" s="8"/>
      <c r="X28" s="8"/>
      <c r="Y28" s="8"/>
      <c r="Z28" s="8"/>
    </row>
    <row r="29" spans="1:26" ht="15.5">
      <c r="A29" s="63" t="s">
        <v>61</v>
      </c>
      <c r="B29" s="20"/>
      <c r="C29" s="15"/>
      <c r="D29" s="381" t="s">
        <v>62</v>
      </c>
      <c r="E29" s="360"/>
      <c r="F29" s="360"/>
      <c r="G29" s="361"/>
      <c r="H29" s="15"/>
      <c r="I29" s="73" t="s">
        <v>63</v>
      </c>
      <c r="J29" s="382" t="s">
        <v>51</v>
      </c>
      <c r="K29" s="356"/>
      <c r="L29" s="382" t="s">
        <v>52</v>
      </c>
      <c r="M29" s="356"/>
      <c r="N29" s="5"/>
      <c r="O29" s="8"/>
      <c r="P29" s="8"/>
      <c r="Q29" s="8"/>
      <c r="R29" s="8"/>
      <c r="S29" s="8"/>
      <c r="T29" s="8"/>
      <c r="U29" s="8"/>
      <c r="V29" s="8"/>
      <c r="W29" s="8"/>
      <c r="X29" s="8"/>
      <c r="Y29" s="8"/>
      <c r="Z29" s="8"/>
    </row>
    <row r="30" spans="1:26" ht="15.5">
      <c r="A30" s="80" t="s">
        <v>64</v>
      </c>
      <c r="B30" s="20"/>
      <c r="C30" s="15"/>
      <c r="D30" s="381" t="s">
        <v>65</v>
      </c>
      <c r="E30" s="360"/>
      <c r="F30" s="360"/>
      <c r="G30" s="361"/>
      <c r="H30" s="15"/>
      <c r="I30" s="74" t="s">
        <v>55</v>
      </c>
      <c r="J30" s="81">
        <f>J26%*B6/4.2*1000</f>
        <v>0</v>
      </c>
      <c r="K30" s="81">
        <f>K26%*B6/4.2*1000</f>
        <v>0</v>
      </c>
      <c r="L30" s="81">
        <f>L26%*B6/4.2*1000</f>
        <v>0</v>
      </c>
      <c r="M30" s="82">
        <f>M26%*B6/4.2*1000</f>
        <v>0</v>
      </c>
      <c r="N30" s="5"/>
      <c r="O30" s="8"/>
      <c r="P30" s="8"/>
      <c r="Q30" s="8"/>
      <c r="R30" s="8"/>
      <c r="S30" s="8"/>
      <c r="T30" s="8"/>
      <c r="U30" s="8"/>
      <c r="V30" s="8"/>
      <c r="W30" s="8"/>
      <c r="X30" s="8"/>
      <c r="Y30" s="8"/>
      <c r="Z30" s="8"/>
    </row>
    <row r="31" spans="1:26" ht="15.5">
      <c r="A31" s="374"/>
      <c r="B31" s="361"/>
      <c r="C31" s="15"/>
      <c r="D31" s="381" t="s">
        <v>66</v>
      </c>
      <c r="E31" s="360"/>
      <c r="F31" s="360"/>
      <c r="G31" s="361"/>
      <c r="H31" s="15"/>
      <c r="I31" s="74" t="s">
        <v>57</v>
      </c>
      <c r="J31" s="81">
        <f>J27%*B6/4.2*1000</f>
        <v>0</v>
      </c>
      <c r="K31" s="81">
        <f>K27%*B6/4.2*1000</f>
        <v>0</v>
      </c>
      <c r="L31" s="81">
        <f>L27%*B6/4.2*1000</f>
        <v>0</v>
      </c>
      <c r="M31" s="82">
        <f>M27%*B6/4.2*1000</f>
        <v>0</v>
      </c>
      <c r="N31" s="5"/>
      <c r="O31" s="8"/>
      <c r="P31" s="8"/>
      <c r="Q31" s="8"/>
      <c r="R31" s="8"/>
      <c r="S31" s="8"/>
      <c r="T31" s="8"/>
      <c r="U31" s="8"/>
      <c r="V31" s="8"/>
      <c r="W31" s="8"/>
      <c r="X31" s="8"/>
      <c r="Y31" s="8"/>
      <c r="Z31" s="8"/>
    </row>
    <row r="32" spans="1:26" ht="15.5">
      <c r="A32" s="374"/>
      <c r="B32" s="361"/>
      <c r="C32" s="15"/>
      <c r="D32" s="381" t="s">
        <v>67</v>
      </c>
      <c r="E32" s="360"/>
      <c r="F32" s="360"/>
      <c r="G32" s="361"/>
      <c r="H32" s="15"/>
      <c r="I32" s="77" t="s">
        <v>60</v>
      </c>
      <c r="J32" s="83">
        <f>J28%*B6/4.2*1000</f>
        <v>0</v>
      </c>
      <c r="K32" s="83">
        <f>K28%*B6/4.2*1000</f>
        <v>0</v>
      </c>
      <c r="L32" s="83">
        <f>L28%*B6/4.2*1000</f>
        <v>0</v>
      </c>
      <c r="M32" s="84">
        <f>M28%*B6/4.2*1000</f>
        <v>0</v>
      </c>
      <c r="N32" s="5"/>
      <c r="O32" s="8"/>
      <c r="P32" s="8"/>
      <c r="Q32" s="8"/>
      <c r="R32" s="8"/>
      <c r="S32" s="8"/>
      <c r="T32" s="8"/>
      <c r="U32" s="8"/>
      <c r="V32" s="8"/>
      <c r="W32" s="8"/>
      <c r="X32" s="8"/>
      <c r="Y32" s="8"/>
      <c r="Z32" s="8"/>
    </row>
    <row r="33" spans="1:26" ht="15.5">
      <c r="A33" s="374"/>
      <c r="B33" s="361"/>
      <c r="C33" s="15"/>
      <c r="D33" s="388" t="s">
        <v>68</v>
      </c>
      <c r="E33" s="358"/>
      <c r="F33" s="358"/>
      <c r="G33" s="356"/>
      <c r="H33" s="36"/>
      <c r="I33" s="48"/>
      <c r="J33" s="48"/>
      <c r="K33" s="48"/>
      <c r="L33" s="48"/>
      <c r="M33" s="36"/>
      <c r="N33" s="5"/>
      <c r="O33" s="8"/>
      <c r="P33" s="8"/>
      <c r="Q33" s="8"/>
      <c r="R33" s="8"/>
      <c r="S33" s="8"/>
      <c r="T33" s="8"/>
      <c r="U33" s="8"/>
      <c r="V33" s="8"/>
      <c r="W33" s="8"/>
      <c r="X33" s="8"/>
      <c r="Y33" s="8"/>
      <c r="Z33" s="8"/>
    </row>
    <row r="34" spans="1:26" ht="15.5">
      <c r="A34" s="374"/>
      <c r="B34" s="361"/>
      <c r="C34" s="36"/>
      <c r="D34" s="48"/>
      <c r="E34" s="48"/>
      <c r="F34" s="36"/>
      <c r="G34" s="36"/>
      <c r="H34" s="15"/>
      <c r="I34" s="380" t="s">
        <v>69</v>
      </c>
      <c r="J34" s="358"/>
      <c r="K34" s="358"/>
      <c r="L34" s="356"/>
      <c r="M34" s="36"/>
      <c r="N34" s="5"/>
      <c r="O34" s="8"/>
      <c r="P34" s="8"/>
      <c r="Q34" s="8"/>
      <c r="R34" s="8"/>
      <c r="S34" s="8"/>
      <c r="T34" s="8"/>
      <c r="U34" s="8"/>
      <c r="V34" s="8"/>
      <c r="W34" s="8"/>
      <c r="X34" s="8"/>
      <c r="Y34" s="8"/>
      <c r="Z34" s="8"/>
    </row>
    <row r="35" spans="1:26" ht="15.5">
      <c r="A35" s="374"/>
      <c r="B35" s="361"/>
      <c r="C35" s="15"/>
      <c r="D35" s="385" t="s">
        <v>70</v>
      </c>
      <c r="E35" s="361"/>
      <c r="F35" s="36"/>
      <c r="G35" s="36"/>
      <c r="H35" s="15"/>
      <c r="I35" s="73" t="s">
        <v>50</v>
      </c>
      <c r="J35" s="382" t="s">
        <v>71</v>
      </c>
      <c r="K35" s="356"/>
      <c r="L35" s="73" t="s">
        <v>72</v>
      </c>
      <c r="M35" s="36"/>
      <c r="N35" s="5"/>
      <c r="O35" s="8"/>
      <c r="P35" s="8"/>
      <c r="Q35" s="8"/>
      <c r="R35" s="8"/>
      <c r="S35" s="8"/>
      <c r="T35" s="8"/>
      <c r="U35" s="8"/>
      <c r="V35" s="8"/>
      <c r="W35" s="8"/>
      <c r="X35" s="8"/>
      <c r="Y35" s="8"/>
      <c r="Z35" s="8"/>
    </row>
    <row r="36" spans="1:26" ht="15.5">
      <c r="A36" s="375"/>
      <c r="B36" s="356"/>
      <c r="C36" s="15"/>
      <c r="D36" s="386" t="s">
        <v>73</v>
      </c>
      <c r="E36" s="361"/>
      <c r="F36" s="36"/>
      <c r="G36" s="36"/>
      <c r="H36" s="15"/>
      <c r="I36" s="74" t="s">
        <v>74</v>
      </c>
      <c r="J36" s="75">
        <v>3</v>
      </c>
      <c r="K36" s="76">
        <v>4</v>
      </c>
      <c r="L36" s="85" t="e">
        <f>B6/(B7*B7*0.0001)</f>
        <v>#DIV/0!</v>
      </c>
      <c r="M36" s="36"/>
      <c r="N36" s="5"/>
      <c r="O36" s="8"/>
      <c r="P36" s="8"/>
      <c r="Q36" s="8"/>
      <c r="R36" s="8"/>
      <c r="S36" s="8"/>
      <c r="T36" s="8"/>
      <c r="U36" s="8"/>
      <c r="V36" s="8"/>
      <c r="W36" s="8"/>
      <c r="X36" s="8"/>
      <c r="Y36" s="8"/>
      <c r="Z36" s="8"/>
    </row>
    <row r="37" spans="1:26" ht="15.5">
      <c r="C37" s="15"/>
      <c r="D37" s="386" t="s">
        <v>75</v>
      </c>
      <c r="E37" s="361"/>
      <c r="F37" s="36"/>
      <c r="G37" s="36"/>
      <c r="H37" s="15"/>
      <c r="I37" s="74" t="s">
        <v>76</v>
      </c>
      <c r="J37" s="75">
        <v>2</v>
      </c>
      <c r="K37" s="76">
        <v>3</v>
      </c>
      <c r="L37" s="36"/>
      <c r="M37" s="36"/>
      <c r="N37" s="5"/>
      <c r="O37" s="8"/>
      <c r="P37" s="8"/>
      <c r="Q37" s="8"/>
      <c r="R37" s="8"/>
      <c r="S37" s="8"/>
      <c r="T37" s="8"/>
      <c r="U37" s="8"/>
      <c r="V37" s="8"/>
      <c r="W37" s="8"/>
      <c r="X37" s="8"/>
      <c r="Y37" s="8"/>
      <c r="Z37" s="8"/>
    </row>
    <row r="38" spans="1:26" ht="15.5">
      <c r="C38" s="15"/>
      <c r="D38" s="386" t="s">
        <v>77</v>
      </c>
      <c r="E38" s="361"/>
      <c r="F38" s="36"/>
      <c r="G38" s="36"/>
      <c r="H38" s="15"/>
      <c r="I38" s="74" t="s">
        <v>78</v>
      </c>
      <c r="J38" s="75">
        <v>1</v>
      </c>
      <c r="K38" s="76">
        <v>2</v>
      </c>
      <c r="L38" s="36"/>
      <c r="M38" s="36"/>
      <c r="N38" s="5"/>
      <c r="O38" s="8"/>
      <c r="P38" s="8"/>
      <c r="Q38" s="8"/>
      <c r="R38" s="8"/>
      <c r="S38" s="8"/>
      <c r="T38" s="8"/>
      <c r="U38" s="8"/>
      <c r="V38" s="8"/>
      <c r="W38" s="8"/>
      <c r="X38" s="8"/>
      <c r="Y38" s="8"/>
      <c r="Z38" s="8"/>
    </row>
    <row r="39" spans="1:26" ht="15.5">
      <c r="C39" s="15"/>
      <c r="D39" s="387" t="s">
        <v>79</v>
      </c>
      <c r="E39" s="356"/>
      <c r="F39" s="36"/>
      <c r="G39" s="36"/>
      <c r="H39" s="15"/>
      <c r="I39" s="77" t="s">
        <v>80</v>
      </c>
      <c r="J39" s="78">
        <v>0.5</v>
      </c>
      <c r="K39" s="79">
        <v>1</v>
      </c>
      <c r="L39" s="36"/>
      <c r="M39" s="36"/>
      <c r="N39" s="5"/>
      <c r="O39" s="8"/>
      <c r="P39" s="8"/>
      <c r="Q39" s="8"/>
      <c r="R39" s="8"/>
      <c r="S39" s="8"/>
      <c r="T39" s="8"/>
      <c r="U39" s="8"/>
      <c r="V39" s="8"/>
      <c r="W39" s="8"/>
      <c r="X39" s="8"/>
      <c r="Y39" s="8"/>
      <c r="Z39" s="8"/>
    </row>
    <row r="40" spans="1:26" ht="15.5">
      <c r="C40" s="36"/>
      <c r="D40" s="36"/>
      <c r="E40" s="36"/>
      <c r="F40" s="36"/>
      <c r="G40" s="36"/>
      <c r="H40" s="15"/>
      <c r="I40" s="382" t="s">
        <v>81</v>
      </c>
      <c r="J40" s="358"/>
      <c r="K40" s="356"/>
      <c r="L40" s="36"/>
      <c r="M40" s="36"/>
      <c r="N40" s="5"/>
      <c r="O40" s="8"/>
      <c r="P40" s="8"/>
      <c r="Q40" s="8"/>
      <c r="R40" s="8"/>
      <c r="S40" s="8"/>
      <c r="T40" s="8"/>
      <c r="U40" s="8"/>
      <c r="V40" s="8"/>
      <c r="W40" s="8"/>
      <c r="X40" s="8"/>
      <c r="Y40" s="8"/>
      <c r="Z40" s="8"/>
    </row>
    <row r="41" spans="1:26" ht="15.5">
      <c r="C41" s="36"/>
      <c r="D41" s="36"/>
      <c r="E41" s="36"/>
      <c r="F41" s="36"/>
      <c r="G41" s="36"/>
      <c r="H41" s="15"/>
      <c r="I41" s="74" t="s">
        <v>74</v>
      </c>
      <c r="J41" s="81">
        <f>J36%*B6*1000</f>
        <v>0</v>
      </c>
      <c r="K41" s="82">
        <f>K36%*B6*1000</f>
        <v>0</v>
      </c>
      <c r="L41" s="36"/>
      <c r="M41" s="36"/>
      <c r="N41" s="5"/>
      <c r="O41" s="8"/>
      <c r="P41" s="8"/>
      <c r="Q41" s="8"/>
      <c r="R41" s="8"/>
      <c r="S41" s="8"/>
      <c r="T41" s="8"/>
      <c r="U41" s="8"/>
      <c r="V41" s="8"/>
      <c r="W41" s="8"/>
      <c r="X41" s="8"/>
      <c r="Y41" s="8"/>
      <c r="Z41" s="8"/>
    </row>
    <row r="42" spans="1:26" ht="15.5">
      <c r="A42" s="86"/>
      <c r="B42" s="36"/>
      <c r="C42" s="36"/>
      <c r="D42" s="36"/>
      <c r="E42" s="36"/>
      <c r="F42" s="36"/>
      <c r="G42" s="36"/>
      <c r="H42" s="15"/>
      <c r="I42" s="74" t="s">
        <v>76</v>
      </c>
      <c r="J42" s="81">
        <f>J37%*B6*1000</f>
        <v>0</v>
      </c>
      <c r="K42" s="82">
        <f>K37%*B6*1000</f>
        <v>0</v>
      </c>
      <c r="L42" s="36"/>
      <c r="M42" s="36"/>
      <c r="N42" s="5"/>
      <c r="O42" s="8"/>
      <c r="P42" s="8"/>
      <c r="Q42" s="8"/>
      <c r="R42" s="8"/>
      <c r="S42" s="8"/>
      <c r="T42" s="8"/>
      <c r="U42" s="8"/>
      <c r="V42" s="8"/>
      <c r="W42" s="8"/>
      <c r="X42" s="8"/>
      <c r="Y42" s="8"/>
      <c r="Z42" s="8"/>
    </row>
    <row r="43" spans="1:26" ht="15.5">
      <c r="A43" s="86"/>
      <c r="B43" s="36"/>
      <c r="C43" s="36"/>
      <c r="D43" s="36"/>
      <c r="E43" s="36"/>
      <c r="F43" s="36"/>
      <c r="G43" s="36"/>
      <c r="H43" s="15"/>
      <c r="I43" s="74" t="s">
        <v>78</v>
      </c>
      <c r="J43" s="81">
        <f>J38%*B6*1000</f>
        <v>0</v>
      </c>
      <c r="K43" s="82">
        <f>K38%*B6*1000</f>
        <v>0</v>
      </c>
      <c r="L43" s="36"/>
      <c r="M43" s="36"/>
      <c r="N43" s="5"/>
      <c r="O43" s="8"/>
      <c r="P43" s="8"/>
      <c r="Q43" s="8"/>
      <c r="R43" s="8"/>
      <c r="S43" s="8"/>
      <c r="T43" s="8"/>
      <c r="U43" s="8"/>
      <c r="V43" s="8"/>
      <c r="W43" s="8"/>
      <c r="X43" s="8"/>
      <c r="Y43" s="8"/>
      <c r="Z43" s="8"/>
    </row>
    <row r="44" spans="1:26" ht="15.5">
      <c r="A44" s="86"/>
      <c r="B44" s="36"/>
      <c r="C44" s="36"/>
      <c r="D44" s="36"/>
      <c r="E44" s="36"/>
      <c r="F44" s="36"/>
      <c r="G44" s="36"/>
      <c r="H44" s="15"/>
      <c r="I44" s="77" t="s">
        <v>80</v>
      </c>
      <c r="J44" s="83">
        <f>J39%*B6*1000</f>
        <v>0</v>
      </c>
      <c r="K44" s="84">
        <f>K39%*B6*1000</f>
        <v>0</v>
      </c>
      <c r="L44" s="36"/>
      <c r="M44" s="36"/>
      <c r="N44" s="5"/>
      <c r="O44" s="8"/>
      <c r="P44" s="8"/>
      <c r="Q44" s="8"/>
      <c r="R44" s="8"/>
      <c r="S44" s="8"/>
      <c r="T44" s="8"/>
      <c r="U44" s="8"/>
      <c r="V44" s="8"/>
      <c r="W44" s="8"/>
      <c r="X44" s="8"/>
      <c r="Y44" s="8"/>
      <c r="Z44" s="8"/>
    </row>
    <row r="45" spans="1:26" ht="14.5">
      <c r="A45" s="86"/>
      <c r="B45" s="36"/>
      <c r="C45" s="36"/>
      <c r="D45" s="36"/>
      <c r="E45" s="36"/>
      <c r="F45" s="36"/>
      <c r="G45" s="36"/>
      <c r="H45" s="36"/>
      <c r="I45" s="36"/>
      <c r="J45" s="36"/>
      <c r="K45" s="36"/>
      <c r="L45" s="36"/>
      <c r="M45" s="36"/>
      <c r="N45" s="5"/>
      <c r="O45" s="8"/>
      <c r="P45" s="8"/>
      <c r="Q45" s="8"/>
      <c r="R45" s="8"/>
      <c r="S45" s="8"/>
      <c r="T45" s="8"/>
      <c r="U45" s="8"/>
      <c r="V45" s="8"/>
      <c r="W45" s="8"/>
      <c r="X45" s="8"/>
      <c r="Y45" s="8"/>
      <c r="Z45" s="8"/>
    </row>
    <row r="46" spans="1:26" ht="14.5">
      <c r="A46" s="86"/>
      <c r="B46" s="36"/>
      <c r="C46" s="36"/>
      <c r="D46" s="36"/>
      <c r="E46" s="36"/>
      <c r="F46" s="36"/>
      <c r="G46" s="36"/>
      <c r="H46" s="36"/>
      <c r="I46" s="36"/>
      <c r="J46" s="36"/>
      <c r="K46" s="36"/>
      <c r="L46" s="36"/>
      <c r="M46" s="36"/>
      <c r="N46" s="5"/>
      <c r="O46" s="8"/>
      <c r="P46" s="8"/>
      <c r="Q46" s="8"/>
      <c r="R46" s="8"/>
      <c r="S46" s="8"/>
      <c r="T46" s="8"/>
      <c r="U46" s="8"/>
      <c r="V46" s="8"/>
      <c r="W46" s="8"/>
      <c r="X46" s="8"/>
      <c r="Y46" s="8"/>
      <c r="Z46" s="8"/>
    </row>
    <row r="47" spans="1:26" ht="14.5">
      <c r="A47" s="86"/>
      <c r="B47" s="36"/>
      <c r="C47" s="36"/>
      <c r="D47" s="36"/>
      <c r="E47" s="36"/>
      <c r="F47" s="36"/>
      <c r="G47" s="36"/>
      <c r="H47" s="36"/>
      <c r="I47" s="36"/>
      <c r="J47" s="36"/>
      <c r="K47" s="36"/>
      <c r="L47" s="36"/>
      <c r="M47" s="36"/>
      <c r="N47" s="5"/>
      <c r="O47" s="8"/>
      <c r="P47" s="8"/>
      <c r="Q47" s="8"/>
      <c r="R47" s="8"/>
      <c r="S47" s="8"/>
      <c r="T47" s="8"/>
      <c r="U47" s="8"/>
      <c r="V47" s="8"/>
      <c r="W47" s="8"/>
      <c r="X47" s="8"/>
      <c r="Y47" s="8"/>
      <c r="Z47" s="8"/>
    </row>
    <row r="48" spans="1:26" ht="14.5">
      <c r="A48" s="87"/>
      <c r="B48" s="88"/>
      <c r="C48" s="88"/>
      <c r="D48" s="88"/>
      <c r="E48" s="88"/>
      <c r="F48" s="88"/>
      <c r="G48" s="88"/>
      <c r="H48" s="88"/>
      <c r="I48" s="88"/>
      <c r="J48" s="88"/>
      <c r="K48" s="88"/>
      <c r="L48" s="88"/>
      <c r="M48" s="88"/>
      <c r="N48" s="8"/>
      <c r="O48" s="8"/>
      <c r="P48" s="8"/>
      <c r="Q48" s="8"/>
      <c r="R48" s="8"/>
      <c r="S48" s="8"/>
      <c r="T48" s="8"/>
      <c r="U48" s="8"/>
      <c r="V48" s="8"/>
      <c r="W48" s="8"/>
      <c r="X48" s="8"/>
      <c r="Y48" s="8"/>
      <c r="Z48" s="8"/>
    </row>
    <row r="49" spans="1:26" ht="14.5">
      <c r="A49" s="7"/>
      <c r="B49" s="8"/>
      <c r="C49" s="8"/>
      <c r="D49" s="8"/>
      <c r="E49" s="8"/>
      <c r="F49" s="8"/>
      <c r="G49" s="8"/>
      <c r="H49" s="8"/>
      <c r="I49" s="8"/>
      <c r="J49" s="8"/>
      <c r="K49" s="8"/>
      <c r="L49" s="8"/>
      <c r="M49" s="8"/>
      <c r="N49" s="8"/>
      <c r="O49" s="8"/>
      <c r="P49" s="8"/>
      <c r="Q49" s="8"/>
      <c r="R49" s="8"/>
      <c r="S49" s="8"/>
      <c r="T49" s="8"/>
      <c r="U49" s="8"/>
      <c r="V49" s="8"/>
      <c r="W49" s="8"/>
      <c r="X49" s="8"/>
      <c r="Y49" s="8"/>
      <c r="Z49" s="8"/>
    </row>
    <row r="50" spans="1:26" ht="14.5">
      <c r="A50" s="7"/>
      <c r="B50" s="8"/>
      <c r="C50" s="8"/>
      <c r="D50" s="8"/>
      <c r="E50" s="8"/>
      <c r="F50" s="8"/>
      <c r="G50" s="8"/>
      <c r="H50" s="8"/>
      <c r="I50" s="8"/>
      <c r="J50" s="8"/>
      <c r="K50" s="8"/>
      <c r="L50" s="8"/>
      <c r="M50" s="8"/>
      <c r="N50" s="8"/>
      <c r="O50" s="8"/>
      <c r="P50" s="8"/>
      <c r="Q50" s="8"/>
      <c r="R50" s="8"/>
      <c r="S50" s="8"/>
      <c r="T50" s="8"/>
      <c r="U50" s="8"/>
      <c r="V50" s="8"/>
      <c r="W50" s="8"/>
      <c r="X50" s="8"/>
      <c r="Y50" s="8"/>
      <c r="Z50" s="8"/>
    </row>
    <row r="51" spans="1:26" ht="14.5">
      <c r="A51" s="7"/>
      <c r="B51" s="8"/>
      <c r="C51" s="8"/>
      <c r="D51" s="8"/>
      <c r="E51" s="8"/>
      <c r="F51" s="8"/>
      <c r="G51" s="8"/>
      <c r="H51" s="8"/>
      <c r="I51" s="8"/>
      <c r="J51" s="8"/>
      <c r="K51" s="8"/>
      <c r="L51" s="8"/>
      <c r="M51" s="8"/>
      <c r="N51" s="8"/>
      <c r="O51" s="8"/>
      <c r="P51" s="8"/>
      <c r="Q51" s="8"/>
      <c r="R51" s="8"/>
      <c r="S51" s="8"/>
      <c r="T51" s="8"/>
      <c r="U51" s="8"/>
      <c r="V51" s="8"/>
      <c r="W51" s="8"/>
      <c r="X51" s="8"/>
      <c r="Y51" s="8"/>
      <c r="Z51" s="8"/>
    </row>
    <row r="52" spans="1:26" ht="14.5">
      <c r="A52" s="7"/>
      <c r="B52" s="8"/>
      <c r="C52" s="8"/>
      <c r="D52" s="8"/>
      <c r="E52" s="8"/>
      <c r="F52" s="8"/>
      <c r="G52" s="8"/>
      <c r="H52" s="8"/>
      <c r="I52" s="8"/>
      <c r="J52" s="8"/>
      <c r="K52" s="8"/>
      <c r="L52" s="8"/>
      <c r="M52" s="8"/>
      <c r="N52" s="8"/>
      <c r="O52" s="8"/>
      <c r="P52" s="8"/>
      <c r="Q52" s="8"/>
      <c r="R52" s="8"/>
      <c r="S52" s="8"/>
      <c r="T52" s="8"/>
      <c r="U52" s="8"/>
      <c r="V52" s="8"/>
      <c r="W52" s="8"/>
      <c r="X52" s="8"/>
      <c r="Y52" s="8"/>
      <c r="Z52" s="8"/>
    </row>
    <row r="53" spans="1:26" ht="14.5">
      <c r="A53" s="7"/>
      <c r="B53" s="8"/>
      <c r="C53" s="8"/>
      <c r="D53" s="8"/>
      <c r="E53" s="8"/>
      <c r="F53" s="8"/>
      <c r="G53" s="8"/>
      <c r="H53" s="8"/>
      <c r="I53" s="8"/>
      <c r="J53" s="8"/>
      <c r="K53" s="8"/>
      <c r="L53" s="8"/>
      <c r="M53" s="8"/>
      <c r="N53" s="8"/>
      <c r="O53" s="8"/>
      <c r="P53" s="8"/>
      <c r="Q53" s="8"/>
      <c r="R53" s="8"/>
      <c r="S53" s="8"/>
      <c r="T53" s="8"/>
      <c r="U53" s="8"/>
      <c r="V53" s="8"/>
      <c r="W53" s="8"/>
      <c r="X53" s="8"/>
      <c r="Y53" s="8"/>
      <c r="Z53" s="8"/>
    </row>
    <row r="54" spans="1:26" ht="14.5">
      <c r="A54" s="7"/>
      <c r="B54" s="8"/>
      <c r="C54" s="8"/>
      <c r="D54" s="8"/>
      <c r="E54" s="8"/>
      <c r="F54" s="8"/>
      <c r="G54" s="8"/>
      <c r="H54" s="8"/>
      <c r="I54" s="8"/>
      <c r="J54" s="8"/>
      <c r="K54" s="8"/>
      <c r="L54" s="8"/>
      <c r="M54" s="8"/>
      <c r="N54" s="8"/>
      <c r="O54" s="8"/>
      <c r="P54" s="8"/>
      <c r="Q54" s="8"/>
      <c r="R54" s="8"/>
      <c r="S54" s="8"/>
      <c r="T54" s="8"/>
      <c r="U54" s="8"/>
      <c r="V54" s="8"/>
      <c r="W54" s="8"/>
      <c r="X54" s="8"/>
      <c r="Y54" s="8"/>
      <c r="Z54" s="8"/>
    </row>
    <row r="55" spans="1:26" ht="14.5">
      <c r="A55" s="7"/>
      <c r="B55" s="8"/>
      <c r="C55" s="8"/>
      <c r="D55" s="8"/>
      <c r="E55" s="8"/>
      <c r="F55" s="8"/>
      <c r="G55" s="8"/>
      <c r="H55" s="8"/>
      <c r="I55" s="8"/>
      <c r="J55" s="8"/>
      <c r="K55" s="8"/>
      <c r="L55" s="8"/>
      <c r="M55" s="8"/>
      <c r="N55" s="8"/>
      <c r="O55" s="8"/>
      <c r="P55" s="8"/>
      <c r="Q55" s="8"/>
      <c r="R55" s="8"/>
      <c r="S55" s="8"/>
      <c r="T55" s="8"/>
      <c r="U55" s="8"/>
      <c r="V55" s="8"/>
      <c r="W55" s="8"/>
      <c r="X55" s="8"/>
      <c r="Y55" s="8"/>
      <c r="Z55" s="8"/>
    </row>
    <row r="56" spans="1:26" ht="14.5">
      <c r="A56" s="7"/>
      <c r="B56" s="8"/>
      <c r="C56" s="8"/>
      <c r="D56" s="8"/>
      <c r="E56" s="8"/>
      <c r="F56" s="8"/>
      <c r="G56" s="8"/>
      <c r="H56" s="8"/>
      <c r="I56" s="8"/>
      <c r="J56" s="8"/>
      <c r="K56" s="8"/>
      <c r="L56" s="8"/>
      <c r="M56" s="8"/>
      <c r="N56" s="8"/>
      <c r="O56" s="8"/>
      <c r="P56" s="8"/>
      <c r="Q56" s="8"/>
      <c r="R56" s="8"/>
      <c r="S56" s="8"/>
      <c r="T56" s="8"/>
      <c r="U56" s="8"/>
      <c r="V56" s="8"/>
      <c r="W56" s="8"/>
      <c r="X56" s="8"/>
      <c r="Y56" s="8"/>
      <c r="Z56" s="8"/>
    </row>
    <row r="57" spans="1:26" ht="14.5">
      <c r="A57" s="7"/>
      <c r="B57" s="8"/>
      <c r="C57" s="8"/>
      <c r="D57" s="8"/>
      <c r="E57" s="8"/>
      <c r="F57" s="8"/>
      <c r="G57" s="8"/>
      <c r="H57" s="8"/>
      <c r="I57" s="8"/>
      <c r="J57" s="8"/>
      <c r="K57" s="8"/>
      <c r="L57" s="8"/>
      <c r="M57" s="8"/>
      <c r="N57" s="8"/>
      <c r="O57" s="8"/>
      <c r="P57" s="8"/>
      <c r="Q57" s="8"/>
      <c r="R57" s="8"/>
      <c r="S57" s="8"/>
      <c r="T57" s="8"/>
      <c r="U57" s="8"/>
      <c r="V57" s="8"/>
      <c r="W57" s="8"/>
      <c r="X57" s="8"/>
      <c r="Y57" s="8"/>
      <c r="Z57" s="8"/>
    </row>
    <row r="58" spans="1:26" ht="14.5">
      <c r="A58" s="7"/>
      <c r="B58" s="8"/>
      <c r="C58" s="8"/>
      <c r="D58" s="8"/>
      <c r="E58" s="8"/>
      <c r="F58" s="8"/>
      <c r="G58" s="8"/>
      <c r="H58" s="8"/>
      <c r="I58" s="8"/>
      <c r="J58" s="8"/>
      <c r="K58" s="8"/>
      <c r="L58" s="8"/>
      <c r="M58" s="8"/>
      <c r="N58" s="8"/>
      <c r="O58" s="8"/>
      <c r="P58" s="8"/>
      <c r="Q58" s="8"/>
      <c r="R58" s="8"/>
      <c r="S58" s="8"/>
      <c r="T58" s="8"/>
      <c r="U58" s="8"/>
      <c r="V58" s="8"/>
      <c r="W58" s="8"/>
      <c r="X58" s="8"/>
      <c r="Y58" s="8"/>
      <c r="Z58" s="8"/>
    </row>
    <row r="59" spans="1:26" ht="14.5">
      <c r="A59" s="7"/>
      <c r="B59" s="8"/>
      <c r="C59" s="8"/>
      <c r="D59" s="8"/>
      <c r="E59" s="8"/>
      <c r="F59" s="8"/>
      <c r="G59" s="8"/>
      <c r="H59" s="8"/>
      <c r="I59" s="8"/>
      <c r="J59" s="8"/>
      <c r="K59" s="8"/>
      <c r="L59" s="8"/>
      <c r="M59" s="8"/>
      <c r="N59" s="8"/>
      <c r="O59" s="8"/>
      <c r="P59" s="8"/>
      <c r="Q59" s="8"/>
      <c r="R59" s="8"/>
      <c r="S59" s="8"/>
      <c r="T59" s="8"/>
      <c r="U59" s="8"/>
      <c r="V59" s="8"/>
      <c r="W59" s="8"/>
      <c r="X59" s="8"/>
      <c r="Y59" s="8"/>
      <c r="Z59" s="8"/>
    </row>
    <row r="60" spans="1:26" ht="14.5">
      <c r="A60" s="7"/>
      <c r="B60" s="8"/>
      <c r="C60" s="8"/>
      <c r="D60" s="8"/>
      <c r="E60" s="8"/>
      <c r="F60" s="8"/>
      <c r="G60" s="8"/>
      <c r="H60" s="8"/>
      <c r="I60" s="8"/>
      <c r="J60" s="8"/>
      <c r="K60" s="8"/>
      <c r="L60" s="8"/>
      <c r="M60" s="8"/>
      <c r="N60" s="8"/>
      <c r="O60" s="8"/>
      <c r="P60" s="8"/>
      <c r="Q60" s="8"/>
      <c r="R60" s="8"/>
      <c r="S60" s="8"/>
      <c r="T60" s="8"/>
      <c r="U60" s="8"/>
      <c r="V60" s="8"/>
      <c r="W60" s="8"/>
      <c r="X60" s="8"/>
      <c r="Y60" s="8"/>
      <c r="Z60" s="8"/>
    </row>
    <row r="61" spans="1:26" ht="14.5">
      <c r="A61" s="7"/>
      <c r="B61" s="8"/>
      <c r="C61" s="8"/>
      <c r="D61" s="8"/>
      <c r="E61" s="8"/>
      <c r="F61" s="8"/>
      <c r="G61" s="8"/>
      <c r="H61" s="8"/>
      <c r="I61" s="8"/>
      <c r="J61" s="8"/>
      <c r="K61" s="8"/>
      <c r="L61" s="8"/>
      <c r="M61" s="8"/>
      <c r="N61" s="8"/>
      <c r="O61" s="8"/>
      <c r="P61" s="8"/>
      <c r="Q61" s="8"/>
      <c r="R61" s="8"/>
      <c r="S61" s="8"/>
      <c r="T61" s="8"/>
      <c r="U61" s="8"/>
      <c r="V61" s="8"/>
      <c r="W61" s="8"/>
      <c r="X61" s="8"/>
      <c r="Y61" s="8"/>
      <c r="Z61" s="8"/>
    </row>
    <row r="62" spans="1:26" ht="14.5">
      <c r="A62" s="7"/>
      <c r="B62" s="8"/>
      <c r="C62" s="8"/>
      <c r="D62" s="8"/>
      <c r="E62" s="8"/>
      <c r="F62" s="8"/>
      <c r="G62" s="8"/>
      <c r="H62" s="8"/>
      <c r="I62" s="8"/>
      <c r="J62" s="8"/>
      <c r="K62" s="8"/>
      <c r="L62" s="8"/>
      <c r="M62" s="8"/>
      <c r="N62" s="8"/>
      <c r="O62" s="8"/>
      <c r="P62" s="8"/>
      <c r="Q62" s="8"/>
      <c r="R62" s="8"/>
      <c r="S62" s="8"/>
      <c r="T62" s="8"/>
      <c r="U62" s="8"/>
      <c r="V62" s="8"/>
      <c r="W62" s="8"/>
      <c r="X62" s="8"/>
      <c r="Y62" s="8"/>
      <c r="Z62" s="8"/>
    </row>
    <row r="63" spans="1:26" ht="14.5">
      <c r="A63" s="7"/>
      <c r="B63" s="8"/>
      <c r="C63" s="8"/>
      <c r="D63" s="8"/>
      <c r="E63" s="8"/>
      <c r="F63" s="8"/>
      <c r="G63" s="8"/>
      <c r="H63" s="8"/>
      <c r="I63" s="8"/>
      <c r="J63" s="8"/>
      <c r="K63" s="8"/>
      <c r="L63" s="8"/>
      <c r="M63" s="8"/>
      <c r="N63" s="8"/>
      <c r="O63" s="8"/>
      <c r="P63" s="8"/>
      <c r="Q63" s="8"/>
      <c r="R63" s="8"/>
      <c r="S63" s="8"/>
      <c r="T63" s="8"/>
      <c r="U63" s="8"/>
      <c r="V63" s="8"/>
      <c r="W63" s="8"/>
      <c r="X63" s="8"/>
      <c r="Y63" s="8"/>
      <c r="Z63" s="8"/>
    </row>
    <row r="64" spans="1:26" ht="14.5">
      <c r="A64" s="7"/>
      <c r="B64" s="8"/>
      <c r="C64" s="8"/>
      <c r="D64" s="8"/>
      <c r="E64" s="8"/>
      <c r="F64" s="8"/>
      <c r="G64" s="8"/>
      <c r="H64" s="8"/>
      <c r="I64" s="8"/>
      <c r="J64" s="8"/>
      <c r="K64" s="8"/>
      <c r="L64" s="8"/>
      <c r="M64" s="8"/>
      <c r="N64" s="8"/>
      <c r="O64" s="8"/>
      <c r="P64" s="8"/>
      <c r="Q64" s="8"/>
      <c r="R64" s="8"/>
      <c r="S64" s="8"/>
      <c r="T64" s="8"/>
      <c r="U64" s="8"/>
      <c r="V64" s="8"/>
      <c r="W64" s="8"/>
      <c r="X64" s="8"/>
      <c r="Y64" s="8"/>
      <c r="Z64" s="8"/>
    </row>
    <row r="65" spans="1:26" ht="14.5">
      <c r="A65" s="7"/>
      <c r="B65" s="8"/>
      <c r="C65" s="8"/>
      <c r="D65" s="8"/>
      <c r="E65" s="8"/>
      <c r="F65" s="8"/>
      <c r="G65" s="8"/>
      <c r="H65" s="8"/>
      <c r="I65" s="8"/>
      <c r="J65" s="8"/>
      <c r="K65" s="8"/>
      <c r="L65" s="8"/>
      <c r="M65" s="8"/>
      <c r="N65" s="8"/>
      <c r="O65" s="8"/>
      <c r="P65" s="8"/>
      <c r="Q65" s="8"/>
      <c r="R65" s="8"/>
      <c r="S65" s="8"/>
      <c r="T65" s="8"/>
      <c r="U65" s="8"/>
      <c r="V65" s="8"/>
      <c r="W65" s="8"/>
      <c r="X65" s="8"/>
      <c r="Y65" s="8"/>
      <c r="Z65" s="8"/>
    </row>
    <row r="66" spans="1:26" ht="14.5">
      <c r="A66" s="7"/>
      <c r="B66" s="8"/>
      <c r="C66" s="8"/>
      <c r="D66" s="8"/>
      <c r="E66" s="8"/>
      <c r="F66" s="8"/>
      <c r="G66" s="8"/>
      <c r="H66" s="8"/>
      <c r="I66" s="8"/>
      <c r="J66" s="8"/>
      <c r="K66" s="8"/>
      <c r="L66" s="8"/>
      <c r="M66" s="8"/>
      <c r="N66" s="8"/>
      <c r="O66" s="8"/>
      <c r="P66" s="8"/>
      <c r="Q66" s="8"/>
      <c r="R66" s="8"/>
      <c r="S66" s="8"/>
      <c r="T66" s="8"/>
      <c r="U66" s="8"/>
      <c r="V66" s="8"/>
      <c r="W66" s="8"/>
      <c r="X66" s="8"/>
      <c r="Y66" s="8"/>
      <c r="Z66" s="8"/>
    </row>
    <row r="67" spans="1:26" ht="14.5">
      <c r="A67" s="7"/>
      <c r="B67" s="8"/>
      <c r="C67" s="8"/>
      <c r="D67" s="8"/>
      <c r="E67" s="8"/>
      <c r="F67" s="8"/>
      <c r="G67" s="8"/>
      <c r="H67" s="8"/>
      <c r="I67" s="8"/>
      <c r="J67" s="8"/>
      <c r="K67" s="8"/>
      <c r="L67" s="8"/>
      <c r="M67" s="8"/>
      <c r="N67" s="8"/>
      <c r="O67" s="8"/>
      <c r="P67" s="8"/>
      <c r="Q67" s="8"/>
      <c r="R67" s="8"/>
      <c r="S67" s="8"/>
      <c r="T67" s="8"/>
      <c r="U67" s="8"/>
      <c r="V67" s="8"/>
      <c r="W67" s="8"/>
      <c r="X67" s="8"/>
      <c r="Y67" s="8"/>
      <c r="Z67" s="8"/>
    </row>
    <row r="68" spans="1:26" ht="14.5">
      <c r="A68" s="7"/>
      <c r="B68" s="8"/>
      <c r="C68" s="8"/>
      <c r="D68" s="8"/>
      <c r="E68" s="8"/>
      <c r="F68" s="8"/>
      <c r="G68" s="8"/>
      <c r="H68" s="8"/>
      <c r="I68" s="8"/>
      <c r="J68" s="8"/>
      <c r="K68" s="8"/>
      <c r="L68" s="8"/>
      <c r="M68" s="8"/>
      <c r="N68" s="8"/>
      <c r="O68" s="8"/>
      <c r="P68" s="8"/>
      <c r="Q68" s="8"/>
      <c r="R68" s="8"/>
      <c r="S68" s="8"/>
      <c r="T68" s="8"/>
      <c r="U68" s="8"/>
      <c r="V68" s="8"/>
      <c r="W68" s="8"/>
      <c r="X68" s="8"/>
      <c r="Y68" s="8"/>
      <c r="Z68" s="8"/>
    </row>
    <row r="69" spans="1:26" ht="14.5">
      <c r="A69" s="7"/>
      <c r="B69" s="8"/>
      <c r="C69" s="8"/>
      <c r="D69" s="8"/>
      <c r="E69" s="8"/>
      <c r="F69" s="8"/>
      <c r="G69" s="8"/>
      <c r="H69" s="8"/>
      <c r="I69" s="8"/>
      <c r="J69" s="8"/>
      <c r="K69" s="8"/>
      <c r="L69" s="8"/>
      <c r="M69" s="8"/>
      <c r="N69" s="8"/>
      <c r="O69" s="8"/>
      <c r="P69" s="8"/>
      <c r="Q69" s="8"/>
      <c r="R69" s="8"/>
      <c r="S69" s="8"/>
      <c r="T69" s="8"/>
      <c r="U69" s="8"/>
      <c r="V69" s="8"/>
      <c r="W69" s="8"/>
      <c r="X69" s="8"/>
      <c r="Y69" s="8"/>
      <c r="Z69" s="8"/>
    </row>
    <row r="70" spans="1:26" ht="14.5">
      <c r="A70" s="7"/>
      <c r="B70" s="8"/>
      <c r="C70" s="8"/>
      <c r="D70" s="8"/>
      <c r="E70" s="8"/>
      <c r="F70" s="8"/>
      <c r="G70" s="8"/>
      <c r="H70" s="8"/>
      <c r="I70" s="8"/>
      <c r="J70" s="8"/>
      <c r="K70" s="8"/>
      <c r="L70" s="8"/>
      <c r="M70" s="8"/>
      <c r="N70" s="8"/>
      <c r="O70" s="8"/>
      <c r="P70" s="8"/>
      <c r="Q70" s="8"/>
      <c r="R70" s="8"/>
      <c r="S70" s="8"/>
      <c r="T70" s="8"/>
      <c r="U70" s="8"/>
      <c r="V70" s="8"/>
      <c r="W70" s="8"/>
      <c r="X70" s="8"/>
      <c r="Y70" s="8"/>
      <c r="Z70" s="8"/>
    </row>
    <row r="71" spans="1:26" ht="14.5">
      <c r="A71" s="7"/>
      <c r="B71" s="8"/>
      <c r="C71" s="8"/>
      <c r="D71" s="8"/>
      <c r="E71" s="8"/>
      <c r="F71" s="8"/>
      <c r="G71" s="8"/>
      <c r="H71" s="8"/>
      <c r="I71" s="8"/>
      <c r="J71" s="8"/>
      <c r="K71" s="8"/>
      <c r="L71" s="8"/>
      <c r="M71" s="8"/>
      <c r="N71" s="8"/>
      <c r="O71" s="8"/>
      <c r="P71" s="8"/>
      <c r="Q71" s="8"/>
      <c r="R71" s="8"/>
      <c r="S71" s="8"/>
      <c r="T71" s="8"/>
      <c r="U71" s="8"/>
      <c r="V71" s="8"/>
      <c r="W71" s="8"/>
      <c r="X71" s="8"/>
      <c r="Y71" s="8"/>
      <c r="Z71" s="8"/>
    </row>
    <row r="72" spans="1:26" ht="14.5">
      <c r="A72" s="7"/>
      <c r="B72" s="8"/>
      <c r="C72" s="8"/>
      <c r="D72" s="8"/>
      <c r="E72" s="8"/>
      <c r="F72" s="8"/>
      <c r="G72" s="8"/>
      <c r="H72" s="8"/>
      <c r="I72" s="8"/>
      <c r="J72" s="8"/>
      <c r="K72" s="8"/>
      <c r="L72" s="8"/>
      <c r="M72" s="8"/>
      <c r="N72" s="8"/>
      <c r="O72" s="8"/>
      <c r="P72" s="8"/>
      <c r="Q72" s="8"/>
      <c r="R72" s="8"/>
      <c r="S72" s="8"/>
      <c r="T72" s="8"/>
      <c r="U72" s="8"/>
      <c r="V72" s="8"/>
      <c r="W72" s="8"/>
      <c r="X72" s="8"/>
      <c r="Y72" s="8"/>
      <c r="Z72" s="8"/>
    </row>
    <row r="73" spans="1:26" ht="14.5">
      <c r="A73" s="7"/>
      <c r="B73" s="8"/>
      <c r="C73" s="8"/>
      <c r="D73" s="8"/>
      <c r="E73" s="8"/>
      <c r="F73" s="8"/>
      <c r="G73" s="8"/>
      <c r="H73" s="8"/>
      <c r="I73" s="8"/>
      <c r="J73" s="8"/>
      <c r="K73" s="8"/>
      <c r="L73" s="8"/>
      <c r="M73" s="8"/>
      <c r="N73" s="8"/>
      <c r="O73" s="8"/>
      <c r="P73" s="8"/>
      <c r="Q73" s="8"/>
      <c r="R73" s="8"/>
      <c r="S73" s="8"/>
      <c r="T73" s="8"/>
      <c r="U73" s="8"/>
      <c r="V73" s="8"/>
      <c r="W73" s="8"/>
      <c r="X73" s="8"/>
      <c r="Y73" s="8"/>
      <c r="Z73" s="8"/>
    </row>
    <row r="74" spans="1:26" ht="14.5">
      <c r="A74" s="7"/>
      <c r="B74" s="8"/>
      <c r="C74" s="8"/>
      <c r="D74" s="8"/>
      <c r="E74" s="8"/>
      <c r="F74" s="8"/>
      <c r="G74" s="8"/>
      <c r="H74" s="8"/>
      <c r="I74" s="8"/>
      <c r="J74" s="8"/>
      <c r="K74" s="8"/>
      <c r="L74" s="8"/>
      <c r="M74" s="8"/>
      <c r="N74" s="8"/>
      <c r="O74" s="8"/>
      <c r="P74" s="8"/>
      <c r="Q74" s="8"/>
      <c r="R74" s="8"/>
      <c r="S74" s="8"/>
      <c r="T74" s="8"/>
      <c r="U74" s="8"/>
      <c r="V74" s="8"/>
      <c r="W74" s="8"/>
      <c r="X74" s="8"/>
      <c r="Y74" s="8"/>
      <c r="Z74" s="8"/>
    </row>
    <row r="75" spans="1:26" ht="14.5">
      <c r="A75" s="7"/>
      <c r="B75" s="8"/>
      <c r="C75" s="8"/>
      <c r="D75" s="8"/>
      <c r="E75" s="8"/>
      <c r="F75" s="8"/>
      <c r="G75" s="8"/>
      <c r="H75" s="8"/>
      <c r="I75" s="8"/>
      <c r="J75" s="8"/>
      <c r="K75" s="8"/>
      <c r="L75" s="8"/>
      <c r="M75" s="8"/>
      <c r="N75" s="8"/>
      <c r="O75" s="8"/>
      <c r="P75" s="8"/>
      <c r="Q75" s="8"/>
      <c r="R75" s="8"/>
      <c r="S75" s="8"/>
      <c r="T75" s="8"/>
      <c r="U75" s="8"/>
      <c r="V75" s="8"/>
      <c r="W75" s="8"/>
      <c r="X75" s="8"/>
      <c r="Y75" s="8"/>
      <c r="Z75" s="8"/>
    </row>
    <row r="76" spans="1:26" ht="14.5">
      <c r="A76" s="7"/>
      <c r="B76" s="8"/>
      <c r="C76" s="8"/>
      <c r="D76" s="8"/>
      <c r="E76" s="8"/>
      <c r="F76" s="8"/>
      <c r="G76" s="8"/>
      <c r="H76" s="8"/>
      <c r="I76" s="8"/>
      <c r="J76" s="8"/>
      <c r="K76" s="8"/>
      <c r="L76" s="8"/>
      <c r="M76" s="8"/>
      <c r="N76" s="8"/>
      <c r="O76" s="8"/>
      <c r="P76" s="8"/>
      <c r="Q76" s="8"/>
      <c r="R76" s="8"/>
      <c r="S76" s="8"/>
      <c r="T76" s="8"/>
      <c r="U76" s="8"/>
      <c r="V76" s="8"/>
      <c r="W76" s="8"/>
      <c r="X76" s="8"/>
      <c r="Y76" s="8"/>
      <c r="Z76" s="8"/>
    </row>
    <row r="77" spans="1:26" ht="14.5">
      <c r="A77" s="7"/>
      <c r="B77" s="8"/>
      <c r="C77" s="8"/>
      <c r="D77" s="8"/>
      <c r="E77" s="8"/>
      <c r="F77" s="8"/>
      <c r="G77" s="8"/>
      <c r="H77" s="8"/>
      <c r="I77" s="8"/>
      <c r="J77" s="8"/>
      <c r="K77" s="8"/>
      <c r="L77" s="8"/>
      <c r="M77" s="8"/>
      <c r="N77" s="8"/>
      <c r="O77" s="8"/>
      <c r="P77" s="8"/>
      <c r="Q77" s="8"/>
      <c r="R77" s="8"/>
      <c r="S77" s="8"/>
      <c r="T77" s="8"/>
      <c r="U77" s="8"/>
      <c r="V77" s="8"/>
      <c r="W77" s="8"/>
      <c r="X77" s="8"/>
      <c r="Y77" s="8"/>
      <c r="Z77" s="8"/>
    </row>
    <row r="78" spans="1:26" ht="14.5">
      <c r="A78" s="7"/>
      <c r="B78" s="8"/>
      <c r="C78" s="8"/>
      <c r="D78" s="8"/>
      <c r="E78" s="8"/>
      <c r="F78" s="8"/>
      <c r="G78" s="8"/>
      <c r="H78" s="8"/>
      <c r="I78" s="8"/>
      <c r="J78" s="8"/>
      <c r="K78" s="8"/>
      <c r="L78" s="8"/>
      <c r="M78" s="8"/>
      <c r="N78" s="8"/>
      <c r="O78" s="8"/>
      <c r="P78" s="8"/>
      <c r="Q78" s="8"/>
      <c r="R78" s="8"/>
      <c r="S78" s="8"/>
      <c r="T78" s="8"/>
      <c r="U78" s="8"/>
      <c r="V78" s="8"/>
      <c r="W78" s="8"/>
      <c r="X78" s="8"/>
      <c r="Y78" s="8"/>
      <c r="Z78" s="8"/>
    </row>
    <row r="79" spans="1:26" ht="14.5">
      <c r="A79" s="7"/>
      <c r="B79" s="8"/>
      <c r="C79" s="8"/>
      <c r="D79" s="8"/>
      <c r="E79" s="8"/>
      <c r="F79" s="8"/>
      <c r="G79" s="8"/>
      <c r="H79" s="8"/>
      <c r="I79" s="8"/>
      <c r="J79" s="8"/>
      <c r="K79" s="8"/>
      <c r="L79" s="8"/>
      <c r="M79" s="8"/>
      <c r="N79" s="8"/>
      <c r="O79" s="8"/>
      <c r="P79" s="8"/>
      <c r="Q79" s="8"/>
      <c r="R79" s="8"/>
      <c r="S79" s="8"/>
      <c r="T79" s="8"/>
      <c r="U79" s="8"/>
      <c r="V79" s="8"/>
      <c r="W79" s="8"/>
      <c r="X79" s="8"/>
      <c r="Y79" s="8"/>
      <c r="Z79" s="8"/>
    </row>
    <row r="80" spans="1:26" ht="14.5">
      <c r="A80" s="7"/>
      <c r="B80" s="8"/>
      <c r="C80" s="8"/>
      <c r="D80" s="8"/>
      <c r="E80" s="8"/>
      <c r="F80" s="8"/>
      <c r="G80" s="8"/>
      <c r="H80" s="8"/>
      <c r="I80" s="8"/>
      <c r="J80" s="8"/>
      <c r="K80" s="8"/>
      <c r="L80" s="8"/>
      <c r="M80" s="8"/>
      <c r="N80" s="8"/>
      <c r="O80" s="8"/>
      <c r="P80" s="8"/>
      <c r="Q80" s="8"/>
      <c r="R80" s="8"/>
      <c r="S80" s="8"/>
      <c r="T80" s="8"/>
      <c r="U80" s="8"/>
      <c r="V80" s="8"/>
      <c r="W80" s="8"/>
      <c r="X80" s="8"/>
      <c r="Y80" s="8"/>
      <c r="Z80" s="8"/>
    </row>
    <row r="81" spans="1:26" ht="14.5">
      <c r="A81" s="7"/>
      <c r="B81" s="8"/>
      <c r="C81" s="8"/>
      <c r="D81" s="8"/>
      <c r="E81" s="8"/>
      <c r="F81" s="8"/>
      <c r="G81" s="8"/>
      <c r="H81" s="8"/>
      <c r="I81" s="8"/>
      <c r="J81" s="8"/>
      <c r="K81" s="8"/>
      <c r="L81" s="8"/>
      <c r="M81" s="8"/>
      <c r="N81" s="8"/>
      <c r="O81" s="8"/>
      <c r="P81" s="8"/>
      <c r="Q81" s="8"/>
      <c r="R81" s="8"/>
      <c r="S81" s="8"/>
      <c r="T81" s="8"/>
      <c r="U81" s="8"/>
      <c r="V81" s="8"/>
      <c r="W81" s="8"/>
      <c r="X81" s="8"/>
      <c r="Y81" s="8"/>
      <c r="Z81" s="8"/>
    </row>
    <row r="82" spans="1:26" ht="14.5">
      <c r="A82" s="7"/>
      <c r="B82" s="8"/>
      <c r="C82" s="8"/>
      <c r="D82" s="8"/>
      <c r="E82" s="8"/>
      <c r="F82" s="8"/>
      <c r="G82" s="8"/>
      <c r="H82" s="8"/>
      <c r="I82" s="8"/>
      <c r="J82" s="8"/>
      <c r="K82" s="8"/>
      <c r="L82" s="8"/>
      <c r="M82" s="8"/>
      <c r="N82" s="8"/>
      <c r="O82" s="8"/>
      <c r="P82" s="8"/>
      <c r="Q82" s="8"/>
      <c r="R82" s="8"/>
      <c r="S82" s="8"/>
      <c r="T82" s="8"/>
      <c r="U82" s="8"/>
      <c r="V82" s="8"/>
      <c r="W82" s="8"/>
      <c r="X82" s="8"/>
      <c r="Y82" s="8"/>
      <c r="Z82" s="8"/>
    </row>
    <row r="83" spans="1:26" ht="14.5">
      <c r="A83" s="7"/>
      <c r="B83" s="8"/>
      <c r="C83" s="8"/>
      <c r="D83" s="8"/>
      <c r="E83" s="8"/>
      <c r="F83" s="8"/>
      <c r="G83" s="8"/>
      <c r="H83" s="8"/>
      <c r="I83" s="8"/>
      <c r="J83" s="8"/>
      <c r="K83" s="8"/>
      <c r="L83" s="8"/>
      <c r="M83" s="8"/>
      <c r="N83" s="8"/>
      <c r="O83" s="8"/>
      <c r="P83" s="8"/>
      <c r="Q83" s="8"/>
      <c r="R83" s="8"/>
      <c r="S83" s="8"/>
      <c r="T83" s="8"/>
      <c r="U83" s="8"/>
      <c r="V83" s="8"/>
      <c r="W83" s="8"/>
      <c r="X83" s="8"/>
      <c r="Y83" s="8"/>
      <c r="Z83" s="8"/>
    </row>
    <row r="84" spans="1:26" ht="14.5">
      <c r="A84" s="7"/>
      <c r="B84" s="8"/>
      <c r="C84" s="8"/>
      <c r="D84" s="8"/>
      <c r="E84" s="8"/>
      <c r="F84" s="8"/>
      <c r="G84" s="8"/>
      <c r="H84" s="8"/>
      <c r="I84" s="8"/>
      <c r="J84" s="8"/>
      <c r="K84" s="8"/>
      <c r="L84" s="8"/>
      <c r="M84" s="8"/>
      <c r="N84" s="8"/>
      <c r="O84" s="8"/>
      <c r="P84" s="8"/>
      <c r="Q84" s="8"/>
      <c r="R84" s="8"/>
      <c r="S84" s="8"/>
      <c r="T84" s="8"/>
      <c r="U84" s="8"/>
      <c r="V84" s="8"/>
      <c r="W84" s="8"/>
      <c r="X84" s="8"/>
      <c r="Y84" s="8"/>
      <c r="Z84" s="8"/>
    </row>
    <row r="85" spans="1:26" ht="14.5">
      <c r="A85" s="7"/>
      <c r="B85" s="8"/>
      <c r="C85" s="8"/>
      <c r="D85" s="8"/>
      <c r="E85" s="8"/>
      <c r="F85" s="8"/>
      <c r="G85" s="8"/>
      <c r="H85" s="8"/>
      <c r="I85" s="8"/>
      <c r="J85" s="8"/>
      <c r="K85" s="8"/>
      <c r="L85" s="8"/>
      <c r="M85" s="8"/>
      <c r="N85" s="8"/>
      <c r="O85" s="8"/>
      <c r="P85" s="8"/>
      <c r="Q85" s="8"/>
      <c r="R85" s="8"/>
      <c r="S85" s="8"/>
      <c r="T85" s="8"/>
      <c r="U85" s="8"/>
      <c r="V85" s="8"/>
      <c r="W85" s="8"/>
      <c r="X85" s="8"/>
      <c r="Y85" s="8"/>
      <c r="Z85" s="8"/>
    </row>
    <row r="86" spans="1:26" ht="14.5">
      <c r="A86" s="7"/>
      <c r="B86" s="8"/>
      <c r="C86" s="8"/>
      <c r="D86" s="8"/>
      <c r="E86" s="8"/>
      <c r="F86" s="8"/>
      <c r="G86" s="8"/>
      <c r="H86" s="8"/>
      <c r="I86" s="8"/>
      <c r="J86" s="8"/>
      <c r="K86" s="8"/>
      <c r="L86" s="8"/>
      <c r="M86" s="8"/>
      <c r="N86" s="8"/>
      <c r="O86" s="8"/>
      <c r="P86" s="8"/>
      <c r="Q86" s="8"/>
      <c r="R86" s="8"/>
      <c r="S86" s="8"/>
      <c r="T86" s="8"/>
      <c r="U86" s="8"/>
      <c r="V86" s="8"/>
      <c r="W86" s="8"/>
      <c r="X86" s="8"/>
      <c r="Y86" s="8"/>
      <c r="Z86" s="8"/>
    </row>
    <row r="87" spans="1:26" ht="14.5">
      <c r="A87" s="7"/>
      <c r="B87" s="8"/>
      <c r="C87" s="8"/>
      <c r="D87" s="8"/>
      <c r="E87" s="8"/>
      <c r="F87" s="8"/>
      <c r="G87" s="8"/>
      <c r="H87" s="8"/>
      <c r="I87" s="8"/>
      <c r="J87" s="8"/>
      <c r="K87" s="8"/>
      <c r="L87" s="8"/>
      <c r="M87" s="8"/>
      <c r="N87" s="8"/>
      <c r="O87" s="8"/>
      <c r="P87" s="8"/>
      <c r="Q87" s="8"/>
      <c r="R87" s="8"/>
      <c r="S87" s="8"/>
      <c r="T87" s="8"/>
      <c r="U87" s="8"/>
      <c r="V87" s="8"/>
      <c r="W87" s="8"/>
      <c r="X87" s="8"/>
      <c r="Y87" s="8"/>
      <c r="Z87" s="8"/>
    </row>
    <row r="88" spans="1:26" ht="14.5">
      <c r="A88" s="7"/>
      <c r="B88" s="8"/>
      <c r="C88" s="8"/>
      <c r="D88" s="8"/>
      <c r="E88" s="8"/>
      <c r="F88" s="8"/>
      <c r="G88" s="8"/>
      <c r="H88" s="8"/>
      <c r="I88" s="8"/>
      <c r="J88" s="8"/>
      <c r="K88" s="8"/>
      <c r="L88" s="8"/>
      <c r="M88" s="8"/>
      <c r="N88" s="8"/>
      <c r="O88" s="8"/>
      <c r="P88" s="8"/>
      <c r="Q88" s="8"/>
      <c r="R88" s="8"/>
      <c r="S88" s="8"/>
      <c r="T88" s="8"/>
      <c r="U88" s="8"/>
      <c r="V88" s="8"/>
      <c r="W88" s="8"/>
      <c r="X88" s="8"/>
      <c r="Y88" s="8"/>
      <c r="Z88" s="8"/>
    </row>
    <row r="89" spans="1:26" ht="14.5">
      <c r="A89" s="7"/>
      <c r="B89" s="8"/>
      <c r="C89" s="8"/>
      <c r="D89" s="8"/>
      <c r="E89" s="8"/>
      <c r="F89" s="8"/>
      <c r="G89" s="8"/>
      <c r="H89" s="8"/>
      <c r="I89" s="8"/>
      <c r="J89" s="8"/>
      <c r="K89" s="8"/>
      <c r="L89" s="8"/>
      <c r="M89" s="8"/>
      <c r="N89" s="8"/>
      <c r="O89" s="8"/>
      <c r="P89" s="8"/>
      <c r="Q89" s="8"/>
      <c r="R89" s="8"/>
      <c r="S89" s="8"/>
      <c r="T89" s="8"/>
      <c r="U89" s="8"/>
      <c r="V89" s="8"/>
      <c r="W89" s="8"/>
      <c r="X89" s="8"/>
      <c r="Y89" s="8"/>
      <c r="Z89" s="8"/>
    </row>
    <row r="90" spans="1:26" ht="14.5">
      <c r="A90" s="7"/>
      <c r="B90" s="8"/>
      <c r="C90" s="8"/>
      <c r="D90" s="8"/>
      <c r="E90" s="8"/>
      <c r="F90" s="8"/>
      <c r="G90" s="8"/>
      <c r="H90" s="8"/>
      <c r="I90" s="8"/>
      <c r="J90" s="8"/>
      <c r="K90" s="8"/>
      <c r="L90" s="8"/>
      <c r="M90" s="8"/>
      <c r="N90" s="8"/>
      <c r="O90" s="8"/>
      <c r="P90" s="8"/>
      <c r="Q90" s="8"/>
      <c r="R90" s="8"/>
      <c r="S90" s="8"/>
      <c r="T90" s="8"/>
      <c r="U90" s="8"/>
      <c r="V90" s="8"/>
      <c r="W90" s="8"/>
      <c r="X90" s="8"/>
      <c r="Y90" s="8"/>
      <c r="Z90" s="8"/>
    </row>
    <row r="91" spans="1:26" ht="14.5">
      <c r="A91" s="7"/>
      <c r="B91" s="8"/>
      <c r="C91" s="8"/>
      <c r="D91" s="8"/>
      <c r="E91" s="8"/>
      <c r="F91" s="8"/>
      <c r="G91" s="8"/>
      <c r="H91" s="8"/>
      <c r="I91" s="8"/>
      <c r="J91" s="8"/>
      <c r="K91" s="8"/>
      <c r="L91" s="8"/>
      <c r="M91" s="8"/>
      <c r="N91" s="8"/>
      <c r="O91" s="8"/>
      <c r="P91" s="8"/>
      <c r="Q91" s="8"/>
      <c r="R91" s="8"/>
      <c r="S91" s="8"/>
      <c r="T91" s="8"/>
      <c r="U91" s="8"/>
      <c r="V91" s="8"/>
      <c r="W91" s="8"/>
      <c r="X91" s="8"/>
      <c r="Y91" s="8"/>
      <c r="Z91" s="8"/>
    </row>
    <row r="92" spans="1:26" ht="14.5">
      <c r="A92" s="7"/>
      <c r="B92" s="8"/>
      <c r="C92" s="8"/>
      <c r="D92" s="8"/>
      <c r="E92" s="8"/>
      <c r="F92" s="8"/>
      <c r="G92" s="8"/>
      <c r="H92" s="8"/>
      <c r="I92" s="8"/>
      <c r="J92" s="8"/>
      <c r="K92" s="8"/>
      <c r="L92" s="8"/>
      <c r="M92" s="8"/>
      <c r="N92" s="8"/>
      <c r="O92" s="8"/>
      <c r="P92" s="8"/>
      <c r="Q92" s="8"/>
      <c r="R92" s="8"/>
      <c r="S92" s="8"/>
      <c r="T92" s="8"/>
      <c r="U92" s="8"/>
      <c r="V92" s="8"/>
      <c r="W92" s="8"/>
      <c r="X92" s="8"/>
      <c r="Y92" s="8"/>
      <c r="Z92" s="8"/>
    </row>
    <row r="93" spans="1:26" ht="14.5">
      <c r="A93" s="7"/>
      <c r="B93" s="8"/>
      <c r="C93" s="8"/>
      <c r="D93" s="8"/>
      <c r="E93" s="8"/>
      <c r="F93" s="8"/>
      <c r="G93" s="8"/>
      <c r="H93" s="8"/>
      <c r="I93" s="8"/>
      <c r="J93" s="8"/>
      <c r="K93" s="8"/>
      <c r="L93" s="8"/>
      <c r="M93" s="8"/>
      <c r="N93" s="8"/>
      <c r="O93" s="8"/>
      <c r="P93" s="8"/>
      <c r="Q93" s="8"/>
      <c r="R93" s="8"/>
      <c r="S93" s="8"/>
      <c r="T93" s="8"/>
      <c r="U93" s="8"/>
      <c r="V93" s="8"/>
      <c r="W93" s="8"/>
      <c r="X93" s="8"/>
      <c r="Y93" s="8"/>
      <c r="Z93" s="8"/>
    </row>
    <row r="94" spans="1:26" ht="14.5">
      <c r="A94" s="7"/>
      <c r="B94" s="8"/>
      <c r="C94" s="8"/>
      <c r="D94" s="8"/>
      <c r="E94" s="8"/>
      <c r="F94" s="8"/>
      <c r="G94" s="8"/>
      <c r="H94" s="8"/>
      <c r="I94" s="8"/>
      <c r="J94" s="8"/>
      <c r="K94" s="8"/>
      <c r="L94" s="8"/>
      <c r="M94" s="8"/>
      <c r="N94" s="8"/>
      <c r="O94" s="8"/>
      <c r="P94" s="8"/>
      <c r="Q94" s="8"/>
      <c r="R94" s="8"/>
      <c r="S94" s="8"/>
      <c r="T94" s="8"/>
      <c r="U94" s="8"/>
      <c r="V94" s="8"/>
      <c r="W94" s="8"/>
      <c r="X94" s="8"/>
      <c r="Y94" s="8"/>
      <c r="Z94" s="8"/>
    </row>
    <row r="95" spans="1:26" ht="14.5">
      <c r="A95" s="7"/>
      <c r="B95" s="8"/>
      <c r="C95" s="8"/>
      <c r="D95" s="8"/>
      <c r="E95" s="8"/>
      <c r="F95" s="8"/>
      <c r="G95" s="8"/>
      <c r="H95" s="8"/>
      <c r="I95" s="8"/>
      <c r="J95" s="8"/>
      <c r="K95" s="8"/>
      <c r="L95" s="8"/>
      <c r="M95" s="8"/>
      <c r="N95" s="8"/>
      <c r="O95" s="8"/>
      <c r="P95" s="8"/>
      <c r="Q95" s="8"/>
      <c r="R95" s="8"/>
      <c r="S95" s="8"/>
      <c r="T95" s="8"/>
      <c r="U95" s="8"/>
      <c r="V95" s="8"/>
      <c r="W95" s="8"/>
      <c r="X95" s="8"/>
      <c r="Y95" s="8"/>
      <c r="Z95" s="8"/>
    </row>
    <row r="96" spans="1:26" ht="14.5">
      <c r="A96" s="7"/>
      <c r="B96" s="8"/>
      <c r="C96" s="8"/>
      <c r="D96" s="8"/>
      <c r="E96" s="8"/>
      <c r="F96" s="8"/>
      <c r="G96" s="8"/>
      <c r="H96" s="8"/>
      <c r="I96" s="8"/>
      <c r="J96" s="8"/>
      <c r="K96" s="8"/>
      <c r="L96" s="8"/>
      <c r="M96" s="8"/>
      <c r="N96" s="8"/>
      <c r="O96" s="8"/>
      <c r="P96" s="8"/>
      <c r="Q96" s="8"/>
      <c r="R96" s="8"/>
      <c r="S96" s="8"/>
      <c r="T96" s="8"/>
      <c r="U96" s="8"/>
      <c r="V96" s="8"/>
      <c r="W96" s="8"/>
      <c r="X96" s="8"/>
      <c r="Y96" s="8"/>
      <c r="Z96" s="8"/>
    </row>
    <row r="97" spans="1:26" ht="14.5">
      <c r="A97" s="7"/>
      <c r="B97" s="8"/>
      <c r="C97" s="8"/>
      <c r="D97" s="8"/>
      <c r="E97" s="8"/>
      <c r="F97" s="8"/>
      <c r="G97" s="8"/>
      <c r="H97" s="8"/>
      <c r="I97" s="8"/>
      <c r="J97" s="8"/>
      <c r="K97" s="8"/>
      <c r="L97" s="8"/>
      <c r="M97" s="8"/>
      <c r="N97" s="8"/>
      <c r="O97" s="8"/>
      <c r="P97" s="8"/>
      <c r="Q97" s="8"/>
      <c r="R97" s="8"/>
      <c r="S97" s="8"/>
      <c r="T97" s="8"/>
      <c r="U97" s="8"/>
      <c r="V97" s="8"/>
      <c r="W97" s="8"/>
      <c r="X97" s="8"/>
      <c r="Y97" s="8"/>
      <c r="Z97" s="8"/>
    </row>
    <row r="98" spans="1:26" ht="14.5">
      <c r="A98" s="7"/>
      <c r="B98" s="8"/>
      <c r="C98" s="8"/>
      <c r="D98" s="8"/>
      <c r="E98" s="8"/>
      <c r="F98" s="8"/>
      <c r="G98" s="8"/>
      <c r="H98" s="8"/>
      <c r="I98" s="8"/>
      <c r="J98" s="8"/>
      <c r="K98" s="8"/>
      <c r="L98" s="8"/>
      <c r="M98" s="8"/>
      <c r="N98" s="8"/>
      <c r="O98" s="8"/>
      <c r="P98" s="8"/>
      <c r="Q98" s="8"/>
      <c r="R98" s="8"/>
      <c r="S98" s="8"/>
      <c r="T98" s="8"/>
      <c r="U98" s="8"/>
      <c r="V98" s="8"/>
      <c r="W98" s="8"/>
      <c r="X98" s="8"/>
      <c r="Y98" s="8"/>
      <c r="Z98" s="8"/>
    </row>
    <row r="99" spans="1:26" ht="14.5">
      <c r="A99" s="7"/>
      <c r="B99" s="8"/>
      <c r="C99" s="8"/>
      <c r="D99" s="8"/>
      <c r="E99" s="8"/>
      <c r="F99" s="8"/>
      <c r="G99" s="8"/>
      <c r="H99" s="8"/>
      <c r="I99" s="8"/>
      <c r="J99" s="8"/>
      <c r="K99" s="8"/>
      <c r="L99" s="8"/>
      <c r="M99" s="8"/>
      <c r="N99" s="8"/>
      <c r="O99" s="8"/>
      <c r="P99" s="8"/>
      <c r="Q99" s="8"/>
      <c r="R99" s="8"/>
      <c r="S99" s="8"/>
      <c r="T99" s="8"/>
      <c r="U99" s="8"/>
      <c r="V99" s="8"/>
      <c r="W99" s="8"/>
      <c r="X99" s="8"/>
      <c r="Y99" s="8"/>
      <c r="Z99" s="8"/>
    </row>
    <row r="100" spans="1:26" ht="14.5">
      <c r="A100" s="7"/>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4.5">
      <c r="A101" s="7"/>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4.5">
      <c r="A102" s="7"/>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4.5">
      <c r="A103" s="7"/>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4.5">
      <c r="A104" s="7"/>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4.5">
      <c r="A105" s="7"/>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4.5">
      <c r="A106" s="7"/>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4.5">
      <c r="A107" s="7"/>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4.5">
      <c r="A108" s="7"/>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4.5">
      <c r="A109" s="7"/>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4.5">
      <c r="A110" s="7"/>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4.5">
      <c r="A111" s="7"/>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4.5">
      <c r="A112" s="7"/>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4.5">
      <c r="A113" s="7"/>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4.5">
      <c r="A114" s="7"/>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4.5">
      <c r="A115" s="7"/>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4.5">
      <c r="A116" s="7"/>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4.5">
      <c r="A117" s="7"/>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4.5">
      <c r="A118" s="7"/>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4.5">
      <c r="A119" s="7"/>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4.5">
      <c r="A120" s="7"/>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4.5">
      <c r="A121" s="7"/>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4.5">
      <c r="A122" s="7"/>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4.5">
      <c r="A123" s="7"/>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4.5">
      <c r="A124" s="7"/>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4.5">
      <c r="A125" s="7"/>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4.5">
      <c r="A126" s="7"/>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4.5">
      <c r="A127" s="7"/>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4.5">
      <c r="A128" s="7"/>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4.5">
      <c r="A129" s="7"/>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4.5">
      <c r="A130" s="7"/>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4.5">
      <c r="A131" s="7"/>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4.5">
      <c r="A132" s="7"/>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4.5">
      <c r="A133" s="7"/>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4.5">
      <c r="A134" s="7"/>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4.5">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4.5">
      <c r="A136" s="7"/>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4.5">
      <c r="A137" s="7"/>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4.5">
      <c r="A138" s="7"/>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4.5">
      <c r="A139" s="7"/>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4.5">
      <c r="A140" s="7"/>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4.5">
      <c r="A141" s="7"/>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4.5">
      <c r="A142" s="7"/>
      <c r="B142" s="8"/>
      <c r="C142" s="8"/>
      <c r="D142" s="8"/>
      <c r="E142" s="8"/>
      <c r="F142" s="8"/>
      <c r="G142" s="8"/>
      <c r="H142" s="8"/>
      <c r="I142" s="8"/>
      <c r="J142" s="8"/>
      <c r="K142" s="8"/>
      <c r="L142" s="8"/>
      <c r="M142" s="8"/>
      <c r="N142" s="8"/>
      <c r="O142" s="8"/>
      <c r="P142" s="8"/>
      <c r="Q142" s="6"/>
      <c r="R142" s="6"/>
      <c r="S142" s="6"/>
      <c r="T142" s="6"/>
      <c r="U142" s="6"/>
      <c r="V142" s="6"/>
      <c r="W142" s="6"/>
      <c r="X142" s="6"/>
      <c r="Y142" s="6"/>
      <c r="Z142" s="6"/>
    </row>
    <row r="143" spans="1:26" ht="14.5">
      <c r="A143" s="7"/>
      <c r="B143" s="8"/>
      <c r="C143" s="8"/>
      <c r="D143" s="8"/>
      <c r="E143" s="8"/>
      <c r="F143" s="8"/>
      <c r="G143" s="8"/>
      <c r="H143" s="8"/>
      <c r="I143" s="8"/>
      <c r="J143" s="8"/>
      <c r="K143" s="8"/>
      <c r="L143" s="8"/>
      <c r="M143" s="8"/>
      <c r="N143" s="8"/>
      <c r="O143" s="8"/>
      <c r="P143" s="8"/>
      <c r="Q143" s="6"/>
      <c r="R143" s="6"/>
      <c r="S143" s="6"/>
      <c r="T143" s="6"/>
      <c r="U143" s="6"/>
      <c r="V143" s="6"/>
      <c r="W143" s="6"/>
      <c r="X143" s="6"/>
      <c r="Y143" s="6"/>
      <c r="Z143" s="6"/>
    </row>
    <row r="144" spans="1:26" ht="14.5">
      <c r="A144" s="7"/>
      <c r="B144" s="8"/>
      <c r="C144" s="8"/>
      <c r="D144" s="8"/>
      <c r="E144" s="8"/>
      <c r="F144" s="8"/>
      <c r="G144" s="8"/>
      <c r="H144" s="8"/>
      <c r="I144" s="8"/>
      <c r="J144" s="8"/>
      <c r="K144" s="8"/>
      <c r="L144" s="8"/>
      <c r="M144" s="8"/>
      <c r="N144" s="8"/>
      <c r="O144" s="8"/>
      <c r="P144" s="8"/>
      <c r="Q144" s="6"/>
      <c r="R144" s="6"/>
      <c r="S144" s="6"/>
      <c r="T144" s="6"/>
      <c r="U144" s="6"/>
      <c r="V144" s="6"/>
      <c r="W144" s="6"/>
      <c r="X144" s="6"/>
      <c r="Y144" s="6"/>
      <c r="Z144" s="6"/>
    </row>
    <row r="145" spans="1:26" ht="14.5">
      <c r="A145" s="7"/>
      <c r="B145" s="8"/>
      <c r="C145" s="8"/>
      <c r="D145" s="8"/>
      <c r="E145" s="8"/>
      <c r="F145" s="8"/>
      <c r="G145" s="8"/>
      <c r="H145" s="8"/>
      <c r="I145" s="8"/>
      <c r="J145" s="8"/>
      <c r="K145" s="8"/>
      <c r="L145" s="8"/>
      <c r="M145" s="8"/>
      <c r="N145" s="8"/>
      <c r="O145" s="8"/>
      <c r="P145" s="8"/>
      <c r="Q145" s="6"/>
      <c r="R145" s="6"/>
      <c r="S145" s="6"/>
      <c r="T145" s="6"/>
      <c r="U145" s="6"/>
      <c r="V145" s="6"/>
      <c r="W145" s="6"/>
      <c r="X145" s="6"/>
      <c r="Y145" s="6"/>
      <c r="Z145" s="6"/>
    </row>
    <row r="146" spans="1:26" ht="14.5">
      <c r="A146" s="7"/>
      <c r="B146" s="8"/>
      <c r="C146" s="8"/>
      <c r="D146" s="8"/>
      <c r="E146" s="8"/>
      <c r="F146" s="8"/>
      <c r="G146" s="8"/>
      <c r="H146" s="8"/>
      <c r="I146" s="8"/>
      <c r="J146" s="8"/>
      <c r="K146" s="8"/>
      <c r="L146" s="8"/>
      <c r="M146" s="8"/>
      <c r="N146" s="8"/>
      <c r="O146" s="8"/>
      <c r="P146" s="8"/>
      <c r="Q146" s="6"/>
      <c r="R146" s="6"/>
      <c r="S146" s="6"/>
      <c r="T146" s="6"/>
      <c r="U146" s="6"/>
      <c r="V146" s="6"/>
      <c r="W146" s="6"/>
      <c r="X146" s="6"/>
      <c r="Y146" s="6"/>
      <c r="Z146" s="6"/>
    </row>
    <row r="147" spans="1:26" ht="14.5">
      <c r="A147" s="7"/>
      <c r="B147" s="8"/>
      <c r="C147" s="8"/>
      <c r="D147" s="8"/>
      <c r="E147" s="8"/>
      <c r="F147" s="8"/>
      <c r="G147" s="8"/>
      <c r="H147" s="8"/>
      <c r="I147" s="8"/>
      <c r="J147" s="8"/>
      <c r="K147" s="8"/>
      <c r="L147" s="8"/>
      <c r="M147" s="8"/>
      <c r="N147" s="8"/>
      <c r="O147" s="8"/>
      <c r="P147" s="8"/>
      <c r="Q147" s="6"/>
      <c r="R147" s="6"/>
      <c r="S147" s="6"/>
      <c r="T147" s="6"/>
      <c r="U147" s="6"/>
      <c r="V147" s="6"/>
      <c r="W147" s="6"/>
      <c r="X147" s="6"/>
      <c r="Y147" s="6"/>
      <c r="Z147" s="6"/>
    </row>
    <row r="148" spans="1:26" ht="14.5">
      <c r="A148" s="7"/>
      <c r="B148" s="8"/>
      <c r="C148" s="8"/>
      <c r="D148" s="8"/>
      <c r="E148" s="8"/>
      <c r="F148" s="8"/>
      <c r="G148" s="8"/>
      <c r="H148" s="8"/>
      <c r="I148" s="8"/>
      <c r="J148" s="8"/>
      <c r="K148" s="8"/>
      <c r="L148" s="8"/>
      <c r="M148" s="8"/>
      <c r="N148" s="8"/>
      <c r="O148" s="8"/>
      <c r="P148" s="8"/>
      <c r="Q148" s="6"/>
      <c r="R148" s="6"/>
      <c r="S148" s="6"/>
      <c r="T148" s="6"/>
      <c r="U148" s="6"/>
      <c r="V148" s="6"/>
      <c r="W148" s="6"/>
      <c r="X148" s="6"/>
      <c r="Y148" s="6"/>
      <c r="Z148" s="6"/>
    </row>
    <row r="149" spans="1:26" ht="14.5">
      <c r="A149" s="7"/>
      <c r="B149" s="8"/>
      <c r="C149" s="8"/>
      <c r="D149" s="8"/>
      <c r="E149" s="8"/>
      <c r="F149" s="8"/>
      <c r="G149" s="8"/>
      <c r="H149" s="8"/>
      <c r="I149" s="8"/>
      <c r="J149" s="8"/>
      <c r="K149" s="8"/>
      <c r="L149" s="8"/>
      <c r="M149" s="8"/>
      <c r="N149" s="8"/>
      <c r="O149" s="8"/>
      <c r="P149" s="8"/>
      <c r="Q149" s="6"/>
      <c r="R149" s="6"/>
      <c r="S149" s="6"/>
      <c r="T149" s="6"/>
      <c r="U149" s="6"/>
      <c r="V149" s="6"/>
      <c r="W149" s="6"/>
      <c r="X149" s="6"/>
      <c r="Y149" s="6"/>
      <c r="Z149" s="6"/>
    </row>
    <row r="150" spans="1:26" ht="14.5">
      <c r="A150" s="7"/>
      <c r="B150" s="8"/>
      <c r="C150" s="8"/>
      <c r="D150" s="8"/>
      <c r="E150" s="8"/>
      <c r="F150" s="8"/>
      <c r="G150" s="8"/>
      <c r="H150" s="8"/>
      <c r="I150" s="8"/>
      <c r="J150" s="8"/>
      <c r="K150" s="8"/>
      <c r="L150" s="8"/>
      <c r="M150" s="8"/>
      <c r="N150" s="8"/>
      <c r="O150" s="8"/>
      <c r="P150" s="8"/>
      <c r="Q150" s="6"/>
      <c r="R150" s="6"/>
      <c r="S150" s="6"/>
      <c r="T150" s="6"/>
      <c r="U150" s="6"/>
      <c r="V150" s="6"/>
      <c r="W150" s="6"/>
      <c r="X150" s="6"/>
      <c r="Y150" s="6"/>
      <c r="Z150" s="6"/>
    </row>
    <row r="151" spans="1:26" ht="14.5">
      <c r="A151" s="7"/>
      <c r="B151" s="8"/>
      <c r="C151" s="8"/>
      <c r="D151" s="8"/>
      <c r="E151" s="8"/>
      <c r="F151" s="8"/>
      <c r="G151" s="8"/>
      <c r="H151" s="8"/>
      <c r="I151" s="8"/>
      <c r="J151" s="8"/>
      <c r="K151" s="8"/>
      <c r="L151" s="8"/>
      <c r="M151" s="8"/>
      <c r="N151" s="8"/>
      <c r="O151" s="8"/>
      <c r="P151" s="8"/>
      <c r="Q151" s="6"/>
      <c r="R151" s="6"/>
      <c r="S151" s="6"/>
      <c r="T151" s="6"/>
      <c r="U151" s="6"/>
      <c r="V151" s="6"/>
      <c r="W151" s="6"/>
      <c r="X151" s="6"/>
      <c r="Y151" s="6"/>
      <c r="Z151" s="6"/>
    </row>
    <row r="152" spans="1:26" ht="14.5">
      <c r="A152" s="7"/>
      <c r="B152" s="8"/>
      <c r="C152" s="8"/>
      <c r="D152" s="8"/>
      <c r="E152" s="8"/>
      <c r="F152" s="8"/>
      <c r="G152" s="8"/>
      <c r="H152" s="8"/>
      <c r="I152" s="8"/>
      <c r="J152" s="8"/>
      <c r="K152" s="8"/>
      <c r="L152" s="8"/>
      <c r="M152" s="8"/>
      <c r="N152" s="8"/>
      <c r="O152" s="8"/>
      <c r="P152" s="8"/>
      <c r="Q152" s="6"/>
      <c r="R152" s="6"/>
      <c r="S152" s="6"/>
      <c r="T152" s="6"/>
      <c r="U152" s="6"/>
      <c r="V152" s="6"/>
      <c r="W152" s="6"/>
      <c r="X152" s="6"/>
      <c r="Y152" s="6"/>
      <c r="Z152" s="6"/>
    </row>
    <row r="153" spans="1:26" ht="14.5">
      <c r="A153" s="7"/>
      <c r="B153" s="8"/>
      <c r="C153" s="8"/>
      <c r="D153" s="8"/>
      <c r="E153" s="8"/>
      <c r="F153" s="8"/>
      <c r="G153" s="8"/>
      <c r="H153" s="8"/>
      <c r="I153" s="8"/>
      <c r="J153" s="8"/>
      <c r="K153" s="8"/>
      <c r="L153" s="8"/>
      <c r="M153" s="8"/>
      <c r="N153" s="8"/>
      <c r="O153" s="8"/>
      <c r="P153" s="8"/>
      <c r="Q153" s="6"/>
      <c r="R153" s="6"/>
      <c r="S153" s="6"/>
      <c r="T153" s="6"/>
      <c r="U153" s="6"/>
      <c r="V153" s="6"/>
      <c r="W153" s="6"/>
      <c r="X153" s="6"/>
      <c r="Y153" s="6"/>
      <c r="Z153" s="6"/>
    </row>
    <row r="154" spans="1:26" ht="14.5">
      <c r="A154" s="7"/>
      <c r="B154" s="8"/>
      <c r="C154" s="8"/>
      <c r="D154" s="8"/>
      <c r="E154" s="8"/>
      <c r="F154" s="8"/>
      <c r="G154" s="8"/>
      <c r="H154" s="8"/>
      <c r="I154" s="8"/>
      <c r="J154" s="8"/>
      <c r="K154" s="8"/>
      <c r="L154" s="8"/>
      <c r="M154" s="8"/>
      <c r="N154" s="8"/>
      <c r="O154" s="8"/>
      <c r="P154" s="8"/>
      <c r="Q154" s="6"/>
      <c r="R154" s="6"/>
      <c r="S154" s="6"/>
      <c r="T154" s="6"/>
      <c r="U154" s="6"/>
      <c r="V154" s="6"/>
      <c r="W154" s="6"/>
      <c r="X154" s="6"/>
      <c r="Y154" s="6"/>
      <c r="Z154" s="6"/>
    </row>
    <row r="155" spans="1:26" ht="14.5">
      <c r="A155" s="7"/>
      <c r="B155" s="8"/>
      <c r="C155" s="8"/>
      <c r="D155" s="8"/>
      <c r="E155" s="8"/>
      <c r="F155" s="8"/>
      <c r="G155" s="8"/>
      <c r="H155" s="8"/>
      <c r="I155" s="8"/>
      <c r="J155" s="8"/>
      <c r="K155" s="8"/>
      <c r="L155" s="8"/>
      <c r="M155" s="8"/>
      <c r="N155" s="8"/>
      <c r="O155" s="8"/>
      <c r="P155" s="8"/>
      <c r="Q155" s="6"/>
      <c r="R155" s="6"/>
      <c r="S155" s="6"/>
      <c r="T155" s="6"/>
      <c r="U155" s="6"/>
      <c r="V155" s="6"/>
      <c r="W155" s="6"/>
      <c r="X155" s="6"/>
      <c r="Y155" s="6"/>
      <c r="Z155" s="6"/>
    </row>
    <row r="156" spans="1:26" ht="14.5">
      <c r="A156" s="7"/>
      <c r="B156" s="8"/>
      <c r="C156" s="8"/>
      <c r="D156" s="8"/>
      <c r="E156" s="8"/>
      <c r="F156" s="8"/>
      <c r="G156" s="8"/>
      <c r="H156" s="8"/>
      <c r="I156" s="8"/>
      <c r="J156" s="8"/>
      <c r="K156" s="8"/>
      <c r="L156" s="8"/>
      <c r="M156" s="8"/>
      <c r="N156" s="8"/>
      <c r="O156" s="8"/>
      <c r="P156" s="8"/>
      <c r="Q156" s="6"/>
      <c r="R156" s="6"/>
      <c r="S156" s="6"/>
      <c r="T156" s="6"/>
      <c r="U156" s="6"/>
      <c r="V156" s="6"/>
      <c r="W156" s="6"/>
      <c r="X156" s="6"/>
      <c r="Y156" s="6"/>
      <c r="Z156" s="6"/>
    </row>
    <row r="157" spans="1:26" ht="14.5">
      <c r="A157" s="7"/>
      <c r="B157" s="8"/>
      <c r="C157" s="8"/>
      <c r="D157" s="8"/>
      <c r="E157" s="8"/>
      <c r="F157" s="8"/>
      <c r="G157" s="8"/>
      <c r="H157" s="8"/>
      <c r="I157" s="8"/>
      <c r="J157" s="8"/>
      <c r="K157" s="8"/>
      <c r="L157" s="8"/>
      <c r="M157" s="8"/>
      <c r="N157" s="8"/>
      <c r="O157" s="8"/>
      <c r="P157" s="8"/>
      <c r="Q157" s="6"/>
      <c r="R157" s="6"/>
      <c r="S157" s="6"/>
      <c r="T157" s="6"/>
      <c r="U157" s="6"/>
      <c r="V157" s="6"/>
      <c r="W157" s="6"/>
      <c r="X157" s="6"/>
      <c r="Y157" s="6"/>
      <c r="Z157" s="6"/>
    </row>
    <row r="158" spans="1:26" ht="14.5">
      <c r="A158" s="7"/>
      <c r="B158" s="8"/>
      <c r="C158" s="8"/>
      <c r="D158" s="8"/>
      <c r="E158" s="8"/>
      <c r="F158" s="8"/>
      <c r="G158" s="8"/>
      <c r="H158" s="8"/>
      <c r="I158" s="8"/>
      <c r="J158" s="8"/>
      <c r="K158" s="8"/>
      <c r="L158" s="8"/>
      <c r="M158" s="8"/>
      <c r="N158" s="8"/>
      <c r="O158" s="8"/>
      <c r="P158" s="8"/>
      <c r="Q158" s="6"/>
      <c r="R158" s="6"/>
      <c r="S158" s="6"/>
      <c r="T158" s="6"/>
      <c r="U158" s="6"/>
      <c r="V158" s="6"/>
      <c r="W158" s="6"/>
      <c r="X158" s="6"/>
      <c r="Y158" s="6"/>
      <c r="Z158" s="6"/>
    </row>
    <row r="159" spans="1:26" ht="14.5">
      <c r="A159" s="7"/>
      <c r="B159" s="8"/>
      <c r="C159" s="8"/>
      <c r="D159" s="8"/>
      <c r="E159" s="8"/>
      <c r="F159" s="8"/>
      <c r="G159" s="8"/>
      <c r="H159" s="8"/>
      <c r="I159" s="8"/>
      <c r="J159" s="8"/>
      <c r="K159" s="8"/>
      <c r="L159" s="8"/>
      <c r="M159" s="8"/>
      <c r="N159" s="8"/>
      <c r="O159" s="8"/>
      <c r="P159" s="8"/>
      <c r="Q159" s="6"/>
      <c r="R159" s="6"/>
      <c r="S159" s="6"/>
      <c r="T159" s="6"/>
      <c r="U159" s="6"/>
      <c r="V159" s="6"/>
      <c r="W159" s="6"/>
      <c r="X159" s="6"/>
      <c r="Y159" s="6"/>
      <c r="Z159" s="6"/>
    </row>
    <row r="160" spans="1:26" ht="14.5">
      <c r="A160" s="7"/>
      <c r="B160" s="8"/>
      <c r="C160" s="8"/>
      <c r="D160" s="8"/>
      <c r="E160" s="8"/>
      <c r="F160" s="8"/>
      <c r="G160" s="8"/>
      <c r="H160" s="8"/>
      <c r="I160" s="8"/>
      <c r="J160" s="8"/>
      <c r="K160" s="8"/>
      <c r="L160" s="8"/>
      <c r="M160" s="8"/>
      <c r="N160" s="8"/>
      <c r="O160" s="8"/>
      <c r="P160" s="8"/>
      <c r="Q160" s="6"/>
      <c r="R160" s="6"/>
      <c r="S160" s="6"/>
      <c r="T160" s="6"/>
      <c r="U160" s="6"/>
      <c r="V160" s="6"/>
      <c r="W160" s="6"/>
      <c r="X160" s="6"/>
      <c r="Y160" s="6"/>
      <c r="Z160" s="6"/>
    </row>
    <row r="161" spans="1:26" ht="14.5">
      <c r="A161" s="7"/>
      <c r="B161" s="8"/>
      <c r="C161" s="8"/>
      <c r="D161" s="8"/>
      <c r="E161" s="8"/>
      <c r="F161" s="8"/>
      <c r="G161" s="8"/>
      <c r="H161" s="8"/>
      <c r="I161" s="8"/>
      <c r="J161" s="8"/>
      <c r="K161" s="8"/>
      <c r="L161" s="8"/>
      <c r="M161" s="8"/>
      <c r="N161" s="8"/>
      <c r="O161" s="8"/>
      <c r="P161" s="8"/>
      <c r="Q161" s="6"/>
      <c r="R161" s="6"/>
      <c r="S161" s="6"/>
      <c r="T161" s="6"/>
      <c r="U161" s="6"/>
      <c r="V161" s="6"/>
      <c r="W161" s="6"/>
      <c r="X161" s="6"/>
      <c r="Y161" s="6"/>
      <c r="Z161" s="6"/>
    </row>
    <row r="162" spans="1:26" ht="14.5">
      <c r="A162" s="7"/>
      <c r="B162" s="8"/>
      <c r="C162" s="8"/>
      <c r="D162" s="8"/>
      <c r="E162" s="8"/>
      <c r="F162" s="8"/>
      <c r="G162" s="8"/>
      <c r="H162" s="8"/>
      <c r="I162" s="8"/>
      <c r="J162" s="8"/>
      <c r="K162" s="8"/>
      <c r="L162" s="8"/>
      <c r="M162" s="8"/>
      <c r="N162" s="8"/>
      <c r="O162" s="8"/>
      <c r="P162" s="8"/>
      <c r="Q162" s="6"/>
      <c r="R162" s="6"/>
      <c r="S162" s="6"/>
      <c r="T162" s="6"/>
      <c r="U162" s="6"/>
      <c r="V162" s="6"/>
      <c r="W162" s="6"/>
      <c r="X162" s="6"/>
      <c r="Y162" s="6"/>
      <c r="Z162" s="6"/>
    </row>
    <row r="163" spans="1:26" ht="14.5">
      <c r="A163" s="7"/>
      <c r="B163" s="8"/>
      <c r="C163" s="8"/>
      <c r="D163" s="8"/>
      <c r="E163" s="8"/>
      <c r="F163" s="8"/>
      <c r="G163" s="8"/>
      <c r="H163" s="8"/>
      <c r="I163" s="8"/>
      <c r="J163" s="8"/>
      <c r="K163" s="8"/>
      <c r="L163" s="8"/>
      <c r="M163" s="8"/>
      <c r="N163" s="8"/>
      <c r="O163" s="8"/>
      <c r="P163" s="8"/>
      <c r="Q163" s="6"/>
      <c r="R163" s="6"/>
      <c r="S163" s="6"/>
      <c r="T163" s="6"/>
      <c r="U163" s="6"/>
      <c r="V163" s="6"/>
      <c r="W163" s="6"/>
      <c r="X163" s="6"/>
      <c r="Y163" s="6"/>
      <c r="Z163" s="6"/>
    </row>
    <row r="164" spans="1:26" ht="14.5">
      <c r="A164" s="7"/>
      <c r="B164" s="8"/>
      <c r="C164" s="8"/>
      <c r="D164" s="8"/>
      <c r="E164" s="8"/>
      <c r="F164" s="8"/>
      <c r="G164" s="8"/>
      <c r="H164" s="8"/>
      <c r="I164" s="8"/>
      <c r="J164" s="8"/>
      <c r="K164" s="8"/>
      <c r="L164" s="8"/>
      <c r="M164" s="8"/>
      <c r="N164" s="8"/>
      <c r="O164" s="8"/>
      <c r="P164" s="8"/>
      <c r="Q164" s="6"/>
      <c r="R164" s="6"/>
      <c r="S164" s="6"/>
      <c r="T164" s="6"/>
      <c r="U164" s="6"/>
      <c r="V164" s="6"/>
      <c r="W164" s="6"/>
      <c r="X164" s="6"/>
      <c r="Y164" s="6"/>
      <c r="Z164" s="6"/>
    </row>
    <row r="165" spans="1:26" ht="14.5">
      <c r="A165" s="7"/>
      <c r="B165" s="8"/>
      <c r="C165" s="8"/>
      <c r="D165" s="8"/>
      <c r="E165" s="8"/>
      <c r="F165" s="8"/>
      <c r="G165" s="8"/>
      <c r="H165" s="8"/>
      <c r="I165" s="8"/>
      <c r="J165" s="8"/>
      <c r="K165" s="8"/>
      <c r="L165" s="8"/>
      <c r="M165" s="8"/>
      <c r="N165" s="8"/>
      <c r="O165" s="8"/>
      <c r="P165" s="8"/>
      <c r="Q165" s="6"/>
      <c r="R165" s="6"/>
      <c r="S165" s="6"/>
      <c r="T165" s="6"/>
      <c r="U165" s="6"/>
      <c r="V165" s="6"/>
      <c r="W165" s="6"/>
      <c r="X165" s="6"/>
      <c r="Y165" s="6"/>
      <c r="Z165" s="6"/>
    </row>
    <row r="166" spans="1:26" ht="14.5">
      <c r="A166" s="7"/>
      <c r="B166" s="8"/>
      <c r="C166" s="8"/>
      <c r="D166" s="8"/>
      <c r="E166" s="8"/>
      <c r="F166" s="8"/>
      <c r="G166" s="8"/>
      <c r="H166" s="8"/>
      <c r="I166" s="8"/>
      <c r="J166" s="8"/>
      <c r="K166" s="8"/>
      <c r="L166" s="8"/>
      <c r="M166" s="8"/>
      <c r="N166" s="8"/>
      <c r="O166" s="8"/>
      <c r="P166" s="8"/>
      <c r="Q166" s="6"/>
      <c r="R166" s="6"/>
      <c r="S166" s="6"/>
      <c r="T166" s="6"/>
      <c r="U166" s="6"/>
      <c r="V166" s="6"/>
      <c r="W166" s="6"/>
      <c r="X166" s="6"/>
      <c r="Y166" s="6"/>
      <c r="Z166" s="6"/>
    </row>
    <row r="167" spans="1:26" ht="14.5">
      <c r="A167" s="7"/>
      <c r="B167" s="8"/>
      <c r="C167" s="8"/>
      <c r="D167" s="8"/>
      <c r="E167" s="8"/>
      <c r="F167" s="8"/>
      <c r="G167" s="8"/>
      <c r="H167" s="8"/>
      <c r="I167" s="8"/>
      <c r="J167" s="8"/>
      <c r="K167" s="8"/>
      <c r="L167" s="8"/>
      <c r="M167" s="8"/>
      <c r="N167" s="8"/>
      <c r="O167" s="8"/>
      <c r="P167" s="8"/>
      <c r="Q167" s="6"/>
      <c r="R167" s="6"/>
      <c r="S167" s="6"/>
      <c r="T167" s="6"/>
      <c r="U167" s="6"/>
      <c r="V167" s="6"/>
      <c r="W167" s="6"/>
      <c r="X167" s="6"/>
      <c r="Y167" s="6"/>
      <c r="Z167" s="6"/>
    </row>
    <row r="168" spans="1:26" ht="14.5">
      <c r="A168" s="7"/>
      <c r="B168" s="8"/>
      <c r="C168" s="8"/>
      <c r="D168" s="8"/>
      <c r="E168" s="8"/>
      <c r="F168" s="8"/>
      <c r="G168" s="8"/>
      <c r="H168" s="8"/>
      <c r="I168" s="8"/>
      <c r="J168" s="8"/>
      <c r="K168" s="8"/>
      <c r="L168" s="8"/>
      <c r="M168" s="8"/>
      <c r="N168" s="8"/>
      <c r="O168" s="8"/>
      <c r="P168" s="8"/>
      <c r="Q168" s="6"/>
      <c r="R168" s="6"/>
      <c r="S168" s="6"/>
      <c r="T168" s="6"/>
      <c r="U168" s="6"/>
      <c r="V168" s="6"/>
      <c r="W168" s="6"/>
      <c r="X168" s="6"/>
      <c r="Y168" s="6"/>
      <c r="Z168" s="6"/>
    </row>
    <row r="169" spans="1:26" ht="14.5">
      <c r="A169" s="7"/>
      <c r="B169" s="8"/>
      <c r="C169" s="8"/>
      <c r="D169" s="8"/>
      <c r="E169" s="8"/>
      <c r="F169" s="8"/>
      <c r="G169" s="8"/>
      <c r="H169" s="8"/>
      <c r="I169" s="8"/>
      <c r="J169" s="8"/>
      <c r="K169" s="8"/>
      <c r="L169" s="8"/>
      <c r="M169" s="8"/>
      <c r="N169" s="8"/>
      <c r="O169" s="8"/>
      <c r="P169" s="8"/>
      <c r="Q169" s="6"/>
      <c r="R169" s="6"/>
      <c r="S169" s="6"/>
      <c r="T169" s="6"/>
      <c r="U169" s="6"/>
      <c r="V169" s="6"/>
      <c r="W169" s="6"/>
      <c r="X169" s="6"/>
      <c r="Y169" s="6"/>
      <c r="Z169" s="6"/>
    </row>
    <row r="170" spans="1:26" ht="14.5">
      <c r="A170" s="7"/>
      <c r="B170" s="8"/>
      <c r="C170" s="8"/>
      <c r="D170" s="8"/>
      <c r="E170" s="8"/>
      <c r="F170" s="8"/>
      <c r="G170" s="8"/>
      <c r="H170" s="8"/>
      <c r="I170" s="8"/>
      <c r="J170" s="8"/>
      <c r="K170" s="8"/>
      <c r="L170" s="8"/>
      <c r="M170" s="8"/>
      <c r="N170" s="8"/>
      <c r="O170" s="8"/>
      <c r="P170" s="8"/>
      <c r="Q170" s="6"/>
      <c r="R170" s="6"/>
      <c r="S170" s="6"/>
      <c r="T170" s="6"/>
      <c r="U170" s="6"/>
      <c r="V170" s="6"/>
      <c r="W170" s="6"/>
      <c r="X170" s="6"/>
      <c r="Y170" s="6"/>
      <c r="Z170" s="6"/>
    </row>
    <row r="171" spans="1:26" ht="14.5">
      <c r="A171" s="7"/>
      <c r="B171" s="8"/>
      <c r="C171" s="8"/>
      <c r="D171" s="8"/>
      <c r="E171" s="8"/>
      <c r="F171" s="8"/>
      <c r="G171" s="8"/>
      <c r="H171" s="8"/>
      <c r="I171" s="8"/>
      <c r="J171" s="8"/>
      <c r="K171" s="8"/>
      <c r="L171" s="8"/>
      <c r="M171" s="8"/>
      <c r="N171" s="8"/>
      <c r="O171" s="8"/>
      <c r="P171" s="8"/>
      <c r="Q171" s="6"/>
      <c r="R171" s="6"/>
      <c r="S171" s="6"/>
      <c r="T171" s="6"/>
      <c r="U171" s="6"/>
      <c r="V171" s="6"/>
      <c r="W171" s="6"/>
      <c r="X171" s="6"/>
      <c r="Y171" s="6"/>
      <c r="Z171" s="6"/>
    </row>
    <row r="172" spans="1:26" ht="14.5">
      <c r="A172" s="7"/>
      <c r="B172" s="8"/>
      <c r="C172" s="8"/>
      <c r="D172" s="8"/>
      <c r="E172" s="8"/>
      <c r="F172" s="8"/>
      <c r="G172" s="8"/>
      <c r="H172" s="8"/>
      <c r="I172" s="8"/>
      <c r="J172" s="8"/>
      <c r="K172" s="8"/>
      <c r="L172" s="8"/>
      <c r="M172" s="8"/>
      <c r="N172" s="8"/>
      <c r="O172" s="8"/>
      <c r="P172" s="8"/>
      <c r="Q172" s="6"/>
      <c r="R172" s="6"/>
      <c r="S172" s="6"/>
      <c r="T172" s="6"/>
      <c r="U172" s="6"/>
      <c r="V172" s="6"/>
      <c r="W172" s="6"/>
      <c r="X172" s="6"/>
      <c r="Y172" s="6"/>
      <c r="Z172" s="6"/>
    </row>
    <row r="173" spans="1:26" ht="14.5">
      <c r="A173" s="7"/>
      <c r="B173" s="8"/>
      <c r="C173" s="8"/>
      <c r="D173" s="8"/>
      <c r="E173" s="8"/>
      <c r="F173" s="8"/>
      <c r="G173" s="8"/>
      <c r="H173" s="8"/>
      <c r="I173" s="8"/>
      <c r="J173" s="8"/>
      <c r="K173" s="8"/>
      <c r="L173" s="8"/>
      <c r="M173" s="8"/>
      <c r="N173" s="8"/>
      <c r="O173" s="8"/>
      <c r="P173" s="8"/>
      <c r="Q173" s="6"/>
      <c r="R173" s="6"/>
      <c r="S173" s="6"/>
      <c r="T173" s="6"/>
      <c r="U173" s="6"/>
      <c r="V173" s="6"/>
      <c r="W173" s="6"/>
      <c r="X173" s="6"/>
      <c r="Y173" s="6"/>
      <c r="Z173" s="6"/>
    </row>
    <row r="174" spans="1:26" ht="14.5">
      <c r="A174" s="7"/>
      <c r="B174" s="8"/>
      <c r="C174" s="8"/>
      <c r="D174" s="8"/>
      <c r="E174" s="8"/>
      <c r="F174" s="8"/>
      <c r="G174" s="8"/>
      <c r="H174" s="8"/>
      <c r="I174" s="8"/>
      <c r="J174" s="8"/>
      <c r="K174" s="8"/>
      <c r="L174" s="8"/>
      <c r="M174" s="8"/>
      <c r="N174" s="8"/>
      <c r="O174" s="8"/>
      <c r="P174" s="8"/>
      <c r="Q174" s="6"/>
      <c r="R174" s="6"/>
      <c r="S174" s="6"/>
      <c r="T174" s="6"/>
      <c r="U174" s="6"/>
      <c r="V174" s="6"/>
      <c r="W174" s="6"/>
      <c r="X174" s="6"/>
      <c r="Y174" s="6"/>
      <c r="Z174" s="6"/>
    </row>
    <row r="175" spans="1:26" ht="14.5">
      <c r="A175" s="7"/>
      <c r="B175" s="8"/>
      <c r="C175" s="8"/>
      <c r="D175" s="8"/>
      <c r="E175" s="8"/>
      <c r="F175" s="8"/>
      <c r="G175" s="8"/>
      <c r="H175" s="8"/>
      <c r="I175" s="8"/>
      <c r="J175" s="8"/>
      <c r="K175" s="8"/>
      <c r="L175" s="8"/>
      <c r="M175" s="8"/>
      <c r="N175" s="8"/>
      <c r="O175" s="8"/>
      <c r="P175" s="8"/>
      <c r="Q175" s="6"/>
      <c r="R175" s="6"/>
      <c r="S175" s="6"/>
      <c r="T175" s="6"/>
      <c r="U175" s="6"/>
      <c r="V175" s="6"/>
      <c r="W175" s="6"/>
      <c r="X175" s="6"/>
      <c r="Y175" s="6"/>
      <c r="Z175" s="6"/>
    </row>
    <row r="176" spans="1:26" ht="14.5">
      <c r="A176" s="7"/>
      <c r="B176" s="8"/>
      <c r="C176" s="8"/>
      <c r="D176" s="8"/>
      <c r="E176" s="8"/>
      <c r="F176" s="8"/>
      <c r="G176" s="8"/>
      <c r="H176" s="8"/>
      <c r="I176" s="8"/>
      <c r="J176" s="8"/>
      <c r="K176" s="8"/>
      <c r="L176" s="8"/>
      <c r="M176" s="8"/>
      <c r="N176" s="8"/>
      <c r="O176" s="8"/>
      <c r="P176" s="8"/>
      <c r="Q176" s="6"/>
      <c r="R176" s="6"/>
      <c r="S176" s="6"/>
      <c r="T176" s="6"/>
      <c r="U176" s="6"/>
      <c r="V176" s="6"/>
      <c r="W176" s="6"/>
      <c r="X176" s="6"/>
      <c r="Y176" s="6"/>
      <c r="Z176" s="6"/>
    </row>
    <row r="177" spans="1:26" ht="14.5">
      <c r="A177" s="7"/>
      <c r="B177" s="8"/>
      <c r="C177" s="8"/>
      <c r="D177" s="8"/>
      <c r="E177" s="8"/>
      <c r="F177" s="8"/>
      <c r="G177" s="8"/>
      <c r="H177" s="8"/>
      <c r="I177" s="8"/>
      <c r="J177" s="8"/>
      <c r="K177" s="8"/>
      <c r="L177" s="8"/>
      <c r="M177" s="8"/>
      <c r="N177" s="8"/>
      <c r="O177" s="8"/>
      <c r="P177" s="8"/>
      <c r="Q177" s="6"/>
      <c r="R177" s="6"/>
      <c r="S177" s="6"/>
      <c r="T177" s="6"/>
      <c r="U177" s="6"/>
      <c r="V177" s="6"/>
      <c r="W177" s="6"/>
      <c r="X177" s="6"/>
      <c r="Y177" s="6"/>
      <c r="Z177" s="6"/>
    </row>
    <row r="178" spans="1:26" ht="14.5">
      <c r="A178" s="7"/>
      <c r="B178" s="8"/>
      <c r="C178" s="8"/>
      <c r="D178" s="8"/>
      <c r="E178" s="8"/>
      <c r="F178" s="8"/>
      <c r="G178" s="8"/>
      <c r="H178" s="8"/>
      <c r="I178" s="8"/>
      <c r="J178" s="8"/>
      <c r="K178" s="8"/>
      <c r="L178" s="8"/>
      <c r="M178" s="8"/>
      <c r="N178" s="8"/>
      <c r="O178" s="8"/>
      <c r="P178" s="8"/>
      <c r="Q178" s="6"/>
      <c r="R178" s="6"/>
      <c r="S178" s="6"/>
      <c r="T178" s="6"/>
      <c r="U178" s="6"/>
      <c r="V178" s="6"/>
      <c r="W178" s="6"/>
      <c r="X178" s="6"/>
      <c r="Y178" s="6"/>
      <c r="Z178" s="6"/>
    </row>
    <row r="179" spans="1:26" ht="14.5">
      <c r="A179" s="7"/>
      <c r="B179" s="8"/>
      <c r="C179" s="8"/>
      <c r="D179" s="8"/>
      <c r="E179" s="8"/>
      <c r="F179" s="8"/>
      <c r="G179" s="8"/>
      <c r="H179" s="8"/>
      <c r="I179" s="8"/>
      <c r="J179" s="8"/>
      <c r="K179" s="8"/>
      <c r="L179" s="8"/>
      <c r="M179" s="8"/>
      <c r="N179" s="8"/>
      <c r="O179" s="8"/>
      <c r="P179" s="8"/>
      <c r="Q179" s="6"/>
      <c r="R179" s="6"/>
      <c r="S179" s="6"/>
      <c r="T179" s="6"/>
      <c r="U179" s="6"/>
      <c r="V179" s="6"/>
      <c r="W179" s="6"/>
      <c r="X179" s="6"/>
      <c r="Y179" s="6"/>
      <c r="Z179" s="6"/>
    </row>
    <row r="180" spans="1:26" ht="14.5">
      <c r="A180" s="7"/>
      <c r="B180" s="8"/>
      <c r="C180" s="8"/>
      <c r="D180" s="8"/>
      <c r="E180" s="8"/>
      <c r="F180" s="8"/>
      <c r="G180" s="8"/>
      <c r="H180" s="8"/>
      <c r="I180" s="8"/>
      <c r="J180" s="8"/>
      <c r="K180" s="8"/>
      <c r="L180" s="8"/>
      <c r="M180" s="8"/>
      <c r="N180" s="8"/>
      <c r="O180" s="8"/>
      <c r="P180" s="8"/>
      <c r="Q180" s="6"/>
      <c r="R180" s="6"/>
      <c r="S180" s="6"/>
      <c r="T180" s="6"/>
      <c r="U180" s="6"/>
      <c r="V180" s="6"/>
      <c r="W180" s="6"/>
      <c r="X180" s="6"/>
      <c r="Y180" s="6"/>
      <c r="Z180" s="6"/>
    </row>
    <row r="181" spans="1:26" ht="14.5">
      <c r="A181" s="7"/>
      <c r="B181" s="8"/>
      <c r="C181" s="8"/>
      <c r="D181" s="8"/>
      <c r="E181" s="8"/>
      <c r="F181" s="8"/>
      <c r="G181" s="8"/>
      <c r="H181" s="8"/>
      <c r="I181" s="8"/>
      <c r="J181" s="8"/>
      <c r="K181" s="8"/>
      <c r="L181" s="8"/>
      <c r="M181" s="8"/>
      <c r="N181" s="8"/>
      <c r="O181" s="8"/>
      <c r="P181" s="8"/>
      <c r="Q181" s="6"/>
      <c r="R181" s="6"/>
      <c r="S181" s="6"/>
      <c r="T181" s="6"/>
      <c r="U181" s="6"/>
      <c r="V181" s="6"/>
      <c r="W181" s="6"/>
      <c r="X181" s="6"/>
      <c r="Y181" s="6"/>
      <c r="Z181" s="6"/>
    </row>
    <row r="182" spans="1:26" ht="14.5">
      <c r="A182" s="7"/>
      <c r="B182" s="8"/>
      <c r="C182" s="8"/>
      <c r="D182" s="8"/>
      <c r="E182" s="8"/>
      <c r="F182" s="8"/>
      <c r="G182" s="8"/>
      <c r="H182" s="8"/>
      <c r="I182" s="8"/>
      <c r="J182" s="8"/>
      <c r="K182" s="8"/>
      <c r="L182" s="8"/>
      <c r="M182" s="8"/>
      <c r="N182" s="8"/>
      <c r="O182" s="8"/>
      <c r="P182" s="8"/>
      <c r="Q182" s="6"/>
      <c r="R182" s="6"/>
      <c r="S182" s="6"/>
      <c r="T182" s="6"/>
      <c r="U182" s="6"/>
      <c r="V182" s="6"/>
      <c r="W182" s="6"/>
      <c r="X182" s="6"/>
      <c r="Y182" s="6"/>
      <c r="Z182" s="6"/>
    </row>
    <row r="183" spans="1:26" ht="14.5">
      <c r="A183" s="7"/>
      <c r="B183" s="8"/>
      <c r="C183" s="8"/>
      <c r="D183" s="8"/>
      <c r="E183" s="8"/>
      <c r="F183" s="8"/>
      <c r="G183" s="8"/>
      <c r="H183" s="8"/>
      <c r="I183" s="8"/>
      <c r="J183" s="8"/>
      <c r="K183" s="8"/>
      <c r="L183" s="8"/>
      <c r="M183" s="8"/>
      <c r="N183" s="8"/>
      <c r="O183" s="8"/>
      <c r="P183" s="8"/>
      <c r="Q183" s="6"/>
      <c r="R183" s="6"/>
      <c r="S183" s="6"/>
      <c r="T183" s="6"/>
      <c r="U183" s="6"/>
      <c r="V183" s="6"/>
      <c r="W183" s="6"/>
      <c r="X183" s="6"/>
      <c r="Y183" s="6"/>
      <c r="Z183" s="6"/>
    </row>
    <row r="184" spans="1:26" ht="14.5">
      <c r="A184" s="7"/>
      <c r="B184" s="8"/>
      <c r="C184" s="8"/>
      <c r="D184" s="8"/>
      <c r="E184" s="8"/>
      <c r="F184" s="8"/>
      <c r="G184" s="8"/>
      <c r="H184" s="8"/>
      <c r="I184" s="8"/>
      <c r="J184" s="8"/>
      <c r="K184" s="8"/>
      <c r="L184" s="8"/>
      <c r="M184" s="8"/>
      <c r="N184" s="8"/>
      <c r="O184" s="8"/>
      <c r="P184" s="8"/>
      <c r="Q184" s="6"/>
      <c r="R184" s="6"/>
      <c r="S184" s="6"/>
      <c r="T184" s="6"/>
      <c r="U184" s="6"/>
      <c r="V184" s="6"/>
      <c r="W184" s="6"/>
      <c r="X184" s="6"/>
      <c r="Y184" s="6"/>
      <c r="Z184" s="6"/>
    </row>
    <row r="185" spans="1:26" ht="14.5">
      <c r="A185" s="7"/>
      <c r="B185" s="8"/>
      <c r="C185" s="8"/>
      <c r="D185" s="8"/>
      <c r="E185" s="8"/>
      <c r="F185" s="8"/>
      <c r="G185" s="8"/>
      <c r="H185" s="8"/>
      <c r="I185" s="8"/>
      <c r="J185" s="8"/>
      <c r="K185" s="8"/>
      <c r="L185" s="8"/>
      <c r="M185" s="8"/>
      <c r="N185" s="8"/>
      <c r="O185" s="8"/>
      <c r="P185" s="8"/>
      <c r="Q185" s="6"/>
      <c r="R185" s="6"/>
      <c r="S185" s="6"/>
      <c r="T185" s="6"/>
      <c r="U185" s="6"/>
      <c r="V185" s="6"/>
      <c r="W185" s="6"/>
      <c r="X185" s="6"/>
      <c r="Y185" s="6"/>
      <c r="Z185" s="6"/>
    </row>
    <row r="186" spans="1:26" ht="14.5">
      <c r="A186" s="7"/>
      <c r="B186" s="8"/>
      <c r="C186" s="8"/>
      <c r="D186" s="8"/>
      <c r="E186" s="8"/>
      <c r="F186" s="8"/>
      <c r="G186" s="8"/>
      <c r="H186" s="8"/>
      <c r="I186" s="8"/>
      <c r="J186" s="8"/>
      <c r="K186" s="8"/>
      <c r="L186" s="8"/>
      <c r="M186" s="8"/>
      <c r="N186" s="8"/>
      <c r="O186" s="8"/>
      <c r="P186" s="8"/>
      <c r="Q186" s="6"/>
      <c r="R186" s="6"/>
      <c r="S186" s="6"/>
      <c r="T186" s="6"/>
      <c r="U186" s="6"/>
      <c r="V186" s="6"/>
      <c r="W186" s="6"/>
      <c r="X186" s="6"/>
      <c r="Y186" s="6"/>
      <c r="Z186" s="6"/>
    </row>
    <row r="187" spans="1:26" ht="14.5">
      <c r="A187" s="7"/>
      <c r="B187" s="8"/>
      <c r="C187" s="8"/>
      <c r="D187" s="8"/>
      <c r="E187" s="8"/>
      <c r="F187" s="8"/>
      <c r="G187" s="8"/>
      <c r="H187" s="8"/>
      <c r="I187" s="8"/>
      <c r="J187" s="8"/>
      <c r="K187" s="8"/>
      <c r="L187" s="8"/>
      <c r="M187" s="8"/>
      <c r="N187" s="8"/>
      <c r="O187" s="8"/>
      <c r="P187" s="8"/>
      <c r="Q187" s="6"/>
      <c r="R187" s="6"/>
      <c r="S187" s="6"/>
      <c r="T187" s="6"/>
      <c r="U187" s="6"/>
      <c r="V187" s="6"/>
      <c r="W187" s="6"/>
      <c r="X187" s="6"/>
      <c r="Y187" s="6"/>
      <c r="Z187" s="6"/>
    </row>
    <row r="188" spans="1:26" ht="14.5">
      <c r="A188" s="7"/>
      <c r="B188" s="8"/>
      <c r="C188" s="8"/>
      <c r="D188" s="8"/>
      <c r="E188" s="8"/>
      <c r="F188" s="8"/>
      <c r="G188" s="8"/>
      <c r="H188" s="8"/>
      <c r="I188" s="8"/>
      <c r="J188" s="8"/>
      <c r="K188" s="8"/>
      <c r="L188" s="8"/>
      <c r="M188" s="8"/>
      <c r="N188" s="8"/>
      <c r="O188" s="8"/>
      <c r="P188" s="8"/>
      <c r="Q188" s="6"/>
      <c r="R188" s="6"/>
      <c r="S188" s="6"/>
      <c r="T188" s="6"/>
      <c r="U188" s="6"/>
      <c r="V188" s="6"/>
      <c r="W188" s="6"/>
      <c r="X188" s="6"/>
      <c r="Y188" s="6"/>
      <c r="Z188" s="6"/>
    </row>
    <row r="189" spans="1:26" ht="14.5">
      <c r="A189" s="7"/>
      <c r="B189" s="8"/>
      <c r="C189" s="8"/>
      <c r="D189" s="8"/>
      <c r="E189" s="8"/>
      <c r="F189" s="8"/>
      <c r="G189" s="8"/>
      <c r="H189" s="8"/>
      <c r="I189" s="8"/>
      <c r="J189" s="8"/>
      <c r="K189" s="8"/>
      <c r="L189" s="8"/>
      <c r="M189" s="8"/>
      <c r="N189" s="8"/>
      <c r="O189" s="8"/>
      <c r="P189" s="8"/>
      <c r="Q189" s="6"/>
      <c r="R189" s="6"/>
      <c r="S189" s="6"/>
      <c r="T189" s="6"/>
      <c r="U189" s="6"/>
      <c r="V189" s="6"/>
      <c r="W189" s="6"/>
      <c r="X189" s="6"/>
      <c r="Y189" s="6"/>
      <c r="Z189" s="6"/>
    </row>
    <row r="190" spans="1:26" ht="14.5">
      <c r="A190" s="7"/>
      <c r="B190" s="8"/>
      <c r="C190" s="8"/>
      <c r="D190" s="8"/>
      <c r="E190" s="8"/>
      <c r="F190" s="8"/>
      <c r="G190" s="8"/>
      <c r="H190" s="8"/>
      <c r="I190" s="8"/>
      <c r="J190" s="8"/>
      <c r="K190" s="8"/>
      <c r="L190" s="8"/>
      <c r="M190" s="8"/>
      <c r="N190" s="8"/>
      <c r="O190" s="8"/>
      <c r="P190" s="8"/>
      <c r="Q190" s="6"/>
      <c r="R190" s="6"/>
      <c r="S190" s="6"/>
      <c r="T190" s="6"/>
      <c r="U190" s="6"/>
      <c r="V190" s="6"/>
      <c r="W190" s="6"/>
      <c r="X190" s="6"/>
      <c r="Y190" s="6"/>
      <c r="Z190" s="6"/>
    </row>
    <row r="191" spans="1:26" ht="14.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5">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5">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5">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5">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5">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sheetData>
  <mergeCells count="50">
    <mergeCell ref="D38:E38"/>
    <mergeCell ref="D39:E39"/>
    <mergeCell ref="I40:K40"/>
    <mergeCell ref="A33:B33"/>
    <mergeCell ref="D33:G33"/>
    <mergeCell ref="A34:B34"/>
    <mergeCell ref="I34:L34"/>
    <mergeCell ref="A35:B35"/>
    <mergeCell ref="J35:K35"/>
    <mergeCell ref="A36:B36"/>
    <mergeCell ref="A31:B31"/>
    <mergeCell ref="A32:B32"/>
    <mergeCell ref="D35:E35"/>
    <mergeCell ref="D36:E36"/>
    <mergeCell ref="D37:E37"/>
    <mergeCell ref="D32:G32"/>
    <mergeCell ref="D28:G28"/>
    <mergeCell ref="D29:G29"/>
    <mergeCell ref="J29:K29"/>
    <mergeCell ref="L29:M29"/>
    <mergeCell ref="D30:G30"/>
    <mergeCell ref="D25:G25"/>
    <mergeCell ref="J25:K25"/>
    <mergeCell ref="L25:M25"/>
    <mergeCell ref="D26:G26"/>
    <mergeCell ref="D31:G31"/>
    <mergeCell ref="K19:L19"/>
    <mergeCell ref="D20:H20"/>
    <mergeCell ref="D21:H21"/>
    <mergeCell ref="D22:H22"/>
    <mergeCell ref="D24:G24"/>
    <mergeCell ref="I24:M24"/>
    <mergeCell ref="A16:B16"/>
    <mergeCell ref="A17:B17"/>
    <mergeCell ref="D17:H17"/>
    <mergeCell ref="D18:H18"/>
    <mergeCell ref="A19:B19"/>
    <mergeCell ref="D19:H19"/>
    <mergeCell ref="D11:I11"/>
    <mergeCell ref="K11:M11"/>
    <mergeCell ref="L12:M12"/>
    <mergeCell ref="A14:B14"/>
    <mergeCell ref="A15:B15"/>
    <mergeCell ref="A5:B5"/>
    <mergeCell ref="D5:I5"/>
    <mergeCell ref="K5:M5"/>
    <mergeCell ref="O5:R5"/>
    <mergeCell ref="L6:M6"/>
    <mergeCell ref="O6:P6"/>
    <mergeCell ref="Q6:R6"/>
  </mergeCells>
  <hyperlinks>
    <hyperlink ref="D26" r:id="rId1" xr:uid="{00000000-0004-0000-0000-000000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Clique e introduza um valor do intervalo." xr:uid="{00000000-0002-0000-0000-000000000000}">
          <x14:formula1>
            <xm:f>'Base dados Exercicios'!$N$4:$N$13</xm:f>
          </x14:formula1>
          <xm:sqref>B20 B23 B27:B30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0"/>
  <sheetViews>
    <sheetView workbookViewId="0">
      <selection activeCell="Z5" sqref="Z5"/>
    </sheetView>
  </sheetViews>
  <sheetFormatPr defaultColWidth="12.6328125" defaultRowHeight="15" customHeight="1"/>
  <cols>
    <col min="1" max="1" width="4.7265625" customWidth="1"/>
    <col min="2" max="2" width="14.54296875" customWidth="1"/>
    <col min="3" max="4" width="3.26953125" customWidth="1"/>
    <col min="5" max="5" width="7.26953125" customWidth="1"/>
    <col min="6" max="8" width="6.7265625" customWidth="1"/>
    <col min="9" max="9" width="6.453125" customWidth="1"/>
    <col min="10" max="10" width="6.7265625" customWidth="1"/>
    <col min="11" max="11" width="8.36328125" customWidth="1"/>
    <col min="12" max="12" width="6.7265625" customWidth="1"/>
    <col min="13" max="13" width="5.6328125" customWidth="1"/>
    <col min="14" max="14" width="8" customWidth="1"/>
    <col min="15" max="15" width="5.36328125" customWidth="1"/>
    <col min="16" max="16" width="8.453125" customWidth="1"/>
    <col min="17" max="17" width="9.08984375" customWidth="1"/>
    <col min="18" max="18" width="6.7265625" customWidth="1"/>
    <col min="19" max="19" width="10.08984375" customWidth="1"/>
    <col min="20" max="20" width="9.81640625" customWidth="1"/>
    <col min="21" max="21" width="8.26953125" customWidth="1"/>
    <col min="22" max="23" width="8.7265625" customWidth="1"/>
    <col min="24" max="24" width="8.26953125" customWidth="1"/>
    <col min="25" max="25" width="9.1796875" customWidth="1"/>
    <col min="26" max="27" width="8" customWidth="1"/>
    <col min="28" max="28" width="9.90625" customWidth="1"/>
    <col min="29" max="29" width="4.90625" customWidth="1"/>
  </cols>
  <sheetData>
    <row r="1" spans="1:29" ht="39" customHeight="1">
      <c r="A1" s="396" t="s">
        <v>82</v>
      </c>
      <c r="B1" s="397"/>
      <c r="C1" s="399" t="s">
        <v>83</v>
      </c>
      <c r="D1" s="399" t="s">
        <v>84</v>
      </c>
      <c r="E1" s="89" t="s">
        <v>85</v>
      </c>
      <c r="F1" s="89" t="s">
        <v>86</v>
      </c>
      <c r="G1" s="89" t="s">
        <v>87</v>
      </c>
      <c r="H1" s="90" t="s">
        <v>88</v>
      </c>
      <c r="I1" s="400" t="s">
        <v>89</v>
      </c>
      <c r="J1" s="401"/>
      <c r="K1" s="402" t="s">
        <v>90</v>
      </c>
      <c r="L1" s="401"/>
      <c r="M1" s="91" t="s">
        <v>91</v>
      </c>
      <c r="N1" s="92" t="s">
        <v>92</v>
      </c>
      <c r="O1" s="93" t="s">
        <v>93</v>
      </c>
      <c r="P1" s="94" t="s">
        <v>94</v>
      </c>
      <c r="Q1" s="94" t="s">
        <v>95</v>
      </c>
      <c r="R1" s="95" t="s">
        <v>86</v>
      </c>
      <c r="S1" s="96" t="s">
        <v>96</v>
      </c>
      <c r="T1" s="97" t="s">
        <v>97</v>
      </c>
      <c r="U1" s="97" t="s">
        <v>98</v>
      </c>
      <c r="V1" s="98" t="s">
        <v>99</v>
      </c>
      <c r="W1" s="99" t="s">
        <v>100</v>
      </c>
      <c r="X1" s="99" t="s">
        <v>101</v>
      </c>
      <c r="Y1" s="100" t="s">
        <v>99</v>
      </c>
      <c r="Z1" s="101" t="s">
        <v>102</v>
      </c>
      <c r="AA1" s="101" t="s">
        <v>103</v>
      </c>
      <c r="AB1" s="102" t="s">
        <v>99</v>
      </c>
      <c r="AC1" s="103" t="s">
        <v>104</v>
      </c>
    </row>
    <row r="2" spans="1:29" ht="15" customHeight="1">
      <c r="A2" s="398"/>
      <c r="B2" s="356"/>
      <c r="C2" s="356"/>
      <c r="D2" s="356"/>
      <c r="E2" s="403" t="s">
        <v>8</v>
      </c>
      <c r="F2" s="358"/>
      <c r="G2" s="358"/>
      <c r="H2" s="356"/>
      <c r="I2" s="104" t="s">
        <v>85</v>
      </c>
      <c r="J2" s="105" t="s">
        <v>86</v>
      </c>
      <c r="K2" s="106" t="s">
        <v>85</v>
      </c>
      <c r="L2" s="107" t="s">
        <v>86</v>
      </c>
      <c r="M2" s="108" t="s">
        <v>105</v>
      </c>
      <c r="N2" s="109" t="s">
        <v>105</v>
      </c>
      <c r="O2" s="110" t="s">
        <v>105</v>
      </c>
      <c r="P2" s="404" t="s">
        <v>15</v>
      </c>
      <c r="Q2" s="371"/>
      <c r="R2" s="371"/>
      <c r="S2" s="372"/>
      <c r="T2" s="405" t="s">
        <v>106</v>
      </c>
      <c r="U2" s="358"/>
      <c r="V2" s="358"/>
      <c r="W2" s="358"/>
      <c r="X2" s="358"/>
      <c r="Y2" s="358"/>
      <c r="Z2" s="358"/>
      <c r="AA2" s="358"/>
      <c r="AB2" s="356"/>
      <c r="AC2" s="111"/>
    </row>
    <row r="3" spans="1:29" ht="15" customHeight="1">
      <c r="A3" s="112" t="s">
        <v>107</v>
      </c>
      <c r="B3" s="113"/>
      <c r="C3" s="407">
        <v>1</v>
      </c>
      <c r="D3" s="408"/>
      <c r="E3" s="114"/>
      <c r="F3" s="409" t="e">
        <f>AVERAGE(E3:E9)</f>
        <v>#DIV/0!</v>
      </c>
      <c r="G3" s="371"/>
      <c r="H3" s="372"/>
      <c r="I3" s="114"/>
      <c r="J3" s="390" t="e">
        <f>AVERAGE(I3:I9)</f>
        <v>#DIV/0!</v>
      </c>
      <c r="K3" s="115"/>
      <c r="L3" s="410" t="e">
        <f>AVERAGE(K3:K9)</f>
        <v>#DIV/0!</v>
      </c>
      <c r="M3" s="116"/>
      <c r="N3" s="116"/>
      <c r="O3" s="114"/>
      <c r="P3" s="389"/>
      <c r="Q3" s="114"/>
      <c r="R3" s="390" t="e">
        <f>AVERAGE(Q3:Q9)</f>
        <v>#DIV/0!</v>
      </c>
      <c r="S3" s="391" t="e">
        <f>R3-P3</f>
        <v>#DIV/0!</v>
      </c>
      <c r="T3" s="114"/>
      <c r="U3" s="392">
        <f>(P3-(X3*4+AA3*9))/4</f>
        <v>0</v>
      </c>
      <c r="V3" s="390" t="e">
        <f>AVERAGE(T3:T9)</f>
        <v>#DIV/0!</v>
      </c>
      <c r="W3" s="114"/>
      <c r="X3" s="394"/>
      <c r="Y3" s="390" t="e">
        <f>AVERAGE(W3:W9)</f>
        <v>#DIV/0!</v>
      </c>
      <c r="Z3" s="114"/>
      <c r="AA3" s="406"/>
      <c r="AB3" s="390" t="e">
        <f>AVERAGE(Z3:Z9)</f>
        <v>#DIV/0!</v>
      </c>
      <c r="AC3" s="114"/>
    </row>
    <row r="4" spans="1:29" ht="15" customHeight="1">
      <c r="A4" s="112" t="s">
        <v>108</v>
      </c>
      <c r="B4" s="117">
        <f t="shared" ref="B4:B58" si="0">1+B3</f>
        <v>1</v>
      </c>
      <c r="C4" s="372"/>
      <c r="D4" s="372"/>
      <c r="E4" s="114"/>
      <c r="F4" s="371"/>
      <c r="G4" s="371"/>
      <c r="H4" s="372"/>
      <c r="I4" s="114"/>
      <c r="J4" s="372"/>
      <c r="K4" s="114"/>
      <c r="L4" s="372"/>
      <c r="M4" s="116"/>
      <c r="N4" s="116"/>
      <c r="O4" s="114"/>
      <c r="P4" s="372"/>
      <c r="Q4" s="114"/>
      <c r="R4" s="372"/>
      <c r="S4" s="372"/>
      <c r="T4" s="114"/>
      <c r="U4" s="393"/>
      <c r="V4" s="372"/>
      <c r="W4" s="114"/>
      <c r="X4" s="393"/>
      <c r="Y4" s="372"/>
      <c r="Z4" s="114"/>
      <c r="AA4" s="393"/>
      <c r="AB4" s="372"/>
      <c r="AC4" s="114"/>
    </row>
    <row r="5" spans="1:29" ht="15" customHeight="1">
      <c r="A5" s="112" t="s">
        <v>107</v>
      </c>
      <c r="B5" s="117">
        <f t="shared" si="0"/>
        <v>2</v>
      </c>
      <c r="C5" s="372"/>
      <c r="D5" s="372"/>
      <c r="E5" s="114"/>
      <c r="F5" s="371"/>
      <c r="G5" s="371"/>
      <c r="H5" s="372"/>
      <c r="I5" s="114"/>
      <c r="J5" s="372"/>
      <c r="K5" s="114"/>
      <c r="L5" s="372"/>
      <c r="M5" s="116"/>
      <c r="N5" s="116"/>
      <c r="O5" s="114"/>
      <c r="P5" s="372"/>
      <c r="Q5" s="114"/>
      <c r="R5" s="372"/>
      <c r="S5" s="372"/>
      <c r="T5" s="114"/>
      <c r="U5" s="393"/>
      <c r="V5" s="372"/>
      <c r="W5" s="114"/>
      <c r="X5" s="393"/>
      <c r="Y5" s="372"/>
      <c r="Z5" s="114"/>
      <c r="AA5" s="393"/>
      <c r="AB5" s="372"/>
      <c r="AC5" s="114"/>
    </row>
    <row r="6" spans="1:29" ht="14.5">
      <c r="A6" s="112" t="s">
        <v>109</v>
      </c>
      <c r="B6" s="117">
        <f t="shared" si="0"/>
        <v>3</v>
      </c>
      <c r="C6" s="372"/>
      <c r="D6" s="372"/>
      <c r="E6" s="114"/>
      <c r="F6" s="371"/>
      <c r="G6" s="371"/>
      <c r="H6" s="372"/>
      <c r="I6" s="114"/>
      <c r="J6" s="372"/>
      <c r="K6" s="114"/>
      <c r="L6" s="372"/>
      <c r="M6" s="116"/>
      <c r="N6" s="116"/>
      <c r="O6" s="114"/>
      <c r="P6" s="372"/>
      <c r="Q6" s="114"/>
      <c r="R6" s="372"/>
      <c r="S6" s="372"/>
      <c r="T6" s="114"/>
      <c r="U6" s="393"/>
      <c r="V6" s="372"/>
      <c r="W6" s="114"/>
      <c r="X6" s="393"/>
      <c r="Y6" s="372"/>
      <c r="Z6" s="114"/>
      <c r="AA6" s="393"/>
      <c r="AB6" s="372"/>
      <c r="AC6" s="114"/>
    </row>
    <row r="7" spans="1:29" ht="14.5">
      <c r="A7" s="112" t="s">
        <v>110</v>
      </c>
      <c r="B7" s="117">
        <f t="shared" si="0"/>
        <v>4</v>
      </c>
      <c r="C7" s="372"/>
      <c r="D7" s="372"/>
      <c r="E7" s="114"/>
      <c r="F7" s="371"/>
      <c r="G7" s="371"/>
      <c r="H7" s="372"/>
      <c r="I7" s="114"/>
      <c r="J7" s="372"/>
      <c r="K7" s="114"/>
      <c r="L7" s="372"/>
      <c r="M7" s="116"/>
      <c r="N7" s="116"/>
      <c r="O7" s="114"/>
      <c r="P7" s="372"/>
      <c r="Q7" s="114"/>
      <c r="R7" s="372"/>
      <c r="S7" s="372"/>
      <c r="T7" s="114"/>
      <c r="U7" s="393"/>
      <c r="V7" s="372"/>
      <c r="W7" s="114"/>
      <c r="X7" s="393"/>
      <c r="Y7" s="372"/>
      <c r="Z7" s="114"/>
      <c r="AA7" s="393"/>
      <c r="AB7" s="372"/>
      <c r="AC7" s="114"/>
    </row>
    <row r="8" spans="1:29" ht="14.5">
      <c r="A8" s="112" t="s">
        <v>110</v>
      </c>
      <c r="B8" s="117">
        <f t="shared" si="0"/>
        <v>5</v>
      </c>
      <c r="C8" s="372"/>
      <c r="D8" s="372"/>
      <c r="E8" s="114"/>
      <c r="F8" s="371"/>
      <c r="G8" s="371"/>
      <c r="H8" s="372"/>
      <c r="I8" s="114"/>
      <c r="J8" s="372"/>
      <c r="K8" s="114"/>
      <c r="L8" s="372"/>
      <c r="M8" s="116"/>
      <c r="N8" s="116"/>
      <c r="O8" s="114"/>
      <c r="P8" s="372"/>
      <c r="Q8" s="114"/>
      <c r="R8" s="372"/>
      <c r="S8" s="372"/>
      <c r="T8" s="114"/>
      <c r="U8" s="393"/>
      <c r="V8" s="372"/>
      <c r="W8" s="114"/>
      <c r="X8" s="393"/>
      <c r="Y8" s="372"/>
      <c r="Z8" s="114"/>
      <c r="AA8" s="393"/>
      <c r="AB8" s="372"/>
      <c r="AC8" s="114"/>
    </row>
    <row r="9" spans="1:29" ht="14.5">
      <c r="A9" s="118" t="s">
        <v>107</v>
      </c>
      <c r="B9" s="117">
        <f t="shared" si="0"/>
        <v>6</v>
      </c>
      <c r="C9" s="356"/>
      <c r="D9" s="356"/>
      <c r="E9" s="119"/>
      <c r="F9" s="358"/>
      <c r="G9" s="358"/>
      <c r="H9" s="356"/>
      <c r="I9" s="119"/>
      <c r="J9" s="356"/>
      <c r="K9" s="119"/>
      <c r="L9" s="361"/>
      <c r="M9" s="120"/>
      <c r="N9" s="120"/>
      <c r="O9" s="119"/>
      <c r="P9" s="356"/>
      <c r="Q9" s="119"/>
      <c r="R9" s="356"/>
      <c r="S9" s="356"/>
      <c r="T9" s="119"/>
      <c r="U9" s="395"/>
      <c r="V9" s="356"/>
      <c r="W9" s="119"/>
      <c r="X9" s="395"/>
      <c r="Y9" s="356"/>
      <c r="Z9" s="119"/>
      <c r="AA9" s="395"/>
      <c r="AB9" s="356"/>
      <c r="AC9" s="119"/>
    </row>
    <row r="10" spans="1:29" ht="14.5">
      <c r="A10" s="112" t="s">
        <v>107</v>
      </c>
      <c r="B10" s="117">
        <f t="shared" si="0"/>
        <v>7</v>
      </c>
      <c r="C10" s="407">
        <f>1+C3</f>
        <v>2</v>
      </c>
      <c r="D10" s="408"/>
      <c r="E10" s="114"/>
      <c r="F10" s="390" t="e">
        <f>AVERAGE(E10:E16)</f>
        <v>#DIV/0!</v>
      </c>
      <c r="G10" s="411" t="e">
        <f>F10-F3</f>
        <v>#DIV/0!</v>
      </c>
      <c r="H10" s="411" t="e">
        <f>(F10*100/F3)-100</f>
        <v>#DIV/0!</v>
      </c>
      <c r="I10" s="114"/>
      <c r="J10" s="390" t="e">
        <f>AVERAGE(I10:I16)</f>
        <v>#DIV/0!</v>
      </c>
      <c r="K10" s="114"/>
      <c r="L10" s="410" t="e">
        <f>AVERAGE(K10:K16)</f>
        <v>#DIV/0!</v>
      </c>
      <c r="M10" s="116"/>
      <c r="N10" s="116"/>
      <c r="O10" s="114"/>
      <c r="P10" s="389"/>
      <c r="Q10" s="114"/>
      <c r="R10" s="390" t="e">
        <f>AVERAGE(Q10:Q16)</f>
        <v>#DIV/0!</v>
      </c>
      <c r="S10" s="391" t="e">
        <f>R10-P10</f>
        <v>#DIV/0!</v>
      </c>
      <c r="T10" s="114"/>
      <c r="U10" s="392">
        <f>(P10-(X10*4+AA10*9))/4</f>
        <v>0</v>
      </c>
      <c r="V10" s="390" t="e">
        <f>AVERAGE(T10:T16)</f>
        <v>#DIV/0!</v>
      </c>
      <c r="W10" s="114"/>
      <c r="X10" s="394"/>
      <c r="Y10" s="390" t="e">
        <f>AVERAGE(W10:W16)</f>
        <v>#DIV/0!</v>
      </c>
      <c r="Z10" s="114"/>
      <c r="AA10" s="406"/>
      <c r="AB10" s="390" t="e">
        <f>AVERAGE(Z10:Z16)</f>
        <v>#DIV/0!</v>
      </c>
      <c r="AC10" s="114"/>
    </row>
    <row r="11" spans="1:29" ht="14.5">
      <c r="A11" s="112" t="s">
        <v>108</v>
      </c>
      <c r="B11" s="117">
        <f t="shared" si="0"/>
        <v>8</v>
      </c>
      <c r="C11" s="372"/>
      <c r="D11" s="372"/>
      <c r="E11" s="114"/>
      <c r="F11" s="372"/>
      <c r="G11" s="372"/>
      <c r="H11" s="372"/>
      <c r="I11" s="114"/>
      <c r="J11" s="372"/>
      <c r="K11" s="114"/>
      <c r="L11" s="372"/>
      <c r="M11" s="116"/>
      <c r="N11" s="116"/>
      <c r="O11" s="114"/>
      <c r="P11" s="372"/>
      <c r="Q11" s="114"/>
      <c r="R11" s="372"/>
      <c r="S11" s="372"/>
      <c r="T11" s="114"/>
      <c r="U11" s="393"/>
      <c r="V11" s="372"/>
      <c r="W11" s="114"/>
      <c r="X11" s="393"/>
      <c r="Y11" s="372"/>
      <c r="Z11" s="114"/>
      <c r="AA11" s="393"/>
      <c r="AB11" s="372"/>
      <c r="AC11" s="114"/>
    </row>
    <row r="12" spans="1:29" ht="14.5">
      <c r="A12" s="112" t="s">
        <v>107</v>
      </c>
      <c r="B12" s="117">
        <f t="shared" si="0"/>
        <v>9</v>
      </c>
      <c r="C12" s="372"/>
      <c r="D12" s="372"/>
      <c r="E12" s="114"/>
      <c r="F12" s="372"/>
      <c r="G12" s="372"/>
      <c r="H12" s="372"/>
      <c r="I12" s="114"/>
      <c r="J12" s="372"/>
      <c r="K12" s="114"/>
      <c r="L12" s="372"/>
      <c r="M12" s="116"/>
      <c r="N12" s="116"/>
      <c r="O12" s="114"/>
      <c r="P12" s="372"/>
      <c r="Q12" s="114"/>
      <c r="R12" s="372"/>
      <c r="S12" s="372"/>
      <c r="T12" s="114"/>
      <c r="U12" s="393"/>
      <c r="V12" s="372"/>
      <c r="W12" s="114"/>
      <c r="X12" s="393"/>
      <c r="Y12" s="372"/>
      <c r="Z12" s="114"/>
      <c r="AA12" s="393"/>
      <c r="AB12" s="372"/>
      <c r="AC12" s="114"/>
    </row>
    <row r="13" spans="1:29" ht="14.5">
      <c r="A13" s="112" t="s">
        <v>109</v>
      </c>
      <c r="B13" s="117">
        <f t="shared" si="0"/>
        <v>10</v>
      </c>
      <c r="C13" s="372"/>
      <c r="D13" s="372"/>
      <c r="E13" s="114"/>
      <c r="F13" s="372"/>
      <c r="G13" s="372"/>
      <c r="H13" s="372"/>
      <c r="I13" s="114"/>
      <c r="J13" s="372"/>
      <c r="K13" s="114"/>
      <c r="L13" s="372"/>
      <c r="M13" s="116"/>
      <c r="N13" s="116"/>
      <c r="O13" s="114"/>
      <c r="P13" s="372"/>
      <c r="Q13" s="114"/>
      <c r="R13" s="372"/>
      <c r="S13" s="372"/>
      <c r="T13" s="114"/>
      <c r="U13" s="393"/>
      <c r="V13" s="372"/>
      <c r="W13" s="114"/>
      <c r="X13" s="393"/>
      <c r="Y13" s="372"/>
      <c r="Z13" s="114"/>
      <c r="AA13" s="393"/>
      <c r="AB13" s="372"/>
      <c r="AC13" s="114"/>
    </row>
    <row r="14" spans="1:29" ht="14.5">
      <c r="A14" s="112" t="s">
        <v>110</v>
      </c>
      <c r="B14" s="117">
        <f t="shared" si="0"/>
        <v>11</v>
      </c>
      <c r="C14" s="372"/>
      <c r="D14" s="372"/>
      <c r="E14" s="114"/>
      <c r="F14" s="372"/>
      <c r="G14" s="372"/>
      <c r="H14" s="372"/>
      <c r="I14" s="114"/>
      <c r="J14" s="372"/>
      <c r="K14" s="114"/>
      <c r="L14" s="372"/>
      <c r="M14" s="116"/>
      <c r="N14" s="116"/>
      <c r="O14" s="114"/>
      <c r="P14" s="372"/>
      <c r="Q14" s="114"/>
      <c r="R14" s="372"/>
      <c r="S14" s="372"/>
      <c r="T14" s="114"/>
      <c r="U14" s="393"/>
      <c r="V14" s="372"/>
      <c r="W14" s="114"/>
      <c r="X14" s="393"/>
      <c r="Y14" s="372"/>
      <c r="Z14" s="114"/>
      <c r="AA14" s="393"/>
      <c r="AB14" s="372"/>
      <c r="AC14" s="114"/>
    </row>
    <row r="15" spans="1:29" ht="14.5">
      <c r="A15" s="112" t="s">
        <v>110</v>
      </c>
      <c r="B15" s="117">
        <f t="shared" si="0"/>
        <v>12</v>
      </c>
      <c r="C15" s="372"/>
      <c r="D15" s="372"/>
      <c r="E15" s="114"/>
      <c r="F15" s="372"/>
      <c r="G15" s="372"/>
      <c r="H15" s="372"/>
      <c r="I15" s="114"/>
      <c r="J15" s="372"/>
      <c r="K15" s="114"/>
      <c r="L15" s="372"/>
      <c r="M15" s="116"/>
      <c r="N15" s="116"/>
      <c r="O15" s="114"/>
      <c r="P15" s="372"/>
      <c r="Q15" s="114"/>
      <c r="R15" s="372"/>
      <c r="S15" s="372"/>
      <c r="T15" s="114"/>
      <c r="U15" s="393"/>
      <c r="V15" s="372"/>
      <c r="W15" s="114"/>
      <c r="X15" s="393"/>
      <c r="Y15" s="372"/>
      <c r="Z15" s="114"/>
      <c r="AA15" s="393"/>
      <c r="AB15" s="372"/>
      <c r="AC15" s="114"/>
    </row>
    <row r="16" spans="1:29" ht="14.5">
      <c r="A16" s="118" t="s">
        <v>107</v>
      </c>
      <c r="B16" s="117">
        <f t="shared" si="0"/>
        <v>13</v>
      </c>
      <c r="C16" s="356"/>
      <c r="D16" s="356"/>
      <c r="E16" s="119"/>
      <c r="F16" s="361"/>
      <c r="G16" s="356"/>
      <c r="H16" s="356"/>
      <c r="I16" s="119"/>
      <c r="J16" s="356"/>
      <c r="K16" s="119"/>
      <c r="L16" s="361"/>
      <c r="M16" s="120"/>
      <c r="N16" s="120"/>
      <c r="O16" s="119"/>
      <c r="P16" s="356"/>
      <c r="Q16" s="119"/>
      <c r="R16" s="356"/>
      <c r="S16" s="356"/>
      <c r="T16" s="119"/>
      <c r="U16" s="393"/>
      <c r="V16" s="372"/>
      <c r="W16" s="119"/>
      <c r="X16" s="395"/>
      <c r="Y16" s="356"/>
      <c r="Z16" s="119"/>
      <c r="AA16" s="395"/>
      <c r="AB16" s="356"/>
      <c r="AC16" s="119"/>
    </row>
    <row r="17" spans="1:29" ht="14.5">
      <c r="A17" s="112" t="s">
        <v>107</v>
      </c>
      <c r="B17" s="117">
        <f t="shared" si="0"/>
        <v>14</v>
      </c>
      <c r="C17" s="407">
        <f>1+C10</f>
        <v>3</v>
      </c>
      <c r="D17" s="408"/>
      <c r="E17" s="114"/>
      <c r="F17" s="390" t="e">
        <f>AVERAGE(E17:E23)</f>
        <v>#DIV/0!</v>
      </c>
      <c r="G17" s="411" t="e">
        <f>F17-F10</f>
        <v>#DIV/0!</v>
      </c>
      <c r="H17" s="411" t="e">
        <f>(F17*100/F10)-100</f>
        <v>#DIV/0!</v>
      </c>
      <c r="I17" s="114"/>
      <c r="J17" s="390" t="e">
        <f>AVERAGE(I17:I23)</f>
        <v>#DIV/0!</v>
      </c>
      <c r="K17" s="114"/>
      <c r="L17" s="410" t="e">
        <f>AVERAGE(K17:K23)</f>
        <v>#DIV/0!</v>
      </c>
      <c r="M17" s="116"/>
      <c r="N17" s="116"/>
      <c r="O17" s="114"/>
      <c r="P17" s="389"/>
      <c r="Q17" s="114"/>
      <c r="R17" s="390" t="e">
        <f>AVERAGE(Q17:Q23)</f>
        <v>#DIV/0!</v>
      </c>
      <c r="S17" s="391" t="e">
        <f>R17-P17</f>
        <v>#DIV/0!</v>
      </c>
      <c r="T17" s="114"/>
      <c r="U17" s="392">
        <f>(P17-(X17*4+AA17*9))/4</f>
        <v>0</v>
      </c>
      <c r="V17" s="390" t="e">
        <f>AVERAGE(T17:T23)</f>
        <v>#DIV/0!</v>
      </c>
      <c r="W17" s="114"/>
      <c r="X17" s="394"/>
      <c r="Y17" s="390" t="e">
        <f>AVERAGE(W17:W23)</f>
        <v>#DIV/0!</v>
      </c>
      <c r="Z17" s="114"/>
      <c r="AA17" s="406"/>
      <c r="AB17" s="390" t="e">
        <f>AVERAGE(Z17:Z23)</f>
        <v>#DIV/0!</v>
      </c>
      <c r="AC17" s="114"/>
    </row>
    <row r="18" spans="1:29" ht="14.5">
      <c r="A18" s="112" t="s">
        <v>108</v>
      </c>
      <c r="B18" s="117">
        <f t="shared" si="0"/>
        <v>15</v>
      </c>
      <c r="C18" s="372"/>
      <c r="D18" s="372"/>
      <c r="E18" s="114"/>
      <c r="F18" s="372"/>
      <c r="G18" s="372"/>
      <c r="H18" s="372"/>
      <c r="I18" s="114"/>
      <c r="J18" s="372"/>
      <c r="K18" s="114"/>
      <c r="L18" s="372"/>
      <c r="M18" s="116"/>
      <c r="N18" s="116"/>
      <c r="O18" s="114"/>
      <c r="P18" s="372"/>
      <c r="Q18" s="114"/>
      <c r="R18" s="372"/>
      <c r="S18" s="372"/>
      <c r="T18" s="114"/>
      <c r="U18" s="393"/>
      <c r="V18" s="372"/>
      <c r="W18" s="114"/>
      <c r="X18" s="393"/>
      <c r="Y18" s="372"/>
      <c r="Z18" s="114"/>
      <c r="AA18" s="393"/>
      <c r="AB18" s="372"/>
      <c r="AC18" s="114"/>
    </row>
    <row r="19" spans="1:29" ht="14.5">
      <c r="A19" s="112" t="s">
        <v>107</v>
      </c>
      <c r="B19" s="117">
        <f t="shared" si="0"/>
        <v>16</v>
      </c>
      <c r="C19" s="372"/>
      <c r="D19" s="372"/>
      <c r="E19" s="114"/>
      <c r="F19" s="372"/>
      <c r="G19" s="372"/>
      <c r="H19" s="372"/>
      <c r="I19" s="114"/>
      <c r="J19" s="372"/>
      <c r="K19" s="114"/>
      <c r="L19" s="372"/>
      <c r="M19" s="116"/>
      <c r="N19" s="116"/>
      <c r="O19" s="114"/>
      <c r="P19" s="372"/>
      <c r="Q19" s="114"/>
      <c r="R19" s="372"/>
      <c r="S19" s="372"/>
      <c r="T19" s="114"/>
      <c r="U19" s="393"/>
      <c r="V19" s="372"/>
      <c r="W19" s="114"/>
      <c r="X19" s="393"/>
      <c r="Y19" s="372"/>
      <c r="Z19" s="114"/>
      <c r="AA19" s="393"/>
      <c r="AB19" s="372"/>
      <c r="AC19" s="114"/>
    </row>
    <row r="20" spans="1:29" ht="14.5">
      <c r="A20" s="112" t="s">
        <v>109</v>
      </c>
      <c r="B20" s="117">
        <f t="shared" si="0"/>
        <v>17</v>
      </c>
      <c r="C20" s="372"/>
      <c r="D20" s="372"/>
      <c r="E20" s="114"/>
      <c r="F20" s="372"/>
      <c r="G20" s="372"/>
      <c r="H20" s="372"/>
      <c r="I20" s="114"/>
      <c r="J20" s="372"/>
      <c r="K20" s="114"/>
      <c r="L20" s="372"/>
      <c r="M20" s="116"/>
      <c r="N20" s="116"/>
      <c r="O20" s="114"/>
      <c r="P20" s="372"/>
      <c r="Q20" s="114"/>
      <c r="R20" s="372"/>
      <c r="S20" s="372"/>
      <c r="T20" s="114"/>
      <c r="U20" s="393"/>
      <c r="V20" s="372"/>
      <c r="W20" s="114"/>
      <c r="X20" s="393"/>
      <c r="Y20" s="372"/>
      <c r="Z20" s="114"/>
      <c r="AA20" s="393"/>
      <c r="AB20" s="372"/>
      <c r="AC20" s="114"/>
    </row>
    <row r="21" spans="1:29" ht="14.5">
      <c r="A21" s="112" t="s">
        <v>110</v>
      </c>
      <c r="B21" s="117">
        <f t="shared" si="0"/>
        <v>18</v>
      </c>
      <c r="C21" s="372"/>
      <c r="D21" s="372"/>
      <c r="E21" s="114"/>
      <c r="F21" s="372"/>
      <c r="G21" s="372"/>
      <c r="H21" s="372"/>
      <c r="I21" s="114"/>
      <c r="J21" s="372"/>
      <c r="K21" s="114"/>
      <c r="L21" s="372"/>
      <c r="M21" s="116"/>
      <c r="N21" s="116"/>
      <c r="O21" s="114"/>
      <c r="P21" s="372"/>
      <c r="Q21" s="114"/>
      <c r="R21" s="372"/>
      <c r="S21" s="372"/>
      <c r="T21" s="114"/>
      <c r="U21" s="393"/>
      <c r="V21" s="372"/>
      <c r="W21" s="114"/>
      <c r="X21" s="393"/>
      <c r="Y21" s="372"/>
      <c r="Z21" s="114"/>
      <c r="AA21" s="393"/>
      <c r="AB21" s="372"/>
      <c r="AC21" s="114"/>
    </row>
    <row r="22" spans="1:29" ht="14.5">
      <c r="A22" s="112" t="s">
        <v>110</v>
      </c>
      <c r="B22" s="117">
        <f t="shared" si="0"/>
        <v>19</v>
      </c>
      <c r="C22" s="372"/>
      <c r="D22" s="372"/>
      <c r="E22" s="114"/>
      <c r="F22" s="372"/>
      <c r="G22" s="372"/>
      <c r="H22" s="372"/>
      <c r="I22" s="114"/>
      <c r="J22" s="372"/>
      <c r="K22" s="114"/>
      <c r="L22" s="372"/>
      <c r="M22" s="116"/>
      <c r="N22" s="116"/>
      <c r="O22" s="114"/>
      <c r="P22" s="372"/>
      <c r="Q22" s="114"/>
      <c r="R22" s="372"/>
      <c r="S22" s="372"/>
      <c r="T22" s="114"/>
      <c r="U22" s="393"/>
      <c r="V22" s="372"/>
      <c r="W22" s="114"/>
      <c r="X22" s="393"/>
      <c r="Y22" s="372"/>
      <c r="Z22" s="114"/>
      <c r="AA22" s="393"/>
      <c r="AB22" s="372"/>
      <c r="AC22" s="114"/>
    </row>
    <row r="23" spans="1:29" ht="14.5">
      <c r="A23" s="118" t="s">
        <v>107</v>
      </c>
      <c r="B23" s="117">
        <f t="shared" si="0"/>
        <v>20</v>
      </c>
      <c r="C23" s="356"/>
      <c r="D23" s="356"/>
      <c r="E23" s="119"/>
      <c r="F23" s="356"/>
      <c r="G23" s="356"/>
      <c r="H23" s="356"/>
      <c r="I23" s="119"/>
      <c r="J23" s="356"/>
      <c r="K23" s="119"/>
      <c r="L23" s="361"/>
      <c r="M23" s="120"/>
      <c r="N23" s="120"/>
      <c r="O23" s="119"/>
      <c r="P23" s="356"/>
      <c r="Q23" s="119"/>
      <c r="R23" s="356"/>
      <c r="S23" s="356"/>
      <c r="T23" s="119"/>
      <c r="U23" s="395"/>
      <c r="V23" s="356"/>
      <c r="W23" s="119"/>
      <c r="X23" s="395"/>
      <c r="Y23" s="356"/>
      <c r="Z23" s="119"/>
      <c r="AA23" s="395"/>
      <c r="AB23" s="356"/>
      <c r="AC23" s="119"/>
    </row>
    <row r="24" spans="1:29" ht="14.5">
      <c r="A24" s="112" t="s">
        <v>107</v>
      </c>
      <c r="B24" s="117">
        <f t="shared" si="0"/>
        <v>21</v>
      </c>
      <c r="C24" s="407">
        <f>1+C17</f>
        <v>4</v>
      </c>
      <c r="D24" s="408"/>
      <c r="E24" s="114"/>
      <c r="F24" s="390" t="e">
        <f>AVERAGE(E24:E30)</f>
        <v>#DIV/0!</v>
      </c>
      <c r="G24" s="411" t="e">
        <f>F24-F17</f>
        <v>#DIV/0!</v>
      </c>
      <c r="H24" s="411" t="e">
        <f>(F24*100/F17)-100</f>
        <v>#DIV/0!</v>
      </c>
      <c r="I24" s="114"/>
      <c r="J24" s="390" t="e">
        <f>AVERAGE(I24:I30)</f>
        <v>#DIV/0!</v>
      </c>
      <c r="K24" s="114"/>
      <c r="L24" s="410" t="e">
        <f>AVERAGE(K24:K30)</f>
        <v>#DIV/0!</v>
      </c>
      <c r="M24" s="116"/>
      <c r="N24" s="116"/>
      <c r="O24" s="114"/>
      <c r="P24" s="389"/>
      <c r="Q24" s="114"/>
      <c r="R24" s="390" t="e">
        <f>AVERAGE(Q24:Q30)</f>
        <v>#DIV/0!</v>
      </c>
      <c r="S24" s="391" t="e">
        <f>R24-P24</f>
        <v>#DIV/0!</v>
      </c>
      <c r="T24" s="114"/>
      <c r="U24" s="392">
        <f>(P24-(X24*4+AA24*9))/4</f>
        <v>0</v>
      </c>
      <c r="V24" s="390" t="e">
        <f>AVERAGE(T24:T30)</f>
        <v>#DIV/0!</v>
      </c>
      <c r="W24" s="114"/>
      <c r="X24" s="394"/>
      <c r="Y24" s="390" t="e">
        <f>AVERAGE(W24:W30)</f>
        <v>#DIV/0!</v>
      </c>
      <c r="Z24" s="114"/>
      <c r="AA24" s="406"/>
      <c r="AB24" s="390" t="e">
        <f>AVERAGE(Z24:Z30)</f>
        <v>#DIV/0!</v>
      </c>
      <c r="AC24" s="114"/>
    </row>
    <row r="25" spans="1:29" ht="14.5">
      <c r="A25" s="112" t="s">
        <v>108</v>
      </c>
      <c r="B25" s="117">
        <f t="shared" si="0"/>
        <v>22</v>
      </c>
      <c r="C25" s="372"/>
      <c r="D25" s="372"/>
      <c r="E25" s="114"/>
      <c r="F25" s="372"/>
      <c r="G25" s="372"/>
      <c r="H25" s="372"/>
      <c r="I25" s="114"/>
      <c r="J25" s="372"/>
      <c r="K25" s="114"/>
      <c r="L25" s="372"/>
      <c r="M25" s="116"/>
      <c r="N25" s="116"/>
      <c r="O25" s="114"/>
      <c r="P25" s="372"/>
      <c r="Q25" s="114"/>
      <c r="R25" s="372"/>
      <c r="S25" s="372"/>
      <c r="T25" s="114"/>
      <c r="U25" s="393"/>
      <c r="V25" s="372"/>
      <c r="W25" s="114"/>
      <c r="X25" s="393"/>
      <c r="Y25" s="372"/>
      <c r="Z25" s="114"/>
      <c r="AA25" s="393"/>
      <c r="AB25" s="372"/>
      <c r="AC25" s="114"/>
    </row>
    <row r="26" spans="1:29" ht="14.5">
      <c r="A26" s="112" t="s">
        <v>107</v>
      </c>
      <c r="B26" s="117">
        <f t="shared" si="0"/>
        <v>23</v>
      </c>
      <c r="C26" s="372"/>
      <c r="D26" s="372"/>
      <c r="E26" s="114"/>
      <c r="F26" s="372"/>
      <c r="G26" s="372"/>
      <c r="H26" s="372"/>
      <c r="I26" s="114"/>
      <c r="J26" s="372"/>
      <c r="K26" s="114"/>
      <c r="L26" s="372"/>
      <c r="M26" s="116"/>
      <c r="N26" s="116"/>
      <c r="O26" s="114"/>
      <c r="P26" s="372"/>
      <c r="Q26" s="114"/>
      <c r="R26" s="372"/>
      <c r="S26" s="372"/>
      <c r="T26" s="114"/>
      <c r="U26" s="393"/>
      <c r="V26" s="372"/>
      <c r="W26" s="114"/>
      <c r="X26" s="393"/>
      <c r="Y26" s="372"/>
      <c r="Z26" s="114"/>
      <c r="AA26" s="393"/>
      <c r="AB26" s="372"/>
      <c r="AC26" s="114"/>
    </row>
    <row r="27" spans="1:29" ht="14.5">
      <c r="A27" s="112" t="s">
        <v>109</v>
      </c>
      <c r="B27" s="117">
        <f t="shared" si="0"/>
        <v>24</v>
      </c>
      <c r="C27" s="372"/>
      <c r="D27" s="372"/>
      <c r="E27" s="114"/>
      <c r="F27" s="372"/>
      <c r="G27" s="372"/>
      <c r="H27" s="372"/>
      <c r="I27" s="114"/>
      <c r="J27" s="372"/>
      <c r="K27" s="114"/>
      <c r="L27" s="372"/>
      <c r="M27" s="116"/>
      <c r="N27" s="116"/>
      <c r="O27" s="114"/>
      <c r="P27" s="372"/>
      <c r="Q27" s="114"/>
      <c r="R27" s="372"/>
      <c r="S27" s="372"/>
      <c r="T27" s="114"/>
      <c r="U27" s="393"/>
      <c r="V27" s="372"/>
      <c r="W27" s="114"/>
      <c r="X27" s="393"/>
      <c r="Y27" s="372"/>
      <c r="Z27" s="114"/>
      <c r="AA27" s="393"/>
      <c r="AB27" s="372"/>
      <c r="AC27" s="114"/>
    </row>
    <row r="28" spans="1:29" ht="14.5">
      <c r="A28" s="112" t="s">
        <v>110</v>
      </c>
      <c r="B28" s="117">
        <f t="shared" si="0"/>
        <v>25</v>
      </c>
      <c r="C28" s="372"/>
      <c r="D28" s="372"/>
      <c r="E28" s="114"/>
      <c r="F28" s="372"/>
      <c r="G28" s="372"/>
      <c r="H28" s="372"/>
      <c r="I28" s="114"/>
      <c r="J28" s="372"/>
      <c r="K28" s="114"/>
      <c r="L28" s="372"/>
      <c r="M28" s="116"/>
      <c r="N28" s="116"/>
      <c r="O28" s="114"/>
      <c r="P28" s="372"/>
      <c r="Q28" s="114"/>
      <c r="R28" s="372"/>
      <c r="S28" s="372"/>
      <c r="T28" s="114"/>
      <c r="U28" s="393"/>
      <c r="V28" s="372"/>
      <c r="W28" s="114"/>
      <c r="X28" s="393"/>
      <c r="Y28" s="372"/>
      <c r="Z28" s="114"/>
      <c r="AA28" s="393"/>
      <c r="AB28" s="372"/>
      <c r="AC28" s="114"/>
    </row>
    <row r="29" spans="1:29" ht="14.5">
      <c r="A29" s="112" t="s">
        <v>110</v>
      </c>
      <c r="B29" s="117">
        <f t="shared" si="0"/>
        <v>26</v>
      </c>
      <c r="C29" s="372"/>
      <c r="D29" s="372"/>
      <c r="E29" s="114"/>
      <c r="F29" s="372"/>
      <c r="G29" s="372"/>
      <c r="H29" s="372"/>
      <c r="I29" s="114"/>
      <c r="J29" s="372"/>
      <c r="K29" s="114"/>
      <c r="L29" s="372"/>
      <c r="M29" s="116"/>
      <c r="N29" s="116"/>
      <c r="O29" s="114"/>
      <c r="P29" s="372"/>
      <c r="Q29" s="114"/>
      <c r="R29" s="372"/>
      <c r="S29" s="372"/>
      <c r="T29" s="114"/>
      <c r="U29" s="393"/>
      <c r="V29" s="372"/>
      <c r="W29" s="114"/>
      <c r="X29" s="393"/>
      <c r="Y29" s="372"/>
      <c r="Z29" s="114"/>
      <c r="AA29" s="393"/>
      <c r="AB29" s="372"/>
      <c r="AC29" s="114"/>
    </row>
    <row r="30" spans="1:29" ht="14.5">
      <c r="A30" s="118" t="s">
        <v>107</v>
      </c>
      <c r="B30" s="117">
        <f t="shared" si="0"/>
        <v>27</v>
      </c>
      <c r="C30" s="356"/>
      <c r="D30" s="356"/>
      <c r="E30" s="121"/>
      <c r="F30" s="356"/>
      <c r="G30" s="356"/>
      <c r="H30" s="356"/>
      <c r="I30" s="121"/>
      <c r="J30" s="356"/>
      <c r="K30" s="121"/>
      <c r="L30" s="356"/>
      <c r="M30" s="120"/>
      <c r="N30" s="120"/>
      <c r="O30" s="119"/>
      <c r="P30" s="356"/>
      <c r="Q30" s="121"/>
      <c r="R30" s="356"/>
      <c r="S30" s="356"/>
      <c r="T30" s="121"/>
      <c r="U30" s="395"/>
      <c r="V30" s="356"/>
      <c r="W30" s="121"/>
      <c r="X30" s="395"/>
      <c r="Y30" s="356"/>
      <c r="Z30" s="121"/>
      <c r="AA30" s="395"/>
      <c r="AB30" s="356"/>
      <c r="AC30" s="121"/>
    </row>
    <row r="31" spans="1:29" ht="14.5">
      <c r="A31" s="112" t="s">
        <v>107</v>
      </c>
      <c r="B31" s="117">
        <f t="shared" si="0"/>
        <v>28</v>
      </c>
      <c r="C31" s="407">
        <f>1+C24</f>
        <v>5</v>
      </c>
      <c r="D31" s="408"/>
      <c r="E31" s="114"/>
      <c r="F31" s="390" t="e">
        <f>AVERAGE(E31:E37)</f>
        <v>#DIV/0!</v>
      </c>
      <c r="G31" s="411" t="e">
        <f>F31-F24</f>
        <v>#DIV/0!</v>
      </c>
      <c r="H31" s="411" t="e">
        <f>(F31*100/F24)-100</f>
        <v>#DIV/0!</v>
      </c>
      <c r="I31" s="114"/>
      <c r="J31" s="390" t="e">
        <f>AVERAGE(I31:I37)</f>
        <v>#DIV/0!</v>
      </c>
      <c r="K31" s="114"/>
      <c r="L31" s="410" t="e">
        <f>AVERAGE(K31:K37)</f>
        <v>#DIV/0!</v>
      </c>
      <c r="M31" s="116"/>
      <c r="N31" s="116"/>
      <c r="O31" s="114"/>
      <c r="P31" s="389"/>
      <c r="Q31" s="114"/>
      <c r="R31" s="390" t="e">
        <f>AVERAGE(Q31:Q37)</f>
        <v>#DIV/0!</v>
      </c>
      <c r="S31" s="391" t="e">
        <f>R31-P31</f>
        <v>#DIV/0!</v>
      </c>
      <c r="T31" s="114"/>
      <c r="U31" s="392">
        <f>(P31-(X31*4+AA31*9))/4</f>
        <v>0</v>
      </c>
      <c r="V31" s="390" t="e">
        <f>AVERAGE(T31:T37)</f>
        <v>#DIV/0!</v>
      </c>
      <c r="W31" s="114"/>
      <c r="X31" s="394"/>
      <c r="Y31" s="390" t="e">
        <f>AVERAGE(W31:W37)</f>
        <v>#DIV/0!</v>
      </c>
      <c r="Z31" s="114"/>
      <c r="AA31" s="406"/>
      <c r="AB31" s="390" t="e">
        <f>AVERAGE(Z31:Z37)</f>
        <v>#DIV/0!</v>
      </c>
      <c r="AC31" s="114"/>
    </row>
    <row r="32" spans="1:29" ht="14.5">
      <c r="A32" s="112" t="s">
        <v>108</v>
      </c>
      <c r="B32" s="117">
        <f t="shared" si="0"/>
        <v>29</v>
      </c>
      <c r="C32" s="372"/>
      <c r="D32" s="372"/>
      <c r="E32" s="114"/>
      <c r="F32" s="372"/>
      <c r="G32" s="372"/>
      <c r="H32" s="372"/>
      <c r="I32" s="114"/>
      <c r="J32" s="372"/>
      <c r="K32" s="114"/>
      <c r="L32" s="372"/>
      <c r="M32" s="116"/>
      <c r="N32" s="116"/>
      <c r="O32" s="114"/>
      <c r="P32" s="372"/>
      <c r="Q32" s="114"/>
      <c r="R32" s="372"/>
      <c r="S32" s="372"/>
      <c r="T32" s="114"/>
      <c r="U32" s="393"/>
      <c r="V32" s="372"/>
      <c r="W32" s="114"/>
      <c r="X32" s="393"/>
      <c r="Y32" s="372"/>
      <c r="Z32" s="114"/>
      <c r="AA32" s="393"/>
      <c r="AB32" s="372"/>
      <c r="AC32" s="114"/>
    </row>
    <row r="33" spans="1:29" ht="14.5">
      <c r="A33" s="112" t="s">
        <v>107</v>
      </c>
      <c r="B33" s="117">
        <f t="shared" si="0"/>
        <v>30</v>
      </c>
      <c r="C33" s="372"/>
      <c r="D33" s="372"/>
      <c r="E33" s="114"/>
      <c r="F33" s="372"/>
      <c r="G33" s="372"/>
      <c r="H33" s="372"/>
      <c r="I33" s="114"/>
      <c r="J33" s="372"/>
      <c r="K33" s="114"/>
      <c r="L33" s="372"/>
      <c r="M33" s="116"/>
      <c r="N33" s="116"/>
      <c r="O33" s="114"/>
      <c r="P33" s="372"/>
      <c r="Q33" s="114"/>
      <c r="R33" s="372"/>
      <c r="S33" s="372"/>
      <c r="T33" s="114"/>
      <c r="U33" s="393"/>
      <c r="V33" s="372"/>
      <c r="W33" s="114"/>
      <c r="X33" s="393"/>
      <c r="Y33" s="372"/>
      <c r="Z33" s="114"/>
      <c r="AA33" s="393"/>
      <c r="AB33" s="372"/>
      <c r="AC33" s="114"/>
    </row>
    <row r="34" spans="1:29" ht="14.5">
      <c r="A34" s="112" t="s">
        <v>109</v>
      </c>
      <c r="B34" s="117">
        <f t="shared" si="0"/>
        <v>31</v>
      </c>
      <c r="C34" s="372"/>
      <c r="D34" s="372"/>
      <c r="E34" s="114"/>
      <c r="F34" s="372"/>
      <c r="G34" s="372"/>
      <c r="H34" s="372"/>
      <c r="I34" s="114"/>
      <c r="J34" s="372"/>
      <c r="K34" s="114"/>
      <c r="L34" s="372"/>
      <c r="M34" s="116"/>
      <c r="N34" s="116"/>
      <c r="O34" s="114"/>
      <c r="P34" s="372"/>
      <c r="Q34" s="114"/>
      <c r="R34" s="372"/>
      <c r="S34" s="372"/>
      <c r="T34" s="114"/>
      <c r="U34" s="393"/>
      <c r="V34" s="372"/>
      <c r="W34" s="114"/>
      <c r="X34" s="393"/>
      <c r="Y34" s="372"/>
      <c r="Z34" s="114"/>
      <c r="AA34" s="393"/>
      <c r="AB34" s="372"/>
      <c r="AC34" s="114"/>
    </row>
    <row r="35" spans="1:29" ht="14.5">
      <c r="A35" s="112" t="s">
        <v>110</v>
      </c>
      <c r="B35" s="117">
        <f t="shared" si="0"/>
        <v>32</v>
      </c>
      <c r="C35" s="372"/>
      <c r="D35" s="372"/>
      <c r="E35" s="114"/>
      <c r="F35" s="372"/>
      <c r="G35" s="372"/>
      <c r="H35" s="372"/>
      <c r="I35" s="114"/>
      <c r="J35" s="372"/>
      <c r="K35" s="114"/>
      <c r="L35" s="372"/>
      <c r="M35" s="116"/>
      <c r="N35" s="116"/>
      <c r="O35" s="114"/>
      <c r="P35" s="372"/>
      <c r="Q35" s="114"/>
      <c r="R35" s="372"/>
      <c r="S35" s="372"/>
      <c r="T35" s="114"/>
      <c r="U35" s="393"/>
      <c r="V35" s="372"/>
      <c r="W35" s="114"/>
      <c r="X35" s="393"/>
      <c r="Y35" s="372"/>
      <c r="Z35" s="114"/>
      <c r="AA35" s="393"/>
      <c r="AB35" s="372"/>
      <c r="AC35" s="114"/>
    </row>
    <row r="36" spans="1:29" ht="14.5">
      <c r="A36" s="112" t="s">
        <v>110</v>
      </c>
      <c r="B36" s="117">
        <f t="shared" si="0"/>
        <v>33</v>
      </c>
      <c r="C36" s="372"/>
      <c r="D36" s="372"/>
      <c r="E36" s="114"/>
      <c r="F36" s="372"/>
      <c r="G36" s="372"/>
      <c r="H36" s="372"/>
      <c r="I36" s="114"/>
      <c r="J36" s="372"/>
      <c r="K36" s="114"/>
      <c r="L36" s="372"/>
      <c r="M36" s="116"/>
      <c r="N36" s="116"/>
      <c r="O36" s="114"/>
      <c r="P36" s="372"/>
      <c r="Q36" s="114"/>
      <c r="R36" s="372"/>
      <c r="S36" s="372"/>
      <c r="T36" s="114"/>
      <c r="U36" s="393"/>
      <c r="V36" s="372"/>
      <c r="W36" s="114"/>
      <c r="X36" s="393"/>
      <c r="Y36" s="372"/>
      <c r="Z36" s="114"/>
      <c r="AA36" s="393"/>
      <c r="AB36" s="372"/>
      <c r="AC36" s="114"/>
    </row>
    <row r="37" spans="1:29" ht="14.5">
      <c r="A37" s="118" t="s">
        <v>107</v>
      </c>
      <c r="B37" s="117">
        <f t="shared" si="0"/>
        <v>34</v>
      </c>
      <c r="C37" s="356"/>
      <c r="D37" s="356"/>
      <c r="E37" s="119"/>
      <c r="F37" s="356"/>
      <c r="G37" s="356"/>
      <c r="H37" s="356"/>
      <c r="I37" s="119"/>
      <c r="J37" s="356"/>
      <c r="K37" s="119"/>
      <c r="L37" s="361"/>
      <c r="M37" s="120"/>
      <c r="N37" s="120"/>
      <c r="O37" s="119"/>
      <c r="P37" s="356"/>
      <c r="Q37" s="119"/>
      <c r="R37" s="356"/>
      <c r="S37" s="356"/>
      <c r="T37" s="119"/>
      <c r="U37" s="395"/>
      <c r="V37" s="356"/>
      <c r="W37" s="119"/>
      <c r="X37" s="395"/>
      <c r="Y37" s="356"/>
      <c r="Z37" s="119"/>
      <c r="AA37" s="395"/>
      <c r="AB37" s="356"/>
      <c r="AC37" s="119"/>
    </row>
    <row r="38" spans="1:29" ht="14.5">
      <c r="A38" s="112" t="s">
        <v>107</v>
      </c>
      <c r="B38" s="117">
        <f t="shared" si="0"/>
        <v>35</v>
      </c>
      <c r="C38" s="407">
        <f>1+C31</f>
        <v>6</v>
      </c>
      <c r="D38" s="408"/>
      <c r="E38" s="114"/>
      <c r="F38" s="390" t="e">
        <f>AVERAGE(E38:E44)</f>
        <v>#DIV/0!</v>
      </c>
      <c r="G38" s="411" t="e">
        <f>F38-F31</f>
        <v>#DIV/0!</v>
      </c>
      <c r="H38" s="411" t="e">
        <f>(F38*100/F31)-100</f>
        <v>#DIV/0!</v>
      </c>
      <c r="I38" s="114"/>
      <c r="J38" s="390" t="e">
        <f>AVERAGE(I38:I44)</f>
        <v>#DIV/0!</v>
      </c>
      <c r="K38" s="114"/>
      <c r="L38" s="410" t="e">
        <f>AVERAGE(K38:K44)</f>
        <v>#DIV/0!</v>
      </c>
      <c r="M38" s="116"/>
      <c r="N38" s="116"/>
      <c r="O38" s="114"/>
      <c r="P38" s="389"/>
      <c r="Q38" s="114"/>
      <c r="R38" s="390" t="e">
        <f>AVERAGE(Q38:Q44)</f>
        <v>#DIV/0!</v>
      </c>
      <c r="S38" s="391" t="e">
        <f>R38-P38</f>
        <v>#DIV/0!</v>
      </c>
      <c r="T38" s="114"/>
      <c r="U38" s="392">
        <f>(P38-(X38*4+AA38*9))/4</f>
        <v>0</v>
      </c>
      <c r="V38" s="390" t="e">
        <f>AVERAGE(T38:T44)</f>
        <v>#DIV/0!</v>
      </c>
      <c r="W38" s="114"/>
      <c r="X38" s="394"/>
      <c r="Y38" s="390" t="e">
        <f>AVERAGE(W38:W44)</f>
        <v>#DIV/0!</v>
      </c>
      <c r="Z38" s="114"/>
      <c r="AA38" s="406"/>
      <c r="AB38" s="390" t="e">
        <f>AVERAGE(Z38:Z44)</f>
        <v>#DIV/0!</v>
      </c>
      <c r="AC38" s="114"/>
    </row>
    <row r="39" spans="1:29" ht="14.5">
      <c r="A39" s="112" t="s">
        <v>108</v>
      </c>
      <c r="B39" s="117">
        <f t="shared" si="0"/>
        <v>36</v>
      </c>
      <c r="C39" s="372"/>
      <c r="D39" s="372"/>
      <c r="E39" s="114"/>
      <c r="F39" s="372"/>
      <c r="G39" s="372"/>
      <c r="H39" s="372"/>
      <c r="I39" s="114"/>
      <c r="J39" s="372"/>
      <c r="K39" s="114"/>
      <c r="L39" s="372"/>
      <c r="M39" s="116"/>
      <c r="N39" s="116"/>
      <c r="O39" s="114"/>
      <c r="P39" s="372"/>
      <c r="Q39" s="114"/>
      <c r="R39" s="372"/>
      <c r="S39" s="372"/>
      <c r="T39" s="114"/>
      <c r="U39" s="393"/>
      <c r="V39" s="372"/>
      <c r="W39" s="114"/>
      <c r="X39" s="393"/>
      <c r="Y39" s="372"/>
      <c r="Z39" s="114"/>
      <c r="AA39" s="393"/>
      <c r="AB39" s="372"/>
      <c r="AC39" s="114"/>
    </row>
    <row r="40" spans="1:29" ht="14.5">
      <c r="A40" s="112" t="s">
        <v>107</v>
      </c>
      <c r="B40" s="117">
        <f t="shared" si="0"/>
        <v>37</v>
      </c>
      <c r="C40" s="372"/>
      <c r="D40" s="372"/>
      <c r="E40" s="114"/>
      <c r="F40" s="372"/>
      <c r="G40" s="372"/>
      <c r="H40" s="372"/>
      <c r="I40" s="114"/>
      <c r="J40" s="372"/>
      <c r="K40" s="114"/>
      <c r="L40" s="372"/>
      <c r="M40" s="116"/>
      <c r="N40" s="116"/>
      <c r="O40" s="114"/>
      <c r="P40" s="372"/>
      <c r="Q40" s="114"/>
      <c r="R40" s="372"/>
      <c r="S40" s="372"/>
      <c r="T40" s="114"/>
      <c r="U40" s="393"/>
      <c r="V40" s="372"/>
      <c r="W40" s="114"/>
      <c r="X40" s="393"/>
      <c r="Y40" s="372"/>
      <c r="Z40" s="114"/>
      <c r="AA40" s="393"/>
      <c r="AB40" s="372"/>
      <c r="AC40" s="114"/>
    </row>
    <row r="41" spans="1:29" ht="14.5">
      <c r="A41" s="112" t="s">
        <v>109</v>
      </c>
      <c r="B41" s="117">
        <f t="shared" si="0"/>
        <v>38</v>
      </c>
      <c r="C41" s="372"/>
      <c r="D41" s="372"/>
      <c r="E41" s="114"/>
      <c r="F41" s="372"/>
      <c r="G41" s="372"/>
      <c r="H41" s="372"/>
      <c r="I41" s="114"/>
      <c r="J41" s="372"/>
      <c r="K41" s="114"/>
      <c r="L41" s="372"/>
      <c r="M41" s="116"/>
      <c r="N41" s="116"/>
      <c r="O41" s="114"/>
      <c r="P41" s="372"/>
      <c r="Q41" s="114"/>
      <c r="R41" s="372"/>
      <c r="S41" s="372"/>
      <c r="T41" s="114"/>
      <c r="U41" s="393"/>
      <c r="V41" s="372"/>
      <c r="W41" s="114"/>
      <c r="X41" s="393"/>
      <c r="Y41" s="372"/>
      <c r="Z41" s="114"/>
      <c r="AA41" s="393"/>
      <c r="AB41" s="372"/>
      <c r="AC41" s="114"/>
    </row>
    <row r="42" spans="1:29" ht="14.5">
      <c r="A42" s="112" t="s">
        <v>110</v>
      </c>
      <c r="B42" s="117">
        <f t="shared" si="0"/>
        <v>39</v>
      </c>
      <c r="C42" s="372"/>
      <c r="D42" s="372"/>
      <c r="E42" s="114"/>
      <c r="F42" s="372"/>
      <c r="G42" s="372"/>
      <c r="H42" s="372"/>
      <c r="I42" s="114"/>
      <c r="J42" s="372"/>
      <c r="K42" s="114"/>
      <c r="L42" s="372"/>
      <c r="M42" s="116"/>
      <c r="N42" s="116"/>
      <c r="O42" s="114"/>
      <c r="P42" s="372"/>
      <c r="Q42" s="114"/>
      <c r="R42" s="372"/>
      <c r="S42" s="372"/>
      <c r="T42" s="114"/>
      <c r="U42" s="393"/>
      <c r="V42" s="372"/>
      <c r="W42" s="114"/>
      <c r="X42" s="393"/>
      <c r="Y42" s="372"/>
      <c r="Z42" s="114"/>
      <c r="AA42" s="393"/>
      <c r="AB42" s="372"/>
      <c r="AC42" s="114"/>
    </row>
    <row r="43" spans="1:29" ht="14.5">
      <c r="A43" s="112" t="s">
        <v>110</v>
      </c>
      <c r="B43" s="117">
        <f t="shared" si="0"/>
        <v>40</v>
      </c>
      <c r="C43" s="372"/>
      <c r="D43" s="372"/>
      <c r="E43" s="114"/>
      <c r="F43" s="372"/>
      <c r="G43" s="372"/>
      <c r="H43" s="372"/>
      <c r="I43" s="114"/>
      <c r="J43" s="372"/>
      <c r="K43" s="114"/>
      <c r="L43" s="372"/>
      <c r="M43" s="116"/>
      <c r="N43" s="116"/>
      <c r="O43" s="114"/>
      <c r="P43" s="372"/>
      <c r="Q43" s="114"/>
      <c r="R43" s="372"/>
      <c r="S43" s="372"/>
      <c r="T43" s="114"/>
      <c r="U43" s="393"/>
      <c r="V43" s="372"/>
      <c r="W43" s="114"/>
      <c r="X43" s="393"/>
      <c r="Y43" s="372"/>
      <c r="Z43" s="114"/>
      <c r="AA43" s="393"/>
      <c r="AB43" s="372"/>
      <c r="AC43" s="114"/>
    </row>
    <row r="44" spans="1:29" ht="14.5">
      <c r="A44" s="118" t="s">
        <v>107</v>
      </c>
      <c r="B44" s="117">
        <f t="shared" si="0"/>
        <v>41</v>
      </c>
      <c r="C44" s="356"/>
      <c r="D44" s="356"/>
      <c r="E44" s="121"/>
      <c r="F44" s="356"/>
      <c r="G44" s="356"/>
      <c r="H44" s="356"/>
      <c r="I44" s="121"/>
      <c r="J44" s="356"/>
      <c r="K44" s="121"/>
      <c r="L44" s="356"/>
      <c r="M44" s="120"/>
      <c r="N44" s="120"/>
      <c r="O44" s="119"/>
      <c r="P44" s="356"/>
      <c r="Q44" s="121"/>
      <c r="R44" s="356"/>
      <c r="S44" s="356"/>
      <c r="T44" s="121"/>
      <c r="U44" s="395"/>
      <c r="V44" s="356"/>
      <c r="W44" s="121"/>
      <c r="X44" s="395"/>
      <c r="Y44" s="356"/>
      <c r="Z44" s="121"/>
      <c r="AA44" s="395"/>
      <c r="AB44" s="356"/>
      <c r="AC44" s="121"/>
    </row>
    <row r="45" spans="1:29" ht="14.5">
      <c r="A45" s="112" t="s">
        <v>107</v>
      </c>
      <c r="B45" s="117">
        <f t="shared" si="0"/>
        <v>42</v>
      </c>
      <c r="C45" s="407">
        <f>1+C38</f>
        <v>7</v>
      </c>
      <c r="D45" s="408"/>
      <c r="E45" s="114"/>
      <c r="F45" s="390" t="e">
        <f>AVERAGE(E45:E51)</f>
        <v>#DIV/0!</v>
      </c>
      <c r="G45" s="411" t="e">
        <f>F45-F38</f>
        <v>#DIV/0!</v>
      </c>
      <c r="H45" s="411" t="e">
        <f>(F45*100/F38)-100</f>
        <v>#DIV/0!</v>
      </c>
      <c r="I45" s="114"/>
      <c r="J45" s="390" t="e">
        <f>AVERAGE(I45:I51)</f>
        <v>#DIV/0!</v>
      </c>
      <c r="K45" s="114"/>
      <c r="L45" s="410" t="e">
        <f>AVERAGE(K45:K51)</f>
        <v>#DIV/0!</v>
      </c>
      <c r="M45" s="116"/>
      <c r="N45" s="116"/>
      <c r="O45" s="114"/>
      <c r="P45" s="389"/>
      <c r="Q45" s="114"/>
      <c r="R45" s="390" t="e">
        <f>AVERAGE(Q45:Q51)</f>
        <v>#DIV/0!</v>
      </c>
      <c r="S45" s="391" t="e">
        <f>R45-P45</f>
        <v>#DIV/0!</v>
      </c>
      <c r="T45" s="114"/>
      <c r="U45" s="392">
        <f>(P45-(X45*4+AA45*9))/4</f>
        <v>0</v>
      </c>
      <c r="V45" s="390" t="e">
        <f>AVERAGE(T45:T51)</f>
        <v>#DIV/0!</v>
      </c>
      <c r="W45" s="114"/>
      <c r="X45" s="394"/>
      <c r="Y45" s="390" t="e">
        <f>AVERAGE(W45:W51)</f>
        <v>#DIV/0!</v>
      </c>
      <c r="Z45" s="114"/>
      <c r="AA45" s="406"/>
      <c r="AB45" s="390" t="e">
        <f>AVERAGE(Z45:Z51)</f>
        <v>#DIV/0!</v>
      </c>
      <c r="AC45" s="114"/>
    </row>
    <row r="46" spans="1:29" ht="14.5">
      <c r="A46" s="112" t="s">
        <v>108</v>
      </c>
      <c r="B46" s="117">
        <f t="shared" si="0"/>
        <v>43</v>
      </c>
      <c r="C46" s="372"/>
      <c r="D46" s="372"/>
      <c r="E46" s="114"/>
      <c r="F46" s="372"/>
      <c r="G46" s="372"/>
      <c r="H46" s="372"/>
      <c r="I46" s="114"/>
      <c r="J46" s="372"/>
      <c r="K46" s="114"/>
      <c r="L46" s="372"/>
      <c r="M46" s="116"/>
      <c r="N46" s="116"/>
      <c r="O46" s="114"/>
      <c r="P46" s="372"/>
      <c r="Q46" s="114"/>
      <c r="R46" s="372"/>
      <c r="S46" s="372"/>
      <c r="T46" s="114"/>
      <c r="U46" s="393"/>
      <c r="V46" s="372"/>
      <c r="W46" s="114"/>
      <c r="X46" s="393"/>
      <c r="Y46" s="372"/>
      <c r="Z46" s="114"/>
      <c r="AA46" s="393"/>
      <c r="AB46" s="372"/>
      <c r="AC46" s="114"/>
    </row>
    <row r="47" spans="1:29" ht="14.5">
      <c r="A47" s="112" t="s">
        <v>107</v>
      </c>
      <c r="B47" s="117">
        <f t="shared" si="0"/>
        <v>44</v>
      </c>
      <c r="C47" s="372"/>
      <c r="D47" s="372"/>
      <c r="E47" s="114"/>
      <c r="F47" s="372"/>
      <c r="G47" s="372"/>
      <c r="H47" s="372"/>
      <c r="I47" s="114"/>
      <c r="J47" s="372"/>
      <c r="K47" s="114"/>
      <c r="L47" s="372"/>
      <c r="M47" s="116"/>
      <c r="N47" s="116"/>
      <c r="O47" s="114"/>
      <c r="P47" s="372"/>
      <c r="Q47" s="114"/>
      <c r="R47" s="372"/>
      <c r="S47" s="372"/>
      <c r="T47" s="114"/>
      <c r="U47" s="393"/>
      <c r="V47" s="372"/>
      <c r="W47" s="114"/>
      <c r="X47" s="393"/>
      <c r="Y47" s="372"/>
      <c r="Z47" s="114"/>
      <c r="AA47" s="393"/>
      <c r="AB47" s="372"/>
      <c r="AC47" s="114"/>
    </row>
    <row r="48" spans="1:29" ht="14.5">
      <c r="A48" s="112" t="s">
        <v>109</v>
      </c>
      <c r="B48" s="117">
        <f t="shared" si="0"/>
        <v>45</v>
      </c>
      <c r="C48" s="372"/>
      <c r="D48" s="372"/>
      <c r="E48" s="114"/>
      <c r="F48" s="372"/>
      <c r="G48" s="372"/>
      <c r="H48" s="372"/>
      <c r="I48" s="114"/>
      <c r="J48" s="372"/>
      <c r="K48" s="114"/>
      <c r="L48" s="372"/>
      <c r="M48" s="116"/>
      <c r="N48" s="116"/>
      <c r="O48" s="114"/>
      <c r="P48" s="372"/>
      <c r="Q48" s="114"/>
      <c r="R48" s="372"/>
      <c r="S48" s="372"/>
      <c r="T48" s="114"/>
      <c r="U48" s="393"/>
      <c r="V48" s="372"/>
      <c r="W48" s="114"/>
      <c r="X48" s="393"/>
      <c r="Y48" s="372"/>
      <c r="Z48" s="114"/>
      <c r="AA48" s="393"/>
      <c r="AB48" s="372"/>
      <c r="AC48" s="114"/>
    </row>
    <row r="49" spans="1:29" ht="14.5">
      <c r="A49" s="112" t="s">
        <v>110</v>
      </c>
      <c r="B49" s="117">
        <f t="shared" si="0"/>
        <v>46</v>
      </c>
      <c r="C49" s="372"/>
      <c r="D49" s="372"/>
      <c r="E49" s="114"/>
      <c r="F49" s="372"/>
      <c r="G49" s="372"/>
      <c r="H49" s="372"/>
      <c r="I49" s="114"/>
      <c r="J49" s="372"/>
      <c r="K49" s="114"/>
      <c r="L49" s="372"/>
      <c r="M49" s="116"/>
      <c r="N49" s="116"/>
      <c r="O49" s="114"/>
      <c r="P49" s="372"/>
      <c r="Q49" s="114"/>
      <c r="R49" s="372"/>
      <c r="S49" s="372"/>
      <c r="T49" s="114"/>
      <c r="U49" s="393"/>
      <c r="V49" s="372"/>
      <c r="W49" s="114"/>
      <c r="X49" s="393"/>
      <c r="Y49" s="372"/>
      <c r="Z49" s="114"/>
      <c r="AA49" s="393"/>
      <c r="AB49" s="372"/>
      <c r="AC49" s="114"/>
    </row>
    <row r="50" spans="1:29" ht="14.5">
      <c r="A50" s="112" t="s">
        <v>110</v>
      </c>
      <c r="B50" s="117">
        <f t="shared" si="0"/>
        <v>47</v>
      </c>
      <c r="C50" s="372"/>
      <c r="D50" s="372"/>
      <c r="E50" s="114"/>
      <c r="F50" s="372"/>
      <c r="G50" s="372"/>
      <c r="H50" s="372"/>
      <c r="I50" s="114"/>
      <c r="J50" s="372"/>
      <c r="K50" s="114"/>
      <c r="L50" s="372"/>
      <c r="M50" s="116"/>
      <c r="N50" s="116"/>
      <c r="O50" s="114"/>
      <c r="P50" s="372"/>
      <c r="Q50" s="114"/>
      <c r="R50" s="372"/>
      <c r="S50" s="372"/>
      <c r="T50" s="114"/>
      <c r="U50" s="393"/>
      <c r="V50" s="372"/>
      <c r="W50" s="114"/>
      <c r="X50" s="393"/>
      <c r="Y50" s="372"/>
      <c r="Z50" s="114"/>
      <c r="AA50" s="393"/>
      <c r="AB50" s="372"/>
      <c r="AC50" s="114"/>
    </row>
    <row r="51" spans="1:29" ht="14.5">
      <c r="A51" s="118" t="s">
        <v>107</v>
      </c>
      <c r="B51" s="117">
        <f t="shared" si="0"/>
        <v>48</v>
      </c>
      <c r="C51" s="356"/>
      <c r="D51" s="356"/>
      <c r="E51" s="119"/>
      <c r="F51" s="356"/>
      <c r="G51" s="356"/>
      <c r="H51" s="356"/>
      <c r="I51" s="119"/>
      <c r="J51" s="356"/>
      <c r="K51" s="119"/>
      <c r="L51" s="361"/>
      <c r="M51" s="120"/>
      <c r="N51" s="120"/>
      <c r="O51" s="119"/>
      <c r="P51" s="356"/>
      <c r="Q51" s="119"/>
      <c r="R51" s="356"/>
      <c r="S51" s="356"/>
      <c r="T51" s="119"/>
      <c r="U51" s="395"/>
      <c r="V51" s="356"/>
      <c r="W51" s="119"/>
      <c r="X51" s="395"/>
      <c r="Y51" s="356"/>
      <c r="Z51" s="119"/>
      <c r="AA51" s="395"/>
      <c r="AB51" s="356"/>
      <c r="AC51" s="119"/>
    </row>
    <row r="52" spans="1:29" ht="14.5">
      <c r="A52" s="112" t="s">
        <v>107</v>
      </c>
      <c r="B52" s="117">
        <f t="shared" si="0"/>
        <v>49</v>
      </c>
      <c r="C52" s="407">
        <f>1+C45</f>
        <v>8</v>
      </c>
      <c r="D52" s="408"/>
      <c r="E52" s="114"/>
      <c r="F52" s="390" t="e">
        <f>AVERAGE(E52:E58)</f>
        <v>#DIV/0!</v>
      </c>
      <c r="G52" s="411" t="e">
        <f>F52-F45</f>
        <v>#DIV/0!</v>
      </c>
      <c r="H52" s="411" t="e">
        <f>(F52*100/F45)-100</f>
        <v>#DIV/0!</v>
      </c>
      <c r="I52" s="114"/>
      <c r="J52" s="390" t="e">
        <f>AVERAGE(I52:I58)</f>
        <v>#DIV/0!</v>
      </c>
      <c r="K52" s="114"/>
      <c r="L52" s="410" t="e">
        <f>AVERAGE(K52:K58)</f>
        <v>#DIV/0!</v>
      </c>
      <c r="M52" s="116"/>
      <c r="N52" s="116"/>
      <c r="O52" s="114"/>
      <c r="P52" s="389"/>
      <c r="Q52" s="114"/>
      <c r="R52" s="390" t="e">
        <f>AVERAGE(Q52:Q58)</f>
        <v>#DIV/0!</v>
      </c>
      <c r="S52" s="391" t="e">
        <f>R52-P52</f>
        <v>#DIV/0!</v>
      </c>
      <c r="T52" s="114"/>
      <c r="U52" s="392">
        <f>(P52-(X52*4+AA52*9))/4</f>
        <v>0</v>
      </c>
      <c r="V52" s="390" t="e">
        <f>AVERAGE(T52:T58)</f>
        <v>#DIV/0!</v>
      </c>
      <c r="W52" s="114"/>
      <c r="X52" s="394"/>
      <c r="Y52" s="390" t="e">
        <f>AVERAGE(W52:W58)</f>
        <v>#DIV/0!</v>
      </c>
      <c r="Z52" s="114"/>
      <c r="AA52" s="406"/>
      <c r="AB52" s="390" t="e">
        <f>AVERAGE(Z52:Z58)</f>
        <v>#DIV/0!</v>
      </c>
      <c r="AC52" s="114"/>
    </row>
    <row r="53" spans="1:29" ht="14.5">
      <c r="A53" s="112" t="s">
        <v>108</v>
      </c>
      <c r="B53" s="117">
        <f t="shared" si="0"/>
        <v>50</v>
      </c>
      <c r="C53" s="372"/>
      <c r="D53" s="372"/>
      <c r="E53" s="114"/>
      <c r="F53" s="372"/>
      <c r="G53" s="372"/>
      <c r="H53" s="372"/>
      <c r="I53" s="114"/>
      <c r="J53" s="372"/>
      <c r="K53" s="114"/>
      <c r="L53" s="372"/>
      <c r="M53" s="116"/>
      <c r="N53" s="116"/>
      <c r="O53" s="114"/>
      <c r="P53" s="372"/>
      <c r="Q53" s="114"/>
      <c r="R53" s="372"/>
      <c r="S53" s="372"/>
      <c r="T53" s="114"/>
      <c r="U53" s="393"/>
      <c r="V53" s="372"/>
      <c r="W53" s="114"/>
      <c r="X53" s="393"/>
      <c r="Y53" s="372"/>
      <c r="Z53" s="114"/>
      <c r="AA53" s="393"/>
      <c r="AB53" s="372"/>
      <c r="AC53" s="114"/>
    </row>
    <row r="54" spans="1:29" ht="14.5">
      <c r="A54" s="112" t="s">
        <v>107</v>
      </c>
      <c r="B54" s="117">
        <f t="shared" si="0"/>
        <v>51</v>
      </c>
      <c r="C54" s="372"/>
      <c r="D54" s="372"/>
      <c r="E54" s="114"/>
      <c r="F54" s="372"/>
      <c r="G54" s="372"/>
      <c r="H54" s="372"/>
      <c r="I54" s="114"/>
      <c r="J54" s="372"/>
      <c r="K54" s="114"/>
      <c r="L54" s="372"/>
      <c r="M54" s="116"/>
      <c r="N54" s="116"/>
      <c r="O54" s="114"/>
      <c r="P54" s="372"/>
      <c r="Q54" s="114"/>
      <c r="R54" s="372"/>
      <c r="S54" s="372"/>
      <c r="T54" s="114"/>
      <c r="U54" s="393"/>
      <c r="V54" s="372"/>
      <c r="W54" s="114"/>
      <c r="X54" s="393"/>
      <c r="Y54" s="372"/>
      <c r="Z54" s="114"/>
      <c r="AA54" s="393"/>
      <c r="AB54" s="372"/>
      <c r="AC54" s="114"/>
    </row>
    <row r="55" spans="1:29" ht="14.5">
      <c r="A55" s="112" t="s">
        <v>109</v>
      </c>
      <c r="B55" s="117">
        <f t="shared" si="0"/>
        <v>52</v>
      </c>
      <c r="C55" s="372"/>
      <c r="D55" s="372"/>
      <c r="E55" s="114"/>
      <c r="F55" s="372"/>
      <c r="G55" s="372"/>
      <c r="H55" s="372"/>
      <c r="I55" s="114"/>
      <c r="J55" s="372"/>
      <c r="K55" s="114"/>
      <c r="L55" s="372"/>
      <c r="M55" s="116"/>
      <c r="N55" s="116"/>
      <c r="O55" s="114"/>
      <c r="P55" s="372"/>
      <c r="Q55" s="114"/>
      <c r="R55" s="372"/>
      <c r="S55" s="372"/>
      <c r="T55" s="114"/>
      <c r="U55" s="393"/>
      <c r="V55" s="372"/>
      <c r="W55" s="114"/>
      <c r="X55" s="393"/>
      <c r="Y55" s="372"/>
      <c r="Z55" s="114"/>
      <c r="AA55" s="393"/>
      <c r="AB55" s="372"/>
      <c r="AC55" s="114"/>
    </row>
    <row r="56" spans="1:29" ht="14.5">
      <c r="A56" s="112" t="s">
        <v>110</v>
      </c>
      <c r="B56" s="117">
        <f t="shared" si="0"/>
        <v>53</v>
      </c>
      <c r="C56" s="372"/>
      <c r="D56" s="372"/>
      <c r="E56" s="114"/>
      <c r="F56" s="372"/>
      <c r="G56" s="372"/>
      <c r="H56" s="372"/>
      <c r="I56" s="114"/>
      <c r="J56" s="372"/>
      <c r="K56" s="114"/>
      <c r="L56" s="372"/>
      <c r="M56" s="116"/>
      <c r="N56" s="116"/>
      <c r="O56" s="114"/>
      <c r="P56" s="372"/>
      <c r="Q56" s="114"/>
      <c r="R56" s="372"/>
      <c r="S56" s="372"/>
      <c r="T56" s="114"/>
      <c r="U56" s="393"/>
      <c r="V56" s="372"/>
      <c r="W56" s="114"/>
      <c r="X56" s="393"/>
      <c r="Y56" s="372"/>
      <c r="Z56" s="114"/>
      <c r="AA56" s="393"/>
      <c r="AB56" s="372"/>
      <c r="AC56" s="114"/>
    </row>
    <row r="57" spans="1:29" ht="14.5">
      <c r="A57" s="112" t="s">
        <v>110</v>
      </c>
      <c r="B57" s="117">
        <f t="shared" si="0"/>
        <v>54</v>
      </c>
      <c r="C57" s="372"/>
      <c r="D57" s="372"/>
      <c r="E57" s="114"/>
      <c r="F57" s="372"/>
      <c r="G57" s="372"/>
      <c r="H57" s="372"/>
      <c r="I57" s="114"/>
      <c r="J57" s="372"/>
      <c r="K57" s="114"/>
      <c r="L57" s="372"/>
      <c r="M57" s="116"/>
      <c r="N57" s="116"/>
      <c r="O57" s="114"/>
      <c r="P57" s="372"/>
      <c r="Q57" s="114"/>
      <c r="R57" s="372"/>
      <c r="S57" s="372"/>
      <c r="T57" s="114"/>
      <c r="U57" s="393"/>
      <c r="V57" s="372"/>
      <c r="W57" s="114"/>
      <c r="X57" s="393"/>
      <c r="Y57" s="372"/>
      <c r="Z57" s="114"/>
      <c r="AA57" s="393"/>
      <c r="AB57" s="372"/>
      <c r="AC57" s="114"/>
    </row>
    <row r="58" spans="1:29" ht="14.5">
      <c r="A58" s="118" t="s">
        <v>107</v>
      </c>
      <c r="B58" s="117">
        <f t="shared" si="0"/>
        <v>55</v>
      </c>
      <c r="C58" s="356"/>
      <c r="D58" s="356"/>
      <c r="E58" s="121"/>
      <c r="F58" s="356"/>
      <c r="G58" s="356"/>
      <c r="H58" s="356"/>
      <c r="I58" s="121"/>
      <c r="J58" s="356"/>
      <c r="K58" s="121"/>
      <c r="L58" s="356"/>
      <c r="M58" s="120"/>
      <c r="N58" s="120"/>
      <c r="O58" s="119"/>
      <c r="P58" s="356"/>
      <c r="Q58" s="121"/>
      <c r="R58" s="356"/>
      <c r="S58" s="356"/>
      <c r="T58" s="121"/>
      <c r="U58" s="395"/>
      <c r="V58" s="356"/>
      <c r="W58" s="121"/>
      <c r="X58" s="395"/>
      <c r="Y58" s="356"/>
      <c r="Z58" s="121"/>
      <c r="AA58" s="395"/>
      <c r="AB58" s="356"/>
      <c r="AC58" s="121"/>
    </row>
    <row r="59" spans="1:29" ht="14.5">
      <c r="A59" s="122"/>
      <c r="B59" s="122"/>
      <c r="C59" s="122"/>
      <c r="D59" s="122"/>
      <c r="E59" s="123"/>
      <c r="F59" s="122"/>
      <c r="G59" s="122"/>
      <c r="H59" s="122"/>
      <c r="I59" s="123"/>
      <c r="J59" s="122"/>
      <c r="K59" s="123"/>
      <c r="L59" s="122"/>
      <c r="M59" s="122"/>
      <c r="N59" s="122"/>
      <c r="O59" s="122"/>
      <c r="P59" s="122"/>
      <c r="Q59" s="123"/>
      <c r="R59" s="122"/>
      <c r="S59" s="122"/>
      <c r="T59" s="123"/>
      <c r="U59" s="122"/>
      <c r="V59" s="122"/>
      <c r="W59" s="123"/>
      <c r="X59" s="122"/>
      <c r="Y59" s="122"/>
      <c r="Z59" s="123"/>
      <c r="AA59" s="122"/>
      <c r="AB59" s="122"/>
      <c r="AC59" s="123"/>
    </row>
    <row r="60" spans="1:29" ht="14.5">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c r="AB60" s="122"/>
      <c r="AC60" s="122"/>
    </row>
    <row r="61" spans="1:29" ht="14.5">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c r="AB61" s="122"/>
      <c r="AC61" s="122"/>
    </row>
    <row r="62" spans="1:29" ht="14.5">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row>
    <row r="63" spans="1:29" ht="14.5">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row>
    <row r="64" spans="1:29" ht="14.5">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row>
    <row r="65" spans="1:29" ht="14.5">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122"/>
    </row>
    <row r="66" spans="1:29" ht="14.5">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c r="AB66" s="122"/>
      <c r="AC66" s="122"/>
    </row>
    <row r="67" spans="1:29" ht="14.5">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22"/>
      <c r="AB67" s="122"/>
      <c r="AC67" s="122"/>
    </row>
    <row r="68" spans="1:29" ht="14.5">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c r="AB68" s="122"/>
      <c r="AC68" s="122"/>
    </row>
    <row r="69" spans="1:29" ht="14.5">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22"/>
    </row>
    <row r="70" spans="1:29" ht="14.5">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c r="AC70" s="122"/>
    </row>
    <row r="71" spans="1:29" ht="14.5">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c r="AB71" s="122"/>
      <c r="AC71" s="122"/>
    </row>
    <row r="72" spans="1:29" ht="14.5">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c r="AC72" s="122"/>
    </row>
    <row r="73" spans="1:29" ht="14.5">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row>
    <row r="74" spans="1:29" ht="14.5">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row>
    <row r="75" spans="1:29" ht="14.5">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row>
    <row r="76" spans="1:29" ht="14.5">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row>
    <row r="77" spans="1:29" ht="14.5">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row>
    <row r="78" spans="1:29" ht="14.5">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row>
    <row r="79" spans="1:29" ht="14.5">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row>
    <row r="80" spans="1:29" ht="14.5">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row>
    <row r="81" spans="1:29" ht="14.5">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c r="AB81" s="122"/>
      <c r="AC81" s="122"/>
    </row>
    <row r="82" spans="1:29" ht="14.5">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c r="AB82" s="122"/>
      <c r="AC82" s="122"/>
    </row>
    <row r="83" spans="1:29" ht="14.5">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c r="AB83" s="122"/>
      <c r="AC83" s="122"/>
    </row>
    <row r="84" spans="1:29" ht="14.5">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c r="AB84" s="122"/>
      <c r="AC84" s="122"/>
    </row>
    <row r="85" spans="1:29" ht="14.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c r="AB85" s="122"/>
      <c r="AC85" s="122"/>
    </row>
    <row r="86" spans="1:29" ht="14.5">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c r="AC86" s="122"/>
    </row>
    <row r="87" spans="1:29" ht="14.5">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row>
    <row r="88" spans="1:29" ht="14.5">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122"/>
    </row>
    <row r="89" spans="1:29" ht="14.5">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row>
    <row r="90" spans="1:29" ht="14.5">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row>
    <row r="91" spans="1:29" ht="14.5">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row>
    <row r="92" spans="1:29" ht="14.5">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row>
    <row r="93" spans="1:29" ht="14.5">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row>
    <row r="94" spans="1:29" ht="14.5">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row>
    <row r="95" spans="1:29" ht="14.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row>
    <row r="96" spans="1:29" ht="14.5">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row>
    <row r="97" spans="1:29" ht="14.5">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row>
    <row r="98" spans="1:29" ht="14.5">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2"/>
    </row>
    <row r="99" spans="1:29" ht="14.5">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row>
    <row r="100" spans="1:29" ht="14.5">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row>
    <row r="101" spans="1:29" ht="14.5">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row>
    <row r="102" spans="1:29" ht="14.5">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row>
    <row r="103" spans="1:29" ht="14.5">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row>
    <row r="104" spans="1:29" ht="14.5">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row>
    <row r="105" spans="1:29" ht="14.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row>
    <row r="106" spans="1:29" ht="14.5">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row>
    <row r="107" spans="1:29" ht="14.5">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22"/>
      <c r="AC107" s="122"/>
    </row>
    <row r="108" spans="1:29" ht="14.5">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row>
    <row r="109" spans="1:29" ht="14.5">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row>
    <row r="110" spans="1:29" ht="14.5">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row>
    <row r="111" spans="1:29" ht="14.5">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row>
    <row r="112" spans="1:29" ht="14.5">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row>
    <row r="113" spans="1:29" ht="14.5">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122"/>
    </row>
    <row r="114" spans="1:29" ht="14.5">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122"/>
    </row>
    <row r="115" spans="1:29" ht="14.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row>
    <row r="116" spans="1:29" ht="14.5">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122"/>
    </row>
    <row r="117" spans="1:29" ht="14.5">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122"/>
    </row>
    <row r="118" spans="1:29" ht="14.5">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row>
    <row r="119" spans="1:29" ht="14.5">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c r="AB119" s="122"/>
      <c r="AC119" s="122"/>
    </row>
    <row r="120" spans="1:29" ht="14.5">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row>
    <row r="121" spans="1:29" ht="14.5">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c r="AC121" s="122"/>
    </row>
    <row r="122" spans="1:29" ht="14.5">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c r="AB122" s="122"/>
      <c r="AC122" s="122"/>
    </row>
    <row r="123" spans="1:29" ht="14.5">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row>
    <row r="124" spans="1:29" ht="14.5">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122"/>
    </row>
    <row r="125" spans="1:29" ht="14.5">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c r="AB125" s="122"/>
      <c r="AC125" s="122"/>
    </row>
    <row r="126" spans="1:29" ht="14.5">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c r="AB126" s="122"/>
      <c r="AC126" s="122"/>
    </row>
    <row r="127" spans="1:29" ht="14.5">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c r="AB127" s="122"/>
      <c r="AC127" s="122"/>
    </row>
    <row r="128" spans="1:29" ht="14.5">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row>
    <row r="129" spans="1:29" ht="14.5">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c r="AC129" s="122"/>
    </row>
    <row r="130" spans="1:29" ht="14.5">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row>
    <row r="131" spans="1:29" ht="14.5">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c r="AB131" s="122"/>
      <c r="AC131" s="122"/>
    </row>
    <row r="132" spans="1:29" ht="14.5">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c r="AB132" s="122"/>
      <c r="AC132" s="122"/>
    </row>
    <row r="133" spans="1:29" ht="14.5">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row>
    <row r="134" spans="1:29" ht="14.5">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c r="AC134" s="122"/>
    </row>
    <row r="135" spans="1:29" ht="14.5">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c r="AB135" s="122"/>
      <c r="AC135" s="122"/>
    </row>
    <row r="136" spans="1:29" ht="14.5">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c r="AC136" s="122"/>
    </row>
    <row r="137" spans="1:29" ht="14.5">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c r="AC137" s="122"/>
    </row>
    <row r="138" spans="1:29" ht="14.5">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c r="AB138" s="122"/>
      <c r="AC138" s="122"/>
    </row>
    <row r="139" spans="1:29" ht="14.5">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c r="AB139" s="122"/>
      <c r="AC139" s="122"/>
    </row>
    <row r="140" spans="1:29" ht="14.5">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c r="AC140" s="122"/>
    </row>
    <row r="141" spans="1:29" ht="14.5">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c r="AB141" s="122"/>
      <c r="AC141" s="122"/>
    </row>
    <row r="142" spans="1:29" ht="14.5">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c r="AB142" s="122"/>
      <c r="AC142" s="122"/>
    </row>
    <row r="143" spans="1:29" ht="14.5">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c r="AB143" s="122"/>
      <c r="AC143" s="122"/>
    </row>
    <row r="144" spans="1:29" ht="14.5">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c r="AB144" s="122"/>
      <c r="AC144" s="122"/>
    </row>
    <row r="145" spans="1:29" ht="14.5">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c r="AC145" s="122"/>
    </row>
    <row r="146" spans="1:29" ht="14.5">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c r="AB146" s="122"/>
      <c r="AC146" s="122"/>
    </row>
    <row r="147" spans="1:29" ht="14.5">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c r="AC147" s="122"/>
    </row>
    <row r="148" spans="1:29" ht="14.5">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row>
    <row r="149" spans="1:29" ht="14.5">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row>
    <row r="150" spans="1:29" ht="14.5">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122"/>
    </row>
    <row r="151" spans="1:29" ht="14.5">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c r="AB151" s="122"/>
      <c r="AC151" s="122"/>
    </row>
    <row r="152" spans="1:29" ht="14.5">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122"/>
    </row>
    <row r="153" spans="1:29" ht="14.5">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c r="AC153" s="122"/>
    </row>
    <row r="154" spans="1:29" ht="14.5">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c r="AB154" s="122"/>
      <c r="AC154" s="122"/>
    </row>
    <row r="155" spans="1:29" ht="14.5">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c r="AB155" s="122"/>
      <c r="AC155" s="122"/>
    </row>
    <row r="156" spans="1:29" ht="14.5">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c r="AB156" s="122"/>
      <c r="AC156" s="122"/>
    </row>
    <row r="157" spans="1:29" ht="14.5">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c r="AB157" s="122"/>
      <c r="AC157" s="122"/>
    </row>
    <row r="158" spans="1:29" ht="14.5">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c r="AB158" s="122"/>
      <c r="AC158" s="122"/>
    </row>
    <row r="159" spans="1:29" ht="14.5">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122"/>
    </row>
    <row r="160" spans="1:29" ht="14.5">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122"/>
    </row>
    <row r="161" spans="1:29" ht="14.5">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c r="AC161" s="122"/>
    </row>
    <row r="162" spans="1:29" ht="14.5">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c r="AC162" s="122"/>
    </row>
    <row r="163" spans="1:29" ht="14.5">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row>
    <row r="164" spans="1:29" ht="14.5">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row>
    <row r="165" spans="1:29" ht="14.5">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c r="AC165" s="122"/>
    </row>
    <row r="166" spans="1:29" ht="14.5">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c r="AC166" s="122"/>
    </row>
    <row r="167" spans="1:29" ht="14.5">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c r="AB167" s="122"/>
      <c r="AC167" s="122"/>
    </row>
    <row r="168" spans="1:29" ht="14.5">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c r="AB168" s="122"/>
      <c r="AC168" s="122"/>
    </row>
    <row r="169" spans="1:29" ht="14.5">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c r="AB169" s="122"/>
      <c r="AC169" s="122"/>
    </row>
    <row r="170" spans="1:29" ht="14.5">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c r="AC170" s="122"/>
    </row>
    <row r="171" spans="1:29" ht="14.5">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122"/>
    </row>
    <row r="172" spans="1:29" ht="14.5">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122"/>
    </row>
    <row r="173" spans="1:29" ht="14.5">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c r="AB173" s="122"/>
      <c r="AC173" s="122"/>
    </row>
    <row r="174" spans="1:29" ht="14.5">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row>
    <row r="175" spans="1:29" ht="14.5">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122"/>
    </row>
    <row r="176" spans="1:29" ht="14.5">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c r="AB176" s="122"/>
      <c r="AC176" s="122"/>
    </row>
    <row r="177" spans="1:29" ht="14.5">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c r="AB177" s="122"/>
      <c r="AC177" s="122"/>
    </row>
    <row r="178" spans="1:29" ht="14.5">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c r="AB178" s="122"/>
      <c r="AC178" s="122"/>
    </row>
    <row r="179" spans="1:29" ht="14.5">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c r="AB179" s="122"/>
      <c r="AC179" s="122"/>
    </row>
    <row r="180" spans="1:29" ht="14.5">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c r="AB180" s="122"/>
      <c r="AC180" s="122"/>
    </row>
    <row r="181" spans="1:29" ht="14.5">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c r="AB181" s="122"/>
      <c r="AC181" s="122"/>
    </row>
    <row r="182" spans="1:29" ht="14.5">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c r="AC182" s="122"/>
    </row>
    <row r="183" spans="1:29" ht="14.5">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c r="AB183" s="122"/>
      <c r="AC183" s="122"/>
    </row>
    <row r="184" spans="1:29" ht="14.5">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c r="AC184" s="122"/>
    </row>
    <row r="185" spans="1:29" ht="14.5">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row>
    <row r="186" spans="1:29" ht="14.5">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c r="AB186" s="122"/>
      <c r="AC186" s="122"/>
    </row>
    <row r="187" spans="1:29" ht="14.5">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c r="AB187" s="122"/>
      <c r="AC187" s="122"/>
    </row>
    <row r="188" spans="1:29" ht="14.5">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c r="AC188" s="122"/>
    </row>
    <row r="189" spans="1:29" ht="14.5">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c r="AB189" s="122"/>
      <c r="AC189" s="122"/>
    </row>
    <row r="190" spans="1:29" ht="14.5">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c r="AB190" s="122"/>
      <c r="AC190" s="122"/>
    </row>
    <row r="191" spans="1:29" ht="14.5">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c r="AB191" s="122"/>
      <c r="AC191" s="122"/>
    </row>
    <row r="192" spans="1:29" ht="14.5">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c r="AB192" s="122"/>
      <c r="AC192" s="122"/>
    </row>
    <row r="193" spans="1:29" ht="14.5">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c r="AB193" s="122"/>
      <c r="AC193" s="122"/>
    </row>
    <row r="194" spans="1:29" ht="14.5">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c r="AB194" s="122"/>
      <c r="AC194" s="122"/>
    </row>
    <row r="195" spans="1:29" ht="14.5">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row>
    <row r="196" spans="1:29" ht="14.5">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c r="AB196" s="122"/>
      <c r="AC196" s="122"/>
    </row>
    <row r="197" spans="1:29" ht="14.5">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c r="AB197" s="122"/>
      <c r="AC197" s="122"/>
    </row>
    <row r="198" spans="1:29" ht="14.5">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c r="AB198" s="122"/>
      <c r="AC198" s="122"/>
    </row>
    <row r="199" spans="1:29" ht="14.5">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c r="AA199" s="122"/>
      <c r="AB199" s="122"/>
      <c r="AC199" s="122"/>
    </row>
    <row r="200" spans="1:29" ht="14.5">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c r="AA200" s="122"/>
      <c r="AB200" s="122"/>
      <c r="AC200" s="122"/>
    </row>
    <row r="201" spans="1:29" ht="14.5">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c r="AA201" s="122"/>
      <c r="AB201" s="122"/>
      <c r="AC201" s="122"/>
    </row>
    <row r="202" spans="1:29" ht="14.5">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c r="AA202" s="122"/>
      <c r="AB202" s="122"/>
      <c r="AC202" s="122"/>
    </row>
    <row r="203" spans="1:29" ht="14.5">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c r="AC203" s="122"/>
    </row>
    <row r="204" spans="1:29" ht="14.5">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c r="AA204" s="122"/>
      <c r="AB204" s="122"/>
      <c r="AC204" s="122"/>
    </row>
    <row r="205" spans="1:29" ht="14.5">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c r="AB205" s="122"/>
      <c r="AC205" s="122"/>
    </row>
    <row r="206" spans="1:29" ht="14.5">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c r="AB206" s="122"/>
      <c r="AC206" s="122"/>
    </row>
    <row r="207" spans="1:29" ht="14.5">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c r="AB207" s="122"/>
      <c r="AC207" s="122"/>
    </row>
    <row r="208" spans="1:29" ht="14.5">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c r="AB208" s="122"/>
      <c r="AC208" s="122"/>
    </row>
    <row r="209" spans="1:29" ht="14.5">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c r="AB209" s="122"/>
      <c r="AC209" s="122"/>
    </row>
    <row r="210" spans="1:29" ht="14.5">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c r="AA210" s="122"/>
      <c r="AB210" s="122"/>
      <c r="AC210" s="122"/>
    </row>
    <row r="211" spans="1:29" ht="14.5">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c r="AA211" s="122"/>
      <c r="AB211" s="122"/>
      <c r="AC211" s="122"/>
    </row>
    <row r="212" spans="1:29" ht="14.5">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c r="AA212" s="122"/>
      <c r="AB212" s="122"/>
      <c r="AC212" s="122"/>
    </row>
    <row r="213" spans="1:29" ht="14.5">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c r="AB213" s="122"/>
      <c r="AC213" s="122"/>
    </row>
    <row r="214" spans="1:29" ht="14.5">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c r="AA214" s="122"/>
      <c r="AB214" s="122"/>
      <c r="AC214" s="122"/>
    </row>
    <row r="215" spans="1:29" ht="14.5">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c r="AA215" s="122"/>
      <c r="AB215" s="122"/>
      <c r="AC215" s="122"/>
    </row>
    <row r="216" spans="1:29" ht="14.5">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c r="AA216" s="122"/>
      <c r="AB216" s="122"/>
      <c r="AC216" s="122"/>
    </row>
    <row r="217" spans="1:29" ht="14.5">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c r="AA217" s="122"/>
      <c r="AB217" s="122"/>
      <c r="AC217" s="122"/>
    </row>
    <row r="218" spans="1:29" ht="14.5">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c r="AC218" s="122"/>
    </row>
    <row r="219" spans="1:29" ht="14.5">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c r="AB219" s="122"/>
      <c r="AC219" s="122"/>
    </row>
    <row r="220" spans="1:29" ht="14.5">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c r="AB220" s="122"/>
      <c r="AC220" s="122"/>
    </row>
    <row r="221" spans="1:29" ht="14.5">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c r="AA221" s="122"/>
      <c r="AB221" s="122"/>
      <c r="AC221" s="122"/>
    </row>
    <row r="222" spans="1:29" ht="14.5">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c r="AA222" s="122"/>
      <c r="AB222" s="122"/>
      <c r="AC222" s="122"/>
    </row>
    <row r="223" spans="1:29" ht="14.5">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c r="AB223" s="122"/>
      <c r="AC223" s="122"/>
    </row>
    <row r="224" spans="1:29" ht="14.5">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c r="AA224" s="122"/>
      <c r="AB224" s="122"/>
      <c r="AC224" s="122"/>
    </row>
    <row r="225" spans="1:29" ht="14.5">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c r="AA225" s="122"/>
      <c r="AB225" s="122"/>
      <c r="AC225" s="122"/>
    </row>
    <row r="226" spans="1:29" ht="14.5">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c r="AA226" s="122"/>
      <c r="AB226" s="122"/>
      <c r="AC226" s="122"/>
    </row>
    <row r="227" spans="1:29" ht="14.5">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c r="AA227" s="122"/>
      <c r="AB227" s="122"/>
      <c r="AC227" s="122"/>
    </row>
    <row r="228" spans="1:29" ht="14.5">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c r="AA228" s="122"/>
      <c r="AB228" s="122"/>
      <c r="AC228" s="122"/>
    </row>
    <row r="229" spans="1:29" ht="14.5">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c r="AC229" s="122"/>
    </row>
    <row r="230" spans="1:29" ht="14.5">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c r="AC230" s="122"/>
    </row>
    <row r="231" spans="1:29" ht="14.5">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row>
    <row r="232" spans="1:29" ht="14.5">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c r="AA232" s="122"/>
      <c r="AB232" s="122"/>
      <c r="AC232" s="122"/>
    </row>
    <row r="233" spans="1:29" ht="14.5">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c r="AA233" s="122"/>
      <c r="AB233" s="122"/>
      <c r="AC233" s="122"/>
    </row>
    <row r="234" spans="1:29" ht="14.5">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c r="AA234" s="122"/>
      <c r="AB234" s="122"/>
      <c r="AC234" s="122"/>
    </row>
    <row r="235" spans="1:29" ht="14.5">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row>
    <row r="236" spans="1:29" ht="14.5">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c r="AC236" s="122"/>
    </row>
    <row r="237" spans="1:29" ht="14.5">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row>
    <row r="238" spans="1:29" ht="14.5">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c r="AA238" s="122"/>
      <c r="AB238" s="122"/>
      <c r="AC238" s="122"/>
    </row>
    <row r="239" spans="1:29" ht="14.5">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c r="AA239" s="122"/>
      <c r="AB239" s="122"/>
      <c r="AC239" s="122"/>
    </row>
    <row r="240" spans="1:29" ht="14.5">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c r="AA240" s="122"/>
      <c r="AB240" s="122"/>
      <c r="AC240" s="122"/>
    </row>
    <row r="241" spans="1:29" ht="14.5">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c r="AA241" s="122"/>
      <c r="AB241" s="122"/>
      <c r="AC241" s="122"/>
    </row>
    <row r="242" spans="1:29" ht="14.5">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c r="AA242" s="122"/>
      <c r="AB242" s="122"/>
      <c r="AC242" s="122"/>
    </row>
    <row r="243" spans="1:29" ht="14.5">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c r="AA243" s="122"/>
      <c r="AB243" s="122"/>
      <c r="AC243" s="122"/>
    </row>
    <row r="244" spans="1:29" ht="14.5">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c r="AA244" s="122"/>
      <c r="AB244" s="122"/>
      <c r="AC244" s="122"/>
    </row>
    <row r="245" spans="1:29" ht="14.5">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c r="AA245" s="122"/>
      <c r="AB245" s="122"/>
      <c r="AC245" s="122"/>
    </row>
    <row r="246" spans="1:29" ht="14.5">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c r="AA246" s="122"/>
      <c r="AB246" s="122"/>
      <c r="AC246" s="122"/>
    </row>
    <row r="247" spans="1:29" ht="14.5">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c r="AA247" s="122"/>
      <c r="AB247" s="122"/>
      <c r="AC247" s="122"/>
    </row>
    <row r="248" spans="1:29" ht="14.5">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c r="AA248" s="122"/>
      <c r="AB248" s="122"/>
      <c r="AC248" s="122"/>
    </row>
    <row r="249" spans="1:29" ht="14.5">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c r="AA249" s="122"/>
      <c r="AB249" s="122"/>
      <c r="AC249" s="122"/>
    </row>
    <row r="250" spans="1:29" ht="14.5">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c r="AA250" s="122"/>
      <c r="AB250" s="122"/>
      <c r="AC250" s="122"/>
    </row>
    <row r="251" spans="1:29" ht="14.5">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c r="AA251" s="122"/>
      <c r="AB251" s="122"/>
      <c r="AC251" s="122"/>
    </row>
    <row r="252" spans="1:29" ht="14.5">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c r="AA252" s="122"/>
      <c r="AB252" s="122"/>
      <c r="AC252" s="122"/>
    </row>
    <row r="253" spans="1:29" ht="14.5">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c r="AA253" s="122"/>
      <c r="AB253" s="122"/>
      <c r="AC253" s="122"/>
    </row>
    <row r="254" spans="1:29" ht="14.5">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c r="AA254" s="122"/>
      <c r="AB254" s="122"/>
      <c r="AC254" s="122"/>
    </row>
    <row r="255" spans="1:29" ht="14.5">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c r="AA255" s="122"/>
      <c r="AB255" s="122"/>
      <c r="AC255" s="122"/>
    </row>
    <row r="256" spans="1:29" ht="14.5">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c r="AA256" s="122"/>
      <c r="AB256" s="122"/>
      <c r="AC256" s="122"/>
    </row>
    <row r="257" spans="1:29" ht="14.5">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c r="AA257" s="122"/>
      <c r="AB257" s="122"/>
      <c r="AC257" s="122"/>
    </row>
    <row r="258" spans="1:29" ht="14.5">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c r="AA258" s="122"/>
      <c r="AB258" s="122"/>
      <c r="AC258" s="122"/>
    </row>
    <row r="259" spans="1:29" ht="14.5">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c r="AA259" s="122"/>
      <c r="AB259" s="122"/>
      <c r="AC259" s="122"/>
    </row>
    <row r="260" spans="1:29" ht="14.5">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c r="AA260" s="122"/>
      <c r="AB260" s="122"/>
      <c r="AC260" s="122"/>
    </row>
    <row r="261" spans="1:29" ht="14.5">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c r="AA261" s="122"/>
      <c r="AB261" s="122"/>
      <c r="AC261" s="122"/>
    </row>
    <row r="262" spans="1:29" ht="14.5">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c r="AA262" s="122"/>
      <c r="AB262" s="122"/>
      <c r="AC262" s="122"/>
    </row>
    <row r="263" spans="1:29" ht="14.5">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c r="AA263" s="122"/>
      <c r="AB263" s="122"/>
      <c r="AC263" s="122"/>
    </row>
    <row r="264" spans="1:29" ht="14.5">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c r="AA264" s="122"/>
      <c r="AB264" s="122"/>
      <c r="AC264" s="122"/>
    </row>
    <row r="265" spans="1:29" ht="14.5">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c r="AA265" s="122"/>
      <c r="AB265" s="122"/>
      <c r="AC265" s="122"/>
    </row>
    <row r="266" spans="1:29" ht="14.5">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c r="AA266" s="122"/>
      <c r="AB266" s="122"/>
      <c r="AC266" s="122"/>
    </row>
    <row r="267" spans="1:29" ht="14.5">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c r="AA267" s="122"/>
      <c r="AB267" s="122"/>
      <c r="AC267" s="122"/>
    </row>
    <row r="268" spans="1:29" ht="14.5">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c r="AA268" s="122"/>
      <c r="AB268" s="122"/>
      <c r="AC268" s="122"/>
    </row>
    <row r="269" spans="1:29" ht="14.5">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c r="AA269" s="122"/>
      <c r="AB269" s="122"/>
      <c r="AC269" s="122"/>
    </row>
    <row r="270" spans="1:29" ht="14.5">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c r="AA270" s="122"/>
      <c r="AB270" s="122"/>
      <c r="AC270" s="122"/>
    </row>
    <row r="271" spans="1:29" ht="14.5">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c r="AC271" s="122"/>
    </row>
    <row r="272" spans="1:29" ht="14.5">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c r="AA272" s="122"/>
      <c r="AB272" s="122"/>
      <c r="AC272" s="122"/>
    </row>
    <row r="273" spans="1:29" ht="14.5">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c r="AA273" s="122"/>
      <c r="AB273" s="122"/>
      <c r="AC273" s="122"/>
    </row>
    <row r="274" spans="1:29" ht="14.5">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c r="AA274" s="122"/>
      <c r="AB274" s="122"/>
      <c r="AC274" s="122"/>
    </row>
    <row r="275" spans="1:29" ht="14.5">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c r="AA275" s="122"/>
      <c r="AB275" s="122"/>
      <c r="AC275" s="122"/>
    </row>
    <row r="276" spans="1:29" ht="14.5">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c r="AA276" s="122"/>
      <c r="AB276" s="122"/>
      <c r="AC276" s="122"/>
    </row>
    <row r="277" spans="1:29" ht="14.5">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c r="AA277" s="122"/>
      <c r="AB277" s="122"/>
      <c r="AC277" s="122"/>
    </row>
    <row r="278" spans="1:29" ht="14.5">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c r="AA278" s="122"/>
      <c r="AB278" s="122"/>
      <c r="AC278" s="122"/>
    </row>
    <row r="279" spans="1:29" ht="14.5">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c r="AA279" s="122"/>
      <c r="AB279" s="122"/>
      <c r="AC279" s="122"/>
    </row>
    <row r="280" spans="1:29" ht="14.5">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c r="AA280" s="122"/>
      <c r="AB280" s="122"/>
      <c r="AC280" s="122"/>
    </row>
    <row r="281" spans="1:29" ht="14.5">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c r="AA281" s="122"/>
      <c r="AB281" s="122"/>
      <c r="AC281" s="122"/>
    </row>
    <row r="282" spans="1:29" ht="14.5">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c r="AA282" s="122"/>
      <c r="AB282" s="122"/>
      <c r="AC282" s="122"/>
    </row>
    <row r="283" spans="1:29" ht="14.5">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c r="AA283" s="122"/>
      <c r="AB283" s="122"/>
      <c r="AC283" s="122"/>
    </row>
    <row r="284" spans="1:29" ht="14.5">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c r="AA284" s="122"/>
      <c r="AB284" s="122"/>
      <c r="AC284" s="122"/>
    </row>
    <row r="285" spans="1:29" ht="14.5">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c r="AA285" s="122"/>
      <c r="AB285" s="122"/>
      <c r="AC285" s="122"/>
    </row>
    <row r="286" spans="1:29" ht="14.5">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c r="AA286" s="122"/>
      <c r="AB286" s="122"/>
      <c r="AC286" s="122"/>
    </row>
    <row r="287" spans="1:29" ht="14.5">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c r="AA287" s="122"/>
      <c r="AB287" s="122"/>
      <c r="AC287" s="122"/>
    </row>
    <row r="288" spans="1:29" ht="14.5">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c r="AA288" s="122"/>
      <c r="AB288" s="122"/>
      <c r="AC288" s="122"/>
    </row>
    <row r="289" spans="1:29" ht="14.5">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c r="AA289" s="122"/>
      <c r="AB289" s="122"/>
      <c r="AC289" s="122"/>
    </row>
    <row r="290" spans="1:29" ht="14.5">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c r="AA290" s="122"/>
      <c r="AB290" s="122"/>
      <c r="AC290" s="122"/>
    </row>
    <row r="291" spans="1:29" ht="14.5">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c r="AA291" s="122"/>
      <c r="AB291" s="122"/>
      <c r="AC291" s="122"/>
    </row>
    <row r="292" spans="1:29" ht="14.5">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c r="AA292" s="122"/>
      <c r="AB292" s="122"/>
      <c r="AC292" s="122"/>
    </row>
    <row r="293" spans="1:29" ht="14.5">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c r="AA293" s="122"/>
      <c r="AB293" s="122"/>
      <c r="AC293" s="122"/>
    </row>
    <row r="294" spans="1:29" ht="14.5">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c r="AA294" s="122"/>
      <c r="AB294" s="122"/>
      <c r="AC294" s="122"/>
    </row>
    <row r="295" spans="1:29" ht="14.5">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c r="AA295" s="122"/>
      <c r="AB295" s="122"/>
      <c r="AC295" s="122"/>
    </row>
    <row r="296" spans="1:29" ht="14.5">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c r="AA296" s="122"/>
      <c r="AB296" s="122"/>
      <c r="AC296" s="122"/>
    </row>
    <row r="297" spans="1:29" ht="14.5">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c r="AA297" s="122"/>
      <c r="AB297" s="122"/>
      <c r="AC297" s="122"/>
    </row>
    <row r="298" spans="1:29" ht="14.5">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c r="AA298" s="122"/>
      <c r="AB298" s="122"/>
      <c r="AC298" s="122"/>
    </row>
    <row r="299" spans="1:29" ht="14.5">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c r="AA299" s="122"/>
      <c r="AB299" s="122"/>
      <c r="AC299" s="122"/>
    </row>
    <row r="300" spans="1:29" ht="14.5">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c r="AA300" s="122"/>
      <c r="AB300" s="122"/>
      <c r="AC300" s="122"/>
    </row>
    <row r="301" spans="1:29" ht="14.5">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c r="AA301" s="122"/>
      <c r="AB301" s="122"/>
      <c r="AC301" s="122"/>
    </row>
    <row r="302" spans="1:29" ht="14.5">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c r="AA302" s="122"/>
      <c r="AB302" s="122"/>
      <c r="AC302" s="122"/>
    </row>
    <row r="303" spans="1:29" ht="14.5">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row>
    <row r="304" spans="1:29" ht="14.5">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c r="AA304" s="122"/>
      <c r="AB304" s="122"/>
      <c r="AC304" s="122"/>
    </row>
    <row r="305" spans="1:29" ht="14.5">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c r="AA305" s="122"/>
      <c r="AB305" s="122"/>
      <c r="AC305" s="122"/>
    </row>
    <row r="306" spans="1:29" ht="14.5">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c r="AA306" s="122"/>
      <c r="AB306" s="122"/>
      <c r="AC306" s="122"/>
    </row>
    <row r="307" spans="1:29" ht="14.5">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c r="AA307" s="122"/>
      <c r="AB307" s="122"/>
      <c r="AC307" s="122"/>
    </row>
    <row r="308" spans="1:29" ht="14.5">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c r="AA308" s="122"/>
      <c r="AB308" s="122"/>
      <c r="AC308" s="122"/>
    </row>
    <row r="309" spans="1:29" ht="14.5">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c r="AA309" s="122"/>
      <c r="AB309" s="122"/>
      <c r="AC309" s="122"/>
    </row>
    <row r="310" spans="1:29" ht="14.5">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c r="AA310" s="122"/>
      <c r="AB310" s="122"/>
      <c r="AC310" s="122"/>
    </row>
    <row r="311" spans="1:29" ht="14.5">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c r="AA311" s="122"/>
      <c r="AB311" s="122"/>
      <c r="AC311" s="122"/>
    </row>
    <row r="312" spans="1:29" ht="14.5">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c r="AA312" s="122"/>
      <c r="AB312" s="122"/>
      <c r="AC312" s="122"/>
    </row>
    <row r="313" spans="1:29" ht="14.5">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c r="AA313" s="122"/>
      <c r="AB313" s="122"/>
      <c r="AC313" s="122"/>
    </row>
    <row r="314" spans="1:29" ht="14.5">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c r="AA314" s="122"/>
      <c r="AB314" s="122"/>
      <c r="AC314" s="122"/>
    </row>
    <row r="315" spans="1:29" ht="14.5">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c r="AA315" s="122"/>
      <c r="AB315" s="122"/>
      <c r="AC315" s="122"/>
    </row>
    <row r="316" spans="1:29" ht="14.5">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c r="AA316" s="122"/>
      <c r="AB316" s="122"/>
      <c r="AC316" s="122"/>
    </row>
    <row r="317" spans="1:29" ht="14.5">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c r="AA317" s="122"/>
      <c r="AB317" s="122"/>
      <c r="AC317" s="122"/>
    </row>
    <row r="318" spans="1:29" ht="14.5">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c r="AA318" s="122"/>
      <c r="AB318" s="122"/>
      <c r="AC318" s="122"/>
    </row>
    <row r="319" spans="1:29" ht="14.5">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c r="AC319" s="122"/>
    </row>
    <row r="320" spans="1:29" ht="14.5">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c r="AA320" s="122"/>
      <c r="AB320" s="122"/>
      <c r="AC320" s="122"/>
    </row>
    <row r="321" spans="1:29" ht="14.5">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c r="AA321" s="122"/>
      <c r="AB321" s="122"/>
      <c r="AC321" s="122"/>
    </row>
    <row r="322" spans="1:29" ht="14.5">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c r="AA322" s="122"/>
      <c r="AB322" s="122"/>
      <c r="AC322" s="122"/>
    </row>
    <row r="323" spans="1:29" ht="14.5">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c r="AA323" s="122"/>
      <c r="AB323" s="122"/>
      <c r="AC323" s="122"/>
    </row>
    <row r="324" spans="1:29" ht="14.5">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c r="AA324" s="122"/>
      <c r="AB324" s="122"/>
      <c r="AC324" s="122"/>
    </row>
    <row r="325" spans="1:29" ht="14.5">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c r="AA325" s="122"/>
      <c r="AB325" s="122"/>
      <c r="AC325" s="122"/>
    </row>
    <row r="326" spans="1:29" ht="14.5">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c r="AA326" s="122"/>
      <c r="AB326" s="122"/>
      <c r="AC326" s="122"/>
    </row>
    <row r="327" spans="1:29" ht="14.5">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c r="AA327" s="122"/>
      <c r="AB327" s="122"/>
      <c r="AC327" s="122"/>
    </row>
    <row r="328" spans="1:29" ht="14.5">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c r="AA328" s="122"/>
      <c r="AB328" s="122"/>
      <c r="AC328" s="122"/>
    </row>
    <row r="329" spans="1:29" ht="14.5">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c r="AA329" s="122"/>
      <c r="AB329" s="122"/>
      <c r="AC329" s="122"/>
    </row>
    <row r="330" spans="1:29" ht="14.5">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c r="AA330" s="122"/>
      <c r="AB330" s="122"/>
      <c r="AC330" s="122"/>
    </row>
    <row r="331" spans="1:29" ht="14.5">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c r="AA331" s="122"/>
      <c r="AB331" s="122"/>
      <c r="AC331" s="122"/>
    </row>
    <row r="332" spans="1:29" ht="14.5">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c r="AA332" s="122"/>
      <c r="AB332" s="122"/>
      <c r="AC332" s="122"/>
    </row>
    <row r="333" spans="1:29" ht="14.5">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c r="AA333" s="122"/>
      <c r="AB333" s="122"/>
      <c r="AC333" s="122"/>
    </row>
    <row r="334" spans="1:29" ht="14.5">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c r="AA334" s="122"/>
      <c r="AB334" s="122"/>
      <c r="AC334" s="122"/>
    </row>
    <row r="335" spans="1:29" ht="14.5">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c r="AC335" s="122"/>
    </row>
    <row r="336" spans="1:29" ht="14.5">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c r="AA336" s="122"/>
      <c r="AB336" s="122"/>
      <c r="AC336" s="122"/>
    </row>
    <row r="337" spans="1:29" ht="14.5">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c r="AA337" s="122"/>
      <c r="AB337" s="122"/>
      <c r="AC337" s="122"/>
    </row>
    <row r="338" spans="1:29" ht="14.5">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c r="AA338" s="122"/>
      <c r="AB338" s="122"/>
      <c r="AC338" s="122"/>
    </row>
    <row r="339" spans="1:29" ht="14.5">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c r="AA339" s="122"/>
      <c r="AB339" s="122"/>
      <c r="AC339" s="122"/>
    </row>
    <row r="340" spans="1:29" ht="14.5">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c r="AA340" s="122"/>
      <c r="AB340" s="122"/>
      <c r="AC340" s="122"/>
    </row>
    <row r="341" spans="1:29" ht="14.5">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c r="AA341" s="122"/>
      <c r="AB341" s="122"/>
      <c r="AC341" s="122"/>
    </row>
    <row r="342" spans="1:29" ht="14.5">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c r="AA342" s="122"/>
      <c r="AB342" s="122"/>
      <c r="AC342" s="122"/>
    </row>
    <row r="343" spans="1:29" ht="14.5">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c r="AA343" s="122"/>
      <c r="AB343" s="122"/>
      <c r="AC343" s="122"/>
    </row>
    <row r="344" spans="1:29" ht="14.5">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c r="AA344" s="122"/>
      <c r="AB344" s="122"/>
      <c r="AC344" s="122"/>
    </row>
    <row r="345" spans="1:29" ht="14.5">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c r="AA345" s="122"/>
      <c r="AB345" s="122"/>
      <c r="AC345" s="122"/>
    </row>
    <row r="346" spans="1:29" ht="14.5">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c r="AA346" s="122"/>
      <c r="AB346" s="122"/>
      <c r="AC346" s="122"/>
    </row>
    <row r="347" spans="1:29" ht="14.5">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c r="AC347" s="122"/>
    </row>
    <row r="348" spans="1:29" ht="14.5">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c r="AA348" s="122"/>
      <c r="AB348" s="122"/>
      <c r="AC348" s="122"/>
    </row>
    <row r="349" spans="1:29" ht="14.5">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c r="AA349" s="122"/>
      <c r="AB349" s="122"/>
      <c r="AC349" s="122"/>
    </row>
    <row r="350" spans="1:29" ht="14.5">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c r="AA350" s="122"/>
      <c r="AB350" s="122"/>
      <c r="AC350" s="122"/>
    </row>
    <row r="351" spans="1:29" ht="14.5">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c r="AC351" s="122"/>
    </row>
    <row r="352" spans="1:29" ht="14.5">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c r="AA352" s="122"/>
      <c r="AB352" s="122"/>
      <c r="AC352" s="122"/>
    </row>
    <row r="353" spans="1:29" ht="14.5">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c r="AA353" s="122"/>
      <c r="AB353" s="122"/>
      <c r="AC353" s="122"/>
    </row>
    <row r="354" spans="1:29" ht="14.5">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c r="AA354" s="122"/>
      <c r="AB354" s="122"/>
      <c r="AC354" s="122"/>
    </row>
    <row r="355" spans="1:29" ht="14.5">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c r="AA355" s="122"/>
      <c r="AB355" s="122"/>
      <c r="AC355" s="122"/>
    </row>
    <row r="356" spans="1:29" ht="14.5">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c r="AA356" s="122"/>
      <c r="AB356" s="122"/>
      <c r="AC356" s="122"/>
    </row>
    <row r="357" spans="1:29" ht="14.5">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c r="AA357" s="122"/>
      <c r="AB357" s="122"/>
      <c r="AC357" s="122"/>
    </row>
    <row r="358" spans="1:29" ht="14.5">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c r="AA358" s="122"/>
      <c r="AB358" s="122"/>
      <c r="AC358" s="122"/>
    </row>
    <row r="359" spans="1:29" ht="14.5">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c r="AA359" s="122"/>
      <c r="AB359" s="122"/>
      <c r="AC359" s="122"/>
    </row>
    <row r="360" spans="1:29" ht="14.5">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c r="AA360" s="122"/>
      <c r="AB360" s="122"/>
      <c r="AC360" s="122"/>
    </row>
    <row r="361" spans="1:29" ht="14.5">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c r="AA361" s="122"/>
      <c r="AB361" s="122"/>
      <c r="AC361" s="122"/>
    </row>
    <row r="362" spans="1:29" ht="14.5">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c r="AA362" s="122"/>
      <c r="AB362" s="122"/>
      <c r="AC362" s="122"/>
    </row>
    <row r="363" spans="1:29" ht="14.5">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c r="AA363" s="122"/>
      <c r="AB363" s="122"/>
      <c r="AC363" s="122"/>
    </row>
    <row r="364" spans="1:29" ht="14.5">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c r="AA364" s="122"/>
      <c r="AB364" s="122"/>
      <c r="AC364" s="122"/>
    </row>
    <row r="365" spans="1:29" ht="14.5">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c r="AA365" s="122"/>
      <c r="AB365" s="122"/>
      <c r="AC365" s="122"/>
    </row>
    <row r="366" spans="1:29" ht="14.5">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c r="AA366" s="122"/>
      <c r="AB366" s="122"/>
      <c r="AC366" s="122"/>
    </row>
    <row r="367" spans="1:29" ht="14.5">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c r="AA367" s="122"/>
      <c r="AB367" s="122"/>
      <c r="AC367" s="122"/>
    </row>
    <row r="368" spans="1:29" ht="14.5">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c r="AA368" s="122"/>
      <c r="AB368" s="122"/>
      <c r="AC368" s="122"/>
    </row>
    <row r="369" spans="1:29" ht="14.5">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c r="AA369" s="122"/>
      <c r="AB369" s="122"/>
      <c r="AC369" s="122"/>
    </row>
    <row r="370" spans="1:29" ht="14.5">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c r="AA370" s="122"/>
      <c r="AB370" s="122"/>
      <c r="AC370" s="122"/>
    </row>
    <row r="371" spans="1:29" ht="14.5">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c r="AA371" s="122"/>
      <c r="AB371" s="122"/>
      <c r="AC371" s="122"/>
    </row>
    <row r="372" spans="1:29" ht="14.5">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c r="AA372" s="122"/>
      <c r="AB372" s="122"/>
      <c r="AC372" s="122"/>
    </row>
    <row r="373" spans="1:29" ht="14.5">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c r="AA373" s="122"/>
      <c r="AB373" s="122"/>
      <c r="AC373" s="122"/>
    </row>
    <row r="374" spans="1:29" ht="14.5">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c r="AA374" s="122"/>
      <c r="AB374" s="122"/>
      <c r="AC374" s="122"/>
    </row>
    <row r="375" spans="1:29" ht="14.5">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c r="AA375" s="122"/>
      <c r="AB375" s="122"/>
      <c r="AC375" s="122"/>
    </row>
    <row r="376" spans="1:29" ht="14.5">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c r="AA376" s="122"/>
      <c r="AB376" s="122"/>
      <c r="AC376" s="122"/>
    </row>
    <row r="377" spans="1:29" ht="14.5">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c r="AA377" s="122"/>
      <c r="AB377" s="122"/>
      <c r="AC377" s="122"/>
    </row>
    <row r="378" spans="1:29" ht="14.5">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c r="AA378" s="122"/>
      <c r="AB378" s="122"/>
      <c r="AC378" s="122"/>
    </row>
    <row r="379" spans="1:29" ht="14.5">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c r="AA379" s="122"/>
      <c r="AB379" s="122"/>
      <c r="AC379" s="122"/>
    </row>
    <row r="380" spans="1:29" ht="14.5">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c r="AC380" s="122"/>
    </row>
    <row r="381" spans="1:29" ht="14.5">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c r="AA381" s="122"/>
      <c r="AB381" s="122"/>
      <c r="AC381" s="122"/>
    </row>
    <row r="382" spans="1:29" ht="14.5">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c r="AA382" s="122"/>
      <c r="AB382" s="122"/>
      <c r="AC382" s="122"/>
    </row>
    <row r="383" spans="1:29" ht="14.5">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c r="AA383" s="122"/>
      <c r="AB383" s="122"/>
      <c r="AC383" s="122"/>
    </row>
    <row r="384" spans="1:29" ht="14.5">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c r="AA384" s="122"/>
      <c r="AB384" s="122"/>
      <c r="AC384" s="122"/>
    </row>
    <row r="385" spans="1:29" ht="14.5">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c r="AA385" s="122"/>
      <c r="AB385" s="122"/>
      <c r="AC385" s="122"/>
    </row>
    <row r="386" spans="1:29" ht="14.5">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c r="AA386" s="122"/>
      <c r="AB386" s="122"/>
      <c r="AC386" s="122"/>
    </row>
    <row r="387" spans="1:29" ht="14.5">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c r="AA387" s="122"/>
      <c r="AB387" s="122"/>
      <c r="AC387" s="122"/>
    </row>
    <row r="388" spans="1:29" ht="14.5">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c r="AA388" s="122"/>
      <c r="AB388" s="122"/>
      <c r="AC388" s="122"/>
    </row>
    <row r="389" spans="1:29" ht="14.5">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c r="AA389" s="122"/>
      <c r="AB389" s="122"/>
      <c r="AC389" s="122"/>
    </row>
    <row r="390" spans="1:29" ht="14.5">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c r="AA390" s="122"/>
      <c r="AB390" s="122"/>
      <c r="AC390" s="122"/>
    </row>
    <row r="391" spans="1:29" ht="14.5">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c r="AA391" s="122"/>
      <c r="AB391" s="122"/>
      <c r="AC391" s="122"/>
    </row>
    <row r="392" spans="1:29" ht="14.5">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c r="AA392" s="122"/>
      <c r="AB392" s="122"/>
      <c r="AC392" s="122"/>
    </row>
    <row r="393" spans="1:29" ht="14.5">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c r="AA393" s="122"/>
      <c r="AB393" s="122"/>
      <c r="AC393" s="122"/>
    </row>
    <row r="394" spans="1:29" ht="14.5">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c r="AA394" s="122"/>
      <c r="AB394" s="122"/>
      <c r="AC394" s="122"/>
    </row>
    <row r="395" spans="1:29" ht="14.5">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c r="AA395" s="122"/>
      <c r="AB395" s="122"/>
      <c r="AC395" s="122"/>
    </row>
    <row r="396" spans="1:29" ht="14.5">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c r="AA396" s="122"/>
      <c r="AB396" s="122"/>
      <c r="AC396" s="122"/>
    </row>
    <row r="397" spans="1:29" ht="14.5">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c r="AA397" s="122"/>
      <c r="AB397" s="122"/>
      <c r="AC397" s="122"/>
    </row>
    <row r="398" spans="1:29" ht="14.5">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c r="AA398" s="122"/>
      <c r="AB398" s="122"/>
      <c r="AC398" s="122"/>
    </row>
    <row r="399" spans="1:29" ht="14.5">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c r="AA399" s="122"/>
      <c r="AB399" s="122"/>
      <c r="AC399" s="122"/>
    </row>
    <row r="400" spans="1:29" ht="14.5">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c r="AA400" s="122"/>
      <c r="AB400" s="122"/>
      <c r="AC400" s="122"/>
    </row>
    <row r="401" spans="1:29" ht="14.5">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c r="AA401" s="122"/>
      <c r="AB401" s="122"/>
      <c r="AC401" s="122"/>
    </row>
    <row r="402" spans="1:29" ht="14.5">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c r="AA402" s="122"/>
      <c r="AB402" s="122"/>
      <c r="AC402" s="122"/>
    </row>
    <row r="403" spans="1:29" ht="14.5">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c r="AA403" s="122"/>
      <c r="AB403" s="122"/>
      <c r="AC403" s="122"/>
    </row>
    <row r="404" spans="1:29" ht="14.5">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c r="AA404" s="122"/>
      <c r="AB404" s="122"/>
      <c r="AC404" s="122"/>
    </row>
    <row r="405" spans="1:29" ht="14.5">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c r="AA405" s="122"/>
      <c r="AB405" s="122"/>
      <c r="AC405" s="122"/>
    </row>
    <row r="406" spans="1:29" ht="14.5">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c r="AA406" s="122"/>
      <c r="AB406" s="122"/>
      <c r="AC406" s="122"/>
    </row>
    <row r="407" spans="1:29" ht="14.5">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c r="AA407" s="122"/>
      <c r="AB407" s="122"/>
      <c r="AC407" s="122"/>
    </row>
    <row r="408" spans="1:29" ht="14.5">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c r="AA408" s="122"/>
      <c r="AB408" s="122"/>
      <c r="AC408" s="122"/>
    </row>
    <row r="409" spans="1:29" ht="14.5">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c r="AA409" s="122"/>
      <c r="AB409" s="122"/>
      <c r="AC409" s="122"/>
    </row>
    <row r="410" spans="1:29" ht="14.5">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c r="AA410" s="122"/>
      <c r="AB410" s="122"/>
      <c r="AC410" s="122"/>
    </row>
    <row r="411" spans="1:29" ht="14.5">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c r="AA411" s="122"/>
      <c r="AB411" s="122"/>
      <c r="AC411" s="122"/>
    </row>
    <row r="412" spans="1:29" ht="14.5">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c r="AA412" s="122"/>
      <c r="AB412" s="122"/>
      <c r="AC412" s="122"/>
    </row>
    <row r="413" spans="1:29" ht="14.5">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c r="AA413" s="122"/>
      <c r="AB413" s="122"/>
      <c r="AC413" s="122"/>
    </row>
    <row r="414" spans="1:29" ht="14.5">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c r="AA414" s="122"/>
      <c r="AB414" s="122"/>
      <c r="AC414" s="122"/>
    </row>
    <row r="415" spans="1:29" ht="14.5">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c r="AA415" s="122"/>
      <c r="AB415" s="122"/>
      <c r="AC415" s="122"/>
    </row>
    <row r="416" spans="1:29" ht="14.5">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c r="AA416" s="122"/>
      <c r="AB416" s="122"/>
      <c r="AC416" s="122"/>
    </row>
    <row r="417" spans="1:29" ht="14.5">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c r="AA417" s="122"/>
      <c r="AB417" s="122"/>
      <c r="AC417" s="122"/>
    </row>
    <row r="418" spans="1:29" ht="14.5">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c r="AA418" s="122"/>
      <c r="AB418" s="122"/>
      <c r="AC418" s="122"/>
    </row>
    <row r="419" spans="1:29" ht="14.5">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c r="AA419" s="122"/>
      <c r="AB419" s="122"/>
      <c r="AC419" s="122"/>
    </row>
    <row r="420" spans="1:29" ht="14.5">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c r="AA420" s="122"/>
      <c r="AB420" s="122"/>
      <c r="AC420" s="122"/>
    </row>
    <row r="421" spans="1:29" ht="14.5">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c r="AA421" s="122"/>
      <c r="AB421" s="122"/>
      <c r="AC421" s="122"/>
    </row>
    <row r="422" spans="1:29" ht="14.5">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c r="AA422" s="122"/>
      <c r="AB422" s="122"/>
      <c r="AC422" s="122"/>
    </row>
    <row r="423" spans="1:29" ht="14.5">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c r="AA423" s="122"/>
      <c r="AB423" s="122"/>
      <c r="AC423" s="122"/>
    </row>
    <row r="424" spans="1:29" ht="14.5">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c r="AA424" s="122"/>
      <c r="AB424" s="122"/>
      <c r="AC424" s="122"/>
    </row>
    <row r="425" spans="1:29" ht="14.5">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c r="AA425" s="122"/>
      <c r="AB425" s="122"/>
      <c r="AC425" s="122"/>
    </row>
    <row r="426" spans="1:29" ht="14.5">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c r="AA426" s="122"/>
      <c r="AB426" s="122"/>
      <c r="AC426" s="122"/>
    </row>
    <row r="427" spans="1:29" ht="14.5">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c r="AA427" s="122"/>
      <c r="AB427" s="122"/>
      <c r="AC427" s="122"/>
    </row>
    <row r="428" spans="1:29" ht="14.5">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c r="AA428" s="122"/>
      <c r="AB428" s="122"/>
      <c r="AC428" s="122"/>
    </row>
    <row r="429" spans="1:29" ht="14.5">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c r="AA429" s="122"/>
      <c r="AB429" s="122"/>
      <c r="AC429" s="122"/>
    </row>
    <row r="430" spans="1:29" ht="14.5">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c r="AA430" s="122"/>
      <c r="AB430" s="122"/>
      <c r="AC430" s="122"/>
    </row>
    <row r="431" spans="1:29" ht="14.5">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c r="AA431" s="122"/>
      <c r="AB431" s="122"/>
      <c r="AC431" s="122"/>
    </row>
    <row r="432" spans="1:29" ht="14.5">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c r="AA432" s="122"/>
      <c r="AB432" s="122"/>
      <c r="AC432" s="122"/>
    </row>
    <row r="433" spans="1:29" ht="14.5">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c r="AA433" s="122"/>
      <c r="AB433" s="122"/>
      <c r="AC433" s="122"/>
    </row>
    <row r="434" spans="1:29" ht="14.5">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c r="AA434" s="122"/>
      <c r="AB434" s="122"/>
      <c r="AC434" s="122"/>
    </row>
    <row r="435" spans="1:29" ht="14.5">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c r="AA435" s="122"/>
      <c r="AB435" s="122"/>
      <c r="AC435" s="122"/>
    </row>
    <row r="436" spans="1:29" ht="14.5">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c r="AA436" s="122"/>
      <c r="AB436" s="122"/>
      <c r="AC436" s="122"/>
    </row>
    <row r="437" spans="1:29" ht="14.5">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c r="AA437" s="122"/>
      <c r="AB437" s="122"/>
      <c r="AC437" s="122"/>
    </row>
    <row r="438" spans="1:29" ht="14.5">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c r="AA438" s="122"/>
      <c r="AB438" s="122"/>
      <c r="AC438" s="122"/>
    </row>
    <row r="439" spans="1:29" ht="14.5">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c r="AA439" s="122"/>
      <c r="AB439" s="122"/>
      <c r="AC439" s="122"/>
    </row>
    <row r="440" spans="1:29" ht="14.5">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c r="AA440" s="122"/>
      <c r="AB440" s="122"/>
      <c r="AC440" s="122"/>
    </row>
    <row r="441" spans="1:29" ht="14.5">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c r="AA441" s="122"/>
      <c r="AB441" s="122"/>
      <c r="AC441" s="122"/>
    </row>
    <row r="442" spans="1:29" ht="14.5">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c r="AA442" s="122"/>
      <c r="AB442" s="122"/>
      <c r="AC442" s="122"/>
    </row>
    <row r="443" spans="1:29" ht="14.5">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c r="AA443" s="122"/>
      <c r="AB443" s="122"/>
      <c r="AC443" s="122"/>
    </row>
    <row r="444" spans="1:29" ht="14.5">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c r="AA444" s="122"/>
      <c r="AB444" s="122"/>
      <c r="AC444" s="122"/>
    </row>
    <row r="445" spans="1:29" ht="14.5">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c r="AA445" s="122"/>
      <c r="AB445" s="122"/>
      <c r="AC445" s="122"/>
    </row>
    <row r="446" spans="1:29" ht="14.5">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c r="AA446" s="122"/>
      <c r="AB446" s="122"/>
      <c r="AC446" s="122"/>
    </row>
    <row r="447" spans="1:29" ht="14.5">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c r="AA447" s="122"/>
      <c r="AB447" s="122"/>
      <c r="AC447" s="122"/>
    </row>
    <row r="448" spans="1:29" ht="14.5">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c r="AA448" s="122"/>
      <c r="AB448" s="122"/>
      <c r="AC448" s="122"/>
    </row>
    <row r="449" spans="1:29" ht="14.5">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c r="AA449" s="122"/>
      <c r="AB449" s="122"/>
      <c r="AC449" s="122"/>
    </row>
    <row r="450" spans="1:29" ht="14.5">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c r="AA450" s="122"/>
      <c r="AB450" s="122"/>
      <c r="AC450" s="122"/>
    </row>
    <row r="451" spans="1:29" ht="14.5">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c r="AA451" s="122"/>
      <c r="AB451" s="122"/>
      <c r="AC451" s="122"/>
    </row>
    <row r="452" spans="1:29" ht="14.5">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c r="AA452" s="122"/>
      <c r="AB452" s="122"/>
      <c r="AC452" s="122"/>
    </row>
    <row r="453" spans="1:29" ht="14.5">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c r="AA453" s="122"/>
      <c r="AB453" s="122"/>
      <c r="AC453" s="122"/>
    </row>
    <row r="454" spans="1:29" ht="14.5">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c r="AA454" s="122"/>
      <c r="AB454" s="122"/>
      <c r="AC454" s="122"/>
    </row>
    <row r="455" spans="1:29" ht="14.5">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c r="AA455" s="122"/>
      <c r="AB455" s="122"/>
      <c r="AC455" s="122"/>
    </row>
    <row r="456" spans="1:29" ht="14.5">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c r="AA456" s="122"/>
      <c r="AB456" s="122"/>
      <c r="AC456" s="122"/>
    </row>
    <row r="457" spans="1:29" ht="14.5">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c r="AA457" s="122"/>
      <c r="AB457" s="122"/>
      <c r="AC457" s="122"/>
    </row>
    <row r="458" spans="1:29" ht="14.5">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c r="AA458" s="122"/>
      <c r="AB458" s="122"/>
      <c r="AC458" s="122"/>
    </row>
    <row r="459" spans="1:29" ht="14.5">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c r="AA459" s="122"/>
      <c r="AB459" s="122"/>
      <c r="AC459" s="122"/>
    </row>
    <row r="460" spans="1:29" ht="14.5">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c r="AA460" s="122"/>
      <c r="AB460" s="122"/>
      <c r="AC460" s="122"/>
    </row>
    <row r="461" spans="1:29" ht="14.5">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c r="AA461" s="122"/>
      <c r="AB461" s="122"/>
      <c r="AC461" s="122"/>
    </row>
    <row r="462" spans="1:29" ht="14.5">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c r="AA462" s="122"/>
      <c r="AB462" s="122"/>
      <c r="AC462" s="122"/>
    </row>
    <row r="463" spans="1:29" ht="14.5">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c r="AA463" s="122"/>
      <c r="AB463" s="122"/>
      <c r="AC463" s="122"/>
    </row>
    <row r="464" spans="1:29" ht="14.5">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c r="AA464" s="122"/>
      <c r="AB464" s="122"/>
      <c r="AC464" s="122"/>
    </row>
    <row r="465" spans="1:29" ht="14.5">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c r="AA465" s="122"/>
      <c r="AB465" s="122"/>
      <c r="AC465" s="122"/>
    </row>
    <row r="466" spans="1:29" ht="14.5">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c r="AA466" s="122"/>
      <c r="AB466" s="122"/>
      <c r="AC466" s="122"/>
    </row>
    <row r="467" spans="1:29" ht="14.5">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c r="AA467" s="122"/>
      <c r="AB467" s="122"/>
      <c r="AC467" s="122"/>
    </row>
    <row r="468" spans="1:29" ht="14.5">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c r="AA468" s="122"/>
      <c r="AB468" s="122"/>
      <c r="AC468" s="122"/>
    </row>
    <row r="469" spans="1:29" ht="14.5">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c r="AA469" s="122"/>
      <c r="AB469" s="122"/>
      <c r="AC469" s="122"/>
    </row>
    <row r="470" spans="1:29" ht="14.5">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c r="AA470" s="122"/>
      <c r="AB470" s="122"/>
      <c r="AC470" s="122"/>
    </row>
    <row r="471" spans="1:29" ht="14.5">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c r="AA471" s="122"/>
      <c r="AB471" s="122"/>
      <c r="AC471" s="122"/>
    </row>
    <row r="472" spans="1:29" ht="14.5">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c r="AA472" s="122"/>
      <c r="AB472" s="122"/>
      <c r="AC472" s="122"/>
    </row>
    <row r="473" spans="1:29" ht="14.5">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c r="AA473" s="122"/>
      <c r="AB473" s="122"/>
      <c r="AC473" s="122"/>
    </row>
    <row r="474" spans="1:29" ht="14.5">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c r="AA474" s="122"/>
      <c r="AB474" s="122"/>
      <c r="AC474" s="122"/>
    </row>
    <row r="475" spans="1:29" ht="14.5">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c r="AA475" s="122"/>
      <c r="AB475" s="122"/>
      <c r="AC475" s="122"/>
    </row>
    <row r="476" spans="1:29" ht="14.5">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c r="AA476" s="122"/>
      <c r="AB476" s="122"/>
      <c r="AC476" s="122"/>
    </row>
    <row r="477" spans="1:29" ht="14.5">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c r="AA477" s="122"/>
      <c r="AB477" s="122"/>
      <c r="AC477" s="122"/>
    </row>
    <row r="478" spans="1:29" ht="14.5">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c r="AA478" s="122"/>
      <c r="AB478" s="122"/>
      <c r="AC478" s="122"/>
    </row>
    <row r="479" spans="1:29" ht="14.5">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c r="AA479" s="122"/>
      <c r="AB479" s="122"/>
      <c r="AC479" s="122"/>
    </row>
    <row r="480" spans="1:29" ht="14.5">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c r="AA480" s="122"/>
      <c r="AB480" s="122"/>
      <c r="AC480" s="122"/>
    </row>
    <row r="481" spans="1:29" ht="14.5">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c r="AA481" s="122"/>
      <c r="AB481" s="122"/>
      <c r="AC481" s="122"/>
    </row>
    <row r="482" spans="1:29" ht="14.5">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c r="AA482" s="122"/>
      <c r="AB482" s="122"/>
      <c r="AC482" s="122"/>
    </row>
    <row r="483" spans="1:29" ht="14.5">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c r="AA483" s="122"/>
      <c r="AB483" s="122"/>
      <c r="AC483" s="122"/>
    </row>
    <row r="484" spans="1:29" ht="14.5">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c r="AA484" s="122"/>
      <c r="AB484" s="122"/>
      <c r="AC484" s="122"/>
    </row>
    <row r="485" spans="1:29" ht="14.5">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c r="AA485" s="122"/>
      <c r="AB485" s="122"/>
      <c r="AC485" s="122"/>
    </row>
    <row r="486" spans="1:29" ht="14.5">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c r="AA486" s="122"/>
      <c r="AB486" s="122"/>
      <c r="AC486" s="122"/>
    </row>
    <row r="487" spans="1:29" ht="14.5">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c r="AA487" s="122"/>
      <c r="AB487" s="122"/>
      <c r="AC487" s="122"/>
    </row>
    <row r="488" spans="1:29" ht="14.5">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c r="AC488" s="122"/>
    </row>
    <row r="489" spans="1:29" ht="14.5">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c r="AA489" s="122"/>
      <c r="AB489" s="122"/>
      <c r="AC489" s="122"/>
    </row>
    <row r="490" spans="1:29" ht="14.5">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c r="AA490" s="122"/>
      <c r="AB490" s="122"/>
      <c r="AC490" s="122"/>
    </row>
    <row r="491" spans="1:29" ht="14.5">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c r="AA491" s="122"/>
      <c r="AB491" s="122"/>
      <c r="AC491" s="122"/>
    </row>
    <row r="492" spans="1:29" ht="14.5">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row>
    <row r="493" spans="1:29" ht="14.5">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c r="AA493" s="122"/>
      <c r="AB493" s="122"/>
      <c r="AC493" s="122"/>
    </row>
    <row r="494" spans="1:29" ht="14.5">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c r="AA494" s="122"/>
      <c r="AB494" s="122"/>
      <c r="AC494" s="122"/>
    </row>
    <row r="495" spans="1:29" ht="14.5">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c r="AC495" s="122"/>
    </row>
    <row r="496" spans="1:29" ht="14.5">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c r="AA496" s="122"/>
      <c r="AB496" s="122"/>
      <c r="AC496" s="122"/>
    </row>
    <row r="497" spans="1:29" ht="14.5">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c r="AA497" s="122"/>
      <c r="AB497" s="122"/>
      <c r="AC497" s="122"/>
    </row>
    <row r="498" spans="1:29" ht="14.5">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c r="AC498" s="122"/>
    </row>
    <row r="499" spans="1:29" ht="14.5">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c r="AA499" s="122"/>
      <c r="AB499" s="122"/>
      <c r="AC499" s="122"/>
    </row>
    <row r="500" spans="1:29" ht="14.5">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c r="AA500" s="122"/>
      <c r="AB500" s="122"/>
      <c r="AC500" s="122"/>
    </row>
    <row r="501" spans="1:29" ht="14.5">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c r="AA501" s="122"/>
      <c r="AB501" s="122"/>
      <c r="AC501" s="122"/>
    </row>
    <row r="502" spans="1:29" ht="14.5">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c r="AA502" s="122"/>
      <c r="AB502" s="122"/>
      <c r="AC502" s="122"/>
    </row>
    <row r="503" spans="1:29" ht="14.5">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c r="AA503" s="122"/>
      <c r="AB503" s="122"/>
      <c r="AC503" s="122"/>
    </row>
    <row r="504" spans="1:29" ht="14.5">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c r="AA504" s="122"/>
      <c r="AB504" s="122"/>
      <c r="AC504" s="122"/>
    </row>
    <row r="505" spans="1:29" ht="14.5">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c r="AA505" s="122"/>
      <c r="AB505" s="122"/>
      <c r="AC505" s="122"/>
    </row>
    <row r="506" spans="1:29" ht="14.5">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c r="AA506" s="122"/>
      <c r="AB506" s="122"/>
      <c r="AC506" s="122"/>
    </row>
    <row r="507" spans="1:29" ht="14.5">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c r="AA507" s="122"/>
      <c r="AB507" s="122"/>
      <c r="AC507" s="122"/>
    </row>
    <row r="508" spans="1:29" ht="14.5">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c r="AA508" s="122"/>
      <c r="AB508" s="122"/>
      <c r="AC508" s="122"/>
    </row>
    <row r="509" spans="1:29" ht="14.5">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c r="AA509" s="122"/>
      <c r="AB509" s="122"/>
      <c r="AC509" s="122"/>
    </row>
    <row r="510" spans="1:29" ht="14.5">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c r="AA510" s="122"/>
      <c r="AB510" s="122"/>
      <c r="AC510" s="122"/>
    </row>
    <row r="511" spans="1:29" ht="14.5">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c r="AA511" s="122"/>
      <c r="AB511" s="122"/>
      <c r="AC511" s="122"/>
    </row>
    <row r="512" spans="1:29" ht="14.5">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c r="AA512" s="122"/>
      <c r="AB512" s="122"/>
      <c r="AC512" s="122"/>
    </row>
    <row r="513" spans="1:29" ht="14.5">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c r="AA513" s="122"/>
      <c r="AB513" s="122"/>
      <c r="AC513" s="122"/>
    </row>
    <row r="514" spans="1:29" ht="14.5">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c r="AA514" s="122"/>
      <c r="AB514" s="122"/>
      <c r="AC514" s="122"/>
    </row>
    <row r="515" spans="1:29" ht="14.5">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c r="AA515" s="122"/>
      <c r="AB515" s="122"/>
      <c r="AC515" s="122"/>
    </row>
    <row r="516" spans="1:29" ht="14.5">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c r="AA516" s="122"/>
      <c r="AB516" s="122"/>
      <c r="AC516" s="122"/>
    </row>
    <row r="517" spans="1:29" ht="14.5">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c r="AA517" s="122"/>
      <c r="AB517" s="122"/>
      <c r="AC517" s="122"/>
    </row>
    <row r="518" spans="1:29" ht="14.5">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c r="AA518" s="122"/>
      <c r="AB518" s="122"/>
      <c r="AC518" s="122"/>
    </row>
    <row r="519" spans="1:29" ht="14.5">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c r="AA519" s="122"/>
      <c r="AB519" s="122"/>
      <c r="AC519" s="122"/>
    </row>
    <row r="520" spans="1:29" ht="14.5">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c r="AA520" s="122"/>
      <c r="AB520" s="122"/>
      <c r="AC520" s="122"/>
    </row>
    <row r="521" spans="1:29" ht="14.5">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c r="AA521" s="122"/>
      <c r="AB521" s="122"/>
      <c r="AC521" s="122"/>
    </row>
    <row r="522" spans="1:29" ht="14.5">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c r="AA522" s="122"/>
      <c r="AB522" s="122"/>
      <c r="AC522" s="122"/>
    </row>
    <row r="523" spans="1:29" ht="14.5">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c r="AA523" s="122"/>
      <c r="AB523" s="122"/>
      <c r="AC523" s="122"/>
    </row>
    <row r="524" spans="1:29" ht="14.5">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c r="AA524" s="122"/>
      <c r="AB524" s="122"/>
      <c r="AC524" s="122"/>
    </row>
    <row r="525" spans="1:29" ht="14.5">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c r="AA525" s="122"/>
      <c r="AB525" s="122"/>
      <c r="AC525" s="122"/>
    </row>
    <row r="526" spans="1:29" ht="14.5">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c r="AA526" s="122"/>
      <c r="AB526" s="122"/>
      <c r="AC526" s="122"/>
    </row>
    <row r="527" spans="1:29" ht="14.5">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c r="AA527" s="122"/>
      <c r="AB527" s="122"/>
      <c r="AC527" s="122"/>
    </row>
    <row r="528" spans="1:29" ht="14.5">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c r="AA528" s="122"/>
      <c r="AB528" s="122"/>
      <c r="AC528" s="122"/>
    </row>
    <row r="529" spans="1:29" ht="14.5">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c r="AA529" s="122"/>
      <c r="AB529" s="122"/>
      <c r="AC529" s="122"/>
    </row>
    <row r="530" spans="1:29" ht="14.5">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c r="AA530" s="122"/>
      <c r="AB530" s="122"/>
      <c r="AC530" s="122"/>
    </row>
    <row r="531" spans="1:29" ht="14.5">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c r="AA531" s="122"/>
      <c r="AB531" s="122"/>
      <c r="AC531" s="122"/>
    </row>
    <row r="532" spans="1:29" ht="14.5">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c r="AA532" s="122"/>
      <c r="AB532" s="122"/>
      <c r="AC532" s="122"/>
    </row>
    <row r="533" spans="1:29" ht="14.5">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c r="AA533" s="122"/>
      <c r="AB533" s="122"/>
      <c r="AC533" s="122"/>
    </row>
    <row r="534" spans="1:29" ht="14.5">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c r="AA534" s="122"/>
      <c r="AB534" s="122"/>
      <c r="AC534" s="122"/>
    </row>
    <row r="535" spans="1:29" ht="14.5">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c r="AA535" s="122"/>
      <c r="AB535" s="122"/>
      <c r="AC535" s="122"/>
    </row>
    <row r="536" spans="1:29" ht="14.5">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c r="AA536" s="122"/>
      <c r="AB536" s="122"/>
      <c r="AC536" s="122"/>
    </row>
    <row r="537" spans="1:29" ht="14.5">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c r="AA537" s="122"/>
      <c r="AB537" s="122"/>
      <c r="AC537" s="122"/>
    </row>
    <row r="538" spans="1:29" ht="14.5">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c r="AA538" s="122"/>
      <c r="AB538" s="122"/>
      <c r="AC538" s="122"/>
    </row>
    <row r="539" spans="1:29" ht="14.5">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c r="AA539" s="122"/>
      <c r="AB539" s="122"/>
      <c r="AC539" s="122"/>
    </row>
    <row r="540" spans="1:29" ht="14.5">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c r="AA540" s="122"/>
      <c r="AB540" s="122"/>
      <c r="AC540" s="122"/>
    </row>
    <row r="541" spans="1:29" ht="14.5">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c r="AA541" s="122"/>
      <c r="AB541" s="122"/>
      <c r="AC541" s="122"/>
    </row>
    <row r="542" spans="1:29" ht="14.5">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c r="AA542" s="122"/>
      <c r="AB542" s="122"/>
      <c r="AC542" s="122"/>
    </row>
    <row r="543" spans="1:29" ht="14.5">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c r="AA543" s="122"/>
      <c r="AB543" s="122"/>
      <c r="AC543" s="122"/>
    </row>
    <row r="544" spans="1:29" ht="14.5">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c r="AA544" s="122"/>
      <c r="AB544" s="122"/>
      <c r="AC544" s="122"/>
    </row>
    <row r="545" spans="1:29" ht="14.5">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c r="AA545" s="122"/>
      <c r="AB545" s="122"/>
      <c r="AC545" s="122"/>
    </row>
    <row r="546" spans="1:29" ht="14.5">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c r="AA546" s="122"/>
      <c r="AB546" s="122"/>
      <c r="AC546" s="122"/>
    </row>
    <row r="547" spans="1:29" ht="14.5">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c r="AA547" s="122"/>
      <c r="AB547" s="122"/>
      <c r="AC547" s="122"/>
    </row>
    <row r="548" spans="1:29" ht="14.5">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c r="AA548" s="122"/>
      <c r="AB548" s="122"/>
      <c r="AC548" s="122"/>
    </row>
    <row r="549" spans="1:29" ht="14.5">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c r="AA549" s="122"/>
      <c r="AB549" s="122"/>
      <c r="AC549" s="122"/>
    </row>
    <row r="550" spans="1:29" ht="14.5">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c r="AA550" s="122"/>
      <c r="AB550" s="122"/>
      <c r="AC550" s="122"/>
    </row>
    <row r="551" spans="1:29" ht="14.5">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c r="AA551" s="122"/>
      <c r="AB551" s="122"/>
      <c r="AC551" s="122"/>
    </row>
    <row r="552" spans="1:29" ht="14.5">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c r="AA552" s="122"/>
      <c r="AB552" s="122"/>
      <c r="AC552" s="122"/>
    </row>
    <row r="553" spans="1:29" ht="14.5">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c r="AA553" s="122"/>
      <c r="AB553" s="122"/>
      <c r="AC553" s="122"/>
    </row>
    <row r="554" spans="1:29" ht="14.5">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c r="AA554" s="122"/>
      <c r="AB554" s="122"/>
      <c r="AC554" s="122"/>
    </row>
    <row r="555" spans="1:29" ht="14.5">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c r="AA555" s="122"/>
      <c r="AB555" s="122"/>
      <c r="AC555" s="122"/>
    </row>
    <row r="556" spans="1:29" ht="14.5">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c r="AA556" s="122"/>
      <c r="AB556" s="122"/>
      <c r="AC556" s="122"/>
    </row>
    <row r="557" spans="1:29" ht="14.5">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c r="AA557" s="122"/>
      <c r="AB557" s="122"/>
      <c r="AC557" s="122"/>
    </row>
    <row r="558" spans="1:29" ht="14.5">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c r="AA558" s="122"/>
      <c r="AB558" s="122"/>
      <c r="AC558" s="122"/>
    </row>
    <row r="559" spans="1:29" ht="14.5">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c r="AA559" s="122"/>
      <c r="AB559" s="122"/>
      <c r="AC559" s="122"/>
    </row>
    <row r="560" spans="1:29" ht="14.5">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c r="AA560" s="122"/>
      <c r="AB560" s="122"/>
      <c r="AC560" s="122"/>
    </row>
    <row r="561" spans="1:29" ht="14.5">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c r="AA561" s="122"/>
      <c r="AB561" s="122"/>
      <c r="AC561" s="122"/>
    </row>
    <row r="562" spans="1:29" ht="14.5">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c r="AA562" s="122"/>
      <c r="AB562" s="122"/>
      <c r="AC562" s="122"/>
    </row>
    <row r="563" spans="1:29" ht="14.5">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c r="AA563" s="122"/>
      <c r="AB563" s="122"/>
      <c r="AC563" s="122"/>
    </row>
    <row r="564" spans="1:29" ht="14.5">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c r="AA564" s="122"/>
      <c r="AB564" s="122"/>
      <c r="AC564" s="122"/>
    </row>
    <row r="565" spans="1:29" ht="14.5">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c r="AA565" s="122"/>
      <c r="AB565" s="122"/>
      <c r="AC565" s="122"/>
    </row>
    <row r="566" spans="1:29" ht="14.5">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c r="AA566" s="122"/>
      <c r="AB566" s="122"/>
      <c r="AC566" s="122"/>
    </row>
    <row r="567" spans="1:29" ht="14.5">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c r="AA567" s="122"/>
      <c r="AB567" s="122"/>
      <c r="AC567" s="122"/>
    </row>
    <row r="568" spans="1:29" ht="14.5">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c r="AA568" s="122"/>
      <c r="AB568" s="122"/>
      <c r="AC568" s="122"/>
    </row>
    <row r="569" spans="1:29" ht="14.5">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c r="AA569" s="122"/>
      <c r="AB569" s="122"/>
      <c r="AC569" s="122"/>
    </row>
    <row r="570" spans="1:29" ht="14.5">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c r="AA570" s="122"/>
      <c r="AB570" s="122"/>
      <c r="AC570" s="122"/>
    </row>
    <row r="571" spans="1:29" ht="14.5">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c r="AA571" s="122"/>
      <c r="AB571" s="122"/>
      <c r="AC571" s="122"/>
    </row>
    <row r="572" spans="1:29" ht="14.5">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c r="AA572" s="122"/>
      <c r="AB572" s="122"/>
      <c r="AC572" s="122"/>
    </row>
    <row r="573" spans="1:29" ht="14.5">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c r="AA573" s="122"/>
      <c r="AB573" s="122"/>
      <c r="AC573" s="122"/>
    </row>
    <row r="574" spans="1:29" ht="14.5">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c r="AA574" s="122"/>
      <c r="AB574" s="122"/>
      <c r="AC574" s="122"/>
    </row>
    <row r="575" spans="1:29" ht="14.5">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c r="AA575" s="122"/>
      <c r="AB575" s="122"/>
      <c r="AC575" s="122"/>
    </row>
    <row r="576" spans="1:29" ht="14.5">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c r="AA576" s="122"/>
      <c r="AB576" s="122"/>
      <c r="AC576" s="122"/>
    </row>
    <row r="577" spans="1:29" ht="14.5">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c r="AA577" s="122"/>
      <c r="AB577" s="122"/>
      <c r="AC577" s="122"/>
    </row>
    <row r="578" spans="1:29" ht="14.5">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c r="AA578" s="122"/>
      <c r="AB578" s="122"/>
      <c r="AC578" s="122"/>
    </row>
    <row r="579" spans="1:29" ht="14.5">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c r="AA579" s="122"/>
      <c r="AB579" s="122"/>
      <c r="AC579" s="122"/>
    </row>
    <row r="580" spans="1:29" ht="14.5">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c r="AA580" s="122"/>
      <c r="AB580" s="122"/>
      <c r="AC580" s="122"/>
    </row>
    <row r="581" spans="1:29" ht="14.5">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c r="AA581" s="122"/>
      <c r="AB581" s="122"/>
      <c r="AC581" s="122"/>
    </row>
    <row r="582" spans="1:29" ht="14.5">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c r="AA582" s="122"/>
      <c r="AB582" s="122"/>
      <c r="AC582" s="122"/>
    </row>
    <row r="583" spans="1:29" ht="14.5">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c r="AA583" s="122"/>
      <c r="AB583" s="122"/>
      <c r="AC583" s="122"/>
    </row>
    <row r="584" spans="1:29" ht="14.5">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c r="AA584" s="122"/>
      <c r="AB584" s="122"/>
      <c r="AC584" s="122"/>
    </row>
    <row r="585" spans="1:29" ht="14.5">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c r="AA585" s="122"/>
      <c r="AB585" s="122"/>
      <c r="AC585" s="122"/>
    </row>
    <row r="586" spans="1:29" ht="14.5">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c r="AA586" s="122"/>
      <c r="AB586" s="122"/>
      <c r="AC586" s="122"/>
    </row>
    <row r="587" spans="1:29" ht="14.5">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c r="AA587" s="122"/>
      <c r="AB587" s="122"/>
      <c r="AC587" s="122"/>
    </row>
    <row r="588" spans="1:29" ht="14.5">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c r="AA588" s="122"/>
      <c r="AB588" s="122"/>
      <c r="AC588" s="122"/>
    </row>
    <row r="589" spans="1:29" ht="14.5">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c r="AA589" s="122"/>
      <c r="AB589" s="122"/>
      <c r="AC589" s="122"/>
    </row>
    <row r="590" spans="1:29" ht="14.5">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c r="AA590" s="122"/>
      <c r="AB590" s="122"/>
      <c r="AC590" s="122"/>
    </row>
    <row r="591" spans="1:29" ht="14.5">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c r="AA591" s="122"/>
      <c r="AB591" s="122"/>
      <c r="AC591" s="122"/>
    </row>
    <row r="592" spans="1:29" ht="14.5">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c r="AA592" s="122"/>
      <c r="AB592" s="122"/>
      <c r="AC592" s="122"/>
    </row>
    <row r="593" spans="1:29" ht="14.5">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c r="AA593" s="122"/>
      <c r="AB593" s="122"/>
      <c r="AC593" s="122"/>
    </row>
    <row r="594" spans="1:29" ht="14.5">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c r="AA594" s="122"/>
      <c r="AB594" s="122"/>
      <c r="AC594" s="122"/>
    </row>
    <row r="595" spans="1:29" ht="14.5">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c r="AA595" s="122"/>
      <c r="AB595" s="122"/>
      <c r="AC595" s="122"/>
    </row>
    <row r="596" spans="1:29" ht="14.5">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c r="AA596" s="122"/>
      <c r="AB596" s="122"/>
      <c r="AC596" s="122"/>
    </row>
    <row r="597" spans="1:29" ht="14.5">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c r="AA597" s="122"/>
      <c r="AB597" s="122"/>
      <c r="AC597" s="122"/>
    </row>
    <row r="598" spans="1:29" ht="14.5">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c r="AA598" s="122"/>
      <c r="AB598" s="122"/>
      <c r="AC598" s="122"/>
    </row>
    <row r="599" spans="1:29" ht="14.5">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c r="AA599" s="122"/>
      <c r="AB599" s="122"/>
      <c r="AC599" s="122"/>
    </row>
    <row r="600" spans="1:29" ht="14.5">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c r="AA600" s="122"/>
      <c r="AB600" s="122"/>
      <c r="AC600" s="122"/>
    </row>
    <row r="601" spans="1:29" ht="14.5">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c r="AA601" s="122"/>
      <c r="AB601" s="122"/>
      <c r="AC601" s="122"/>
    </row>
    <row r="602" spans="1:29" ht="14.5">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c r="AA602" s="122"/>
      <c r="AB602" s="122"/>
      <c r="AC602" s="122"/>
    </row>
    <row r="603" spans="1:29" ht="14.5">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c r="AA603" s="122"/>
      <c r="AB603" s="122"/>
      <c r="AC603" s="122"/>
    </row>
    <row r="604" spans="1:29" ht="14.5">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c r="AA604" s="122"/>
      <c r="AB604" s="122"/>
      <c r="AC604" s="122"/>
    </row>
    <row r="605" spans="1:29" ht="14.5">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c r="AA605" s="122"/>
      <c r="AB605" s="122"/>
      <c r="AC605" s="122"/>
    </row>
    <row r="606" spans="1:29" ht="14.5">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c r="AA606" s="122"/>
      <c r="AB606" s="122"/>
      <c r="AC606" s="122"/>
    </row>
    <row r="607" spans="1:29" ht="14.5">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c r="AA607" s="122"/>
      <c r="AB607" s="122"/>
      <c r="AC607" s="122"/>
    </row>
    <row r="608" spans="1:29" ht="14.5">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c r="AA608" s="122"/>
      <c r="AB608" s="122"/>
      <c r="AC608" s="122"/>
    </row>
    <row r="609" spans="1:29" ht="14.5">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c r="AA609" s="122"/>
      <c r="AB609" s="122"/>
      <c r="AC609" s="122"/>
    </row>
    <row r="610" spans="1:29" ht="14.5">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c r="AA610" s="122"/>
      <c r="AB610" s="122"/>
      <c r="AC610" s="122"/>
    </row>
    <row r="611" spans="1:29" ht="14.5">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c r="AA611" s="122"/>
      <c r="AB611" s="122"/>
      <c r="AC611" s="122"/>
    </row>
    <row r="612" spans="1:29" ht="14.5">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c r="AA612" s="122"/>
      <c r="AB612" s="122"/>
      <c r="AC612" s="122"/>
    </row>
    <row r="613" spans="1:29" ht="14.5">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c r="AA613" s="122"/>
      <c r="AB613" s="122"/>
      <c r="AC613" s="122"/>
    </row>
    <row r="614" spans="1:29" ht="14.5">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c r="AA614" s="122"/>
      <c r="AB614" s="122"/>
      <c r="AC614" s="122"/>
    </row>
    <row r="615" spans="1:29" ht="14.5">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c r="AA615" s="122"/>
      <c r="AB615" s="122"/>
      <c r="AC615" s="122"/>
    </row>
    <row r="616" spans="1:29" ht="14.5">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c r="AA616" s="122"/>
      <c r="AB616" s="122"/>
      <c r="AC616" s="122"/>
    </row>
    <row r="617" spans="1:29" ht="14.5">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c r="AA617" s="122"/>
      <c r="AB617" s="122"/>
      <c r="AC617" s="122"/>
    </row>
    <row r="618" spans="1:29" ht="14.5">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c r="AA618" s="122"/>
      <c r="AB618" s="122"/>
      <c r="AC618" s="122"/>
    </row>
    <row r="619" spans="1:29" ht="14.5">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c r="AA619" s="122"/>
      <c r="AB619" s="122"/>
      <c r="AC619" s="122"/>
    </row>
    <row r="620" spans="1:29" ht="14.5">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c r="AA620" s="122"/>
      <c r="AB620" s="122"/>
      <c r="AC620" s="122"/>
    </row>
    <row r="621" spans="1:29" ht="14.5">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c r="AA621" s="122"/>
      <c r="AB621" s="122"/>
      <c r="AC621" s="122"/>
    </row>
    <row r="622" spans="1:29" ht="14.5">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c r="AA622" s="122"/>
      <c r="AB622" s="122"/>
      <c r="AC622" s="122"/>
    </row>
    <row r="623" spans="1:29" ht="14.5">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c r="AA623" s="122"/>
      <c r="AB623" s="122"/>
      <c r="AC623" s="122"/>
    </row>
    <row r="624" spans="1:29" ht="14.5">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c r="AA624" s="122"/>
      <c r="AB624" s="122"/>
      <c r="AC624" s="122"/>
    </row>
    <row r="625" spans="1:29" ht="14.5">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c r="AA625" s="122"/>
      <c r="AB625" s="122"/>
      <c r="AC625" s="122"/>
    </row>
    <row r="626" spans="1:29" ht="14.5">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c r="AA626" s="122"/>
      <c r="AB626" s="122"/>
      <c r="AC626" s="122"/>
    </row>
    <row r="627" spans="1:29" ht="14.5">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c r="AA627" s="122"/>
      <c r="AB627" s="122"/>
      <c r="AC627" s="122"/>
    </row>
    <row r="628" spans="1:29" ht="14.5">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c r="AA628" s="122"/>
      <c r="AB628" s="122"/>
      <c r="AC628" s="122"/>
    </row>
    <row r="629" spans="1:29" ht="14.5">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c r="AA629" s="122"/>
      <c r="AB629" s="122"/>
      <c r="AC629" s="122"/>
    </row>
    <row r="630" spans="1:29" ht="14.5">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c r="AA630" s="122"/>
      <c r="AB630" s="122"/>
      <c r="AC630" s="122"/>
    </row>
    <row r="631" spans="1:29" ht="14.5">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c r="AA631" s="122"/>
      <c r="AB631" s="122"/>
      <c r="AC631" s="122"/>
    </row>
    <row r="632" spans="1:29" ht="14.5">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c r="AA632" s="122"/>
      <c r="AB632" s="122"/>
      <c r="AC632" s="122"/>
    </row>
    <row r="633" spans="1:29" ht="14.5">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c r="AA633" s="122"/>
      <c r="AB633" s="122"/>
      <c r="AC633" s="122"/>
    </row>
    <row r="634" spans="1:29" ht="14.5">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c r="AA634" s="122"/>
      <c r="AB634" s="122"/>
      <c r="AC634" s="122"/>
    </row>
    <row r="635" spans="1:29" ht="14.5">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c r="AA635" s="122"/>
      <c r="AB635" s="122"/>
      <c r="AC635" s="122"/>
    </row>
    <row r="636" spans="1:29" ht="14.5">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c r="AA636" s="122"/>
      <c r="AB636" s="122"/>
      <c r="AC636" s="122"/>
    </row>
    <row r="637" spans="1:29" ht="14.5">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c r="AA637" s="122"/>
      <c r="AB637" s="122"/>
      <c r="AC637" s="122"/>
    </row>
    <row r="638" spans="1:29" ht="14.5">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c r="AA638" s="122"/>
      <c r="AB638" s="122"/>
      <c r="AC638" s="122"/>
    </row>
    <row r="639" spans="1:29" ht="14.5">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c r="AA639" s="122"/>
      <c r="AB639" s="122"/>
      <c r="AC639" s="122"/>
    </row>
    <row r="640" spans="1:29" ht="14.5">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c r="AA640" s="122"/>
      <c r="AB640" s="122"/>
      <c r="AC640" s="122"/>
    </row>
    <row r="641" spans="1:29" ht="14.5">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c r="AA641" s="122"/>
      <c r="AB641" s="122"/>
      <c r="AC641" s="122"/>
    </row>
    <row r="642" spans="1:29" ht="14.5">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c r="AA642" s="122"/>
      <c r="AB642" s="122"/>
      <c r="AC642" s="122"/>
    </row>
    <row r="643" spans="1:29" ht="14.5">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c r="AA643" s="122"/>
      <c r="AB643" s="122"/>
      <c r="AC643" s="122"/>
    </row>
    <row r="644" spans="1:29" ht="14.5">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c r="AA644" s="122"/>
      <c r="AB644" s="122"/>
      <c r="AC644" s="122"/>
    </row>
    <row r="645" spans="1:29" ht="14.5">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c r="AA645" s="122"/>
      <c r="AB645" s="122"/>
      <c r="AC645" s="122"/>
    </row>
    <row r="646" spans="1:29" ht="14.5">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c r="AA646" s="122"/>
      <c r="AB646" s="122"/>
      <c r="AC646" s="122"/>
    </row>
    <row r="647" spans="1:29" ht="14.5">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c r="AA647" s="122"/>
      <c r="AB647" s="122"/>
      <c r="AC647" s="122"/>
    </row>
    <row r="648" spans="1:29" ht="14.5">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c r="AA648" s="122"/>
      <c r="AB648" s="122"/>
      <c r="AC648" s="122"/>
    </row>
    <row r="649" spans="1:29" ht="14.5">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c r="AA649" s="122"/>
      <c r="AB649" s="122"/>
      <c r="AC649" s="122"/>
    </row>
    <row r="650" spans="1:29" ht="14.5">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c r="AA650" s="122"/>
      <c r="AB650" s="122"/>
      <c r="AC650" s="122"/>
    </row>
    <row r="651" spans="1:29" ht="14.5">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c r="AA651" s="122"/>
      <c r="AB651" s="122"/>
      <c r="AC651" s="122"/>
    </row>
    <row r="652" spans="1:29" ht="14.5">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c r="AA652" s="122"/>
      <c r="AB652" s="122"/>
      <c r="AC652" s="122"/>
    </row>
    <row r="653" spans="1:29" ht="14.5">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c r="AA653" s="122"/>
      <c r="AB653" s="122"/>
      <c r="AC653" s="122"/>
    </row>
    <row r="654" spans="1:29" ht="14.5">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c r="AA654" s="122"/>
      <c r="AB654" s="122"/>
      <c r="AC654" s="122"/>
    </row>
    <row r="655" spans="1:29" ht="14.5">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c r="AA655" s="122"/>
      <c r="AB655" s="122"/>
      <c r="AC655" s="122"/>
    </row>
    <row r="656" spans="1:29" ht="14.5">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c r="AA656" s="122"/>
      <c r="AB656" s="122"/>
      <c r="AC656" s="122"/>
    </row>
    <row r="657" spans="1:29" ht="14.5">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c r="AA657" s="122"/>
      <c r="AB657" s="122"/>
      <c r="AC657" s="122"/>
    </row>
    <row r="658" spans="1:29" ht="14.5">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c r="AA658" s="122"/>
      <c r="AB658" s="122"/>
      <c r="AC658" s="122"/>
    </row>
    <row r="659" spans="1:29" ht="14.5">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c r="AA659" s="122"/>
      <c r="AB659" s="122"/>
      <c r="AC659" s="122"/>
    </row>
    <row r="660" spans="1:29" ht="14.5">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c r="AA660" s="122"/>
      <c r="AB660" s="122"/>
      <c r="AC660" s="122"/>
    </row>
    <row r="661" spans="1:29" ht="14.5">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c r="AA661" s="122"/>
      <c r="AB661" s="122"/>
      <c r="AC661" s="122"/>
    </row>
    <row r="662" spans="1:29" ht="14.5">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c r="AA662" s="122"/>
      <c r="AB662" s="122"/>
      <c r="AC662" s="122"/>
    </row>
    <row r="663" spans="1:29" ht="14.5">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c r="AA663" s="122"/>
      <c r="AB663" s="122"/>
      <c r="AC663" s="122"/>
    </row>
    <row r="664" spans="1:29" ht="14.5">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c r="AA664" s="122"/>
      <c r="AB664" s="122"/>
      <c r="AC664" s="122"/>
    </row>
    <row r="665" spans="1:29" ht="14.5">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c r="AA665" s="122"/>
      <c r="AB665" s="122"/>
      <c r="AC665" s="122"/>
    </row>
    <row r="666" spans="1:29" ht="14.5">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c r="AA666" s="122"/>
      <c r="AB666" s="122"/>
      <c r="AC666" s="122"/>
    </row>
    <row r="667" spans="1:29" ht="14.5">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c r="AA667" s="122"/>
      <c r="AB667" s="122"/>
      <c r="AC667" s="122"/>
    </row>
    <row r="668" spans="1:29" ht="14.5">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c r="AA668" s="122"/>
      <c r="AB668" s="122"/>
      <c r="AC668" s="122"/>
    </row>
    <row r="669" spans="1:29" ht="14.5">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c r="AA669" s="122"/>
      <c r="AB669" s="122"/>
      <c r="AC669" s="122"/>
    </row>
    <row r="670" spans="1:29" ht="14.5">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c r="AA670" s="122"/>
      <c r="AB670" s="122"/>
      <c r="AC670" s="122"/>
    </row>
    <row r="671" spans="1:29" ht="14.5">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c r="AA671" s="122"/>
      <c r="AB671" s="122"/>
      <c r="AC671" s="122"/>
    </row>
    <row r="672" spans="1:29" ht="14.5">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c r="AA672" s="122"/>
      <c r="AB672" s="122"/>
      <c r="AC672" s="122"/>
    </row>
    <row r="673" spans="1:29" ht="14.5">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c r="AA673" s="122"/>
      <c r="AB673" s="122"/>
      <c r="AC673" s="122"/>
    </row>
    <row r="674" spans="1:29" ht="14.5">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c r="AA674" s="122"/>
      <c r="AB674" s="122"/>
      <c r="AC674" s="122"/>
    </row>
    <row r="675" spans="1:29" ht="14.5">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c r="AA675" s="122"/>
      <c r="AB675" s="122"/>
      <c r="AC675" s="122"/>
    </row>
    <row r="676" spans="1:29" ht="14.5">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c r="AA676" s="122"/>
      <c r="AB676" s="122"/>
      <c r="AC676" s="122"/>
    </row>
    <row r="677" spans="1:29" ht="14.5">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c r="AA677" s="122"/>
      <c r="AB677" s="122"/>
      <c r="AC677" s="122"/>
    </row>
    <row r="678" spans="1:29" ht="14.5">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c r="AA678" s="122"/>
      <c r="AB678" s="122"/>
      <c r="AC678" s="122"/>
    </row>
    <row r="679" spans="1:29" ht="14.5">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c r="AA679" s="122"/>
      <c r="AB679" s="122"/>
      <c r="AC679" s="122"/>
    </row>
    <row r="680" spans="1:29" ht="14.5">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c r="AA680" s="122"/>
      <c r="AB680" s="122"/>
      <c r="AC680" s="122"/>
    </row>
    <row r="681" spans="1:29" ht="14.5">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c r="AA681" s="122"/>
      <c r="AB681" s="122"/>
      <c r="AC681" s="122"/>
    </row>
    <row r="682" spans="1:29" ht="14.5">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c r="AA682" s="122"/>
      <c r="AB682" s="122"/>
      <c r="AC682" s="122"/>
    </row>
    <row r="683" spans="1:29" ht="14.5">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c r="AA683" s="122"/>
      <c r="AB683" s="122"/>
      <c r="AC683" s="122"/>
    </row>
    <row r="684" spans="1:29" ht="14.5">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c r="AA684" s="122"/>
      <c r="AB684" s="122"/>
      <c r="AC684" s="122"/>
    </row>
    <row r="685" spans="1:29" ht="14.5">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c r="AA685" s="122"/>
      <c r="AB685" s="122"/>
      <c r="AC685" s="122"/>
    </row>
    <row r="686" spans="1:29" ht="14.5">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c r="AA686" s="122"/>
      <c r="AB686" s="122"/>
      <c r="AC686" s="122"/>
    </row>
    <row r="687" spans="1:29" ht="14.5">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c r="AA687" s="122"/>
      <c r="AB687" s="122"/>
      <c r="AC687" s="122"/>
    </row>
    <row r="688" spans="1:29" ht="14.5">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c r="AA688" s="122"/>
      <c r="AB688" s="122"/>
      <c r="AC688" s="122"/>
    </row>
    <row r="689" spans="1:29" ht="14.5">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c r="AA689" s="122"/>
      <c r="AB689" s="122"/>
      <c r="AC689" s="122"/>
    </row>
    <row r="690" spans="1:29" ht="14.5">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c r="AA690" s="122"/>
      <c r="AB690" s="122"/>
      <c r="AC690" s="122"/>
    </row>
    <row r="691" spans="1:29" ht="14.5">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c r="AA691" s="122"/>
      <c r="AB691" s="122"/>
      <c r="AC691" s="122"/>
    </row>
    <row r="692" spans="1:29" ht="14.5">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c r="AA692" s="122"/>
      <c r="AB692" s="122"/>
      <c r="AC692" s="122"/>
    </row>
    <row r="693" spans="1:29" ht="14.5">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c r="AA693" s="122"/>
      <c r="AB693" s="122"/>
      <c r="AC693" s="122"/>
    </row>
    <row r="694" spans="1:29" ht="14.5">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c r="AA694" s="122"/>
      <c r="AB694" s="122"/>
      <c r="AC694" s="122"/>
    </row>
    <row r="695" spans="1:29" ht="14.5">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c r="AA695" s="122"/>
      <c r="AB695" s="122"/>
      <c r="AC695" s="122"/>
    </row>
    <row r="696" spans="1:29" ht="14.5">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c r="AA696" s="122"/>
      <c r="AB696" s="122"/>
      <c r="AC696" s="122"/>
    </row>
    <row r="697" spans="1:29" ht="14.5">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c r="AA697" s="122"/>
      <c r="AB697" s="122"/>
      <c r="AC697" s="122"/>
    </row>
    <row r="698" spans="1:29" ht="14.5">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c r="AA698" s="122"/>
      <c r="AB698" s="122"/>
      <c r="AC698" s="122"/>
    </row>
    <row r="699" spans="1:29" ht="14.5">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c r="AA699" s="122"/>
      <c r="AB699" s="122"/>
      <c r="AC699" s="122"/>
    </row>
    <row r="700" spans="1:29" ht="14.5">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c r="AA700" s="122"/>
      <c r="AB700" s="122"/>
      <c r="AC700" s="122"/>
    </row>
    <row r="701" spans="1:29" ht="14.5">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c r="AA701" s="122"/>
      <c r="AB701" s="122"/>
      <c r="AC701" s="122"/>
    </row>
    <row r="702" spans="1:29" ht="14.5">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c r="AA702" s="122"/>
      <c r="AB702" s="122"/>
      <c r="AC702" s="122"/>
    </row>
    <row r="703" spans="1:29" ht="14.5">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c r="AA703" s="122"/>
      <c r="AB703" s="122"/>
      <c r="AC703" s="122"/>
    </row>
    <row r="704" spans="1:29" ht="14.5">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c r="AA704" s="122"/>
      <c r="AB704" s="122"/>
      <c r="AC704" s="122"/>
    </row>
    <row r="705" spans="1:29" ht="14.5">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c r="AA705" s="122"/>
      <c r="AB705" s="122"/>
      <c r="AC705" s="122"/>
    </row>
    <row r="706" spans="1:29" ht="14.5">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c r="AA706" s="122"/>
      <c r="AB706" s="122"/>
      <c r="AC706" s="122"/>
    </row>
    <row r="707" spans="1:29" ht="14.5">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c r="AA707" s="122"/>
      <c r="AB707" s="122"/>
      <c r="AC707" s="122"/>
    </row>
    <row r="708" spans="1:29" ht="14.5">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c r="AA708" s="122"/>
      <c r="AB708" s="122"/>
      <c r="AC708" s="122"/>
    </row>
    <row r="709" spans="1:29" ht="14.5">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c r="AA709" s="122"/>
      <c r="AB709" s="122"/>
      <c r="AC709" s="122"/>
    </row>
    <row r="710" spans="1:29" ht="14.5">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c r="AA710" s="122"/>
      <c r="AB710" s="122"/>
      <c r="AC710" s="122"/>
    </row>
    <row r="711" spans="1:29" ht="14.5">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c r="AA711" s="122"/>
      <c r="AB711" s="122"/>
      <c r="AC711" s="122"/>
    </row>
    <row r="712" spans="1:29" ht="14.5">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c r="AA712" s="122"/>
      <c r="AB712" s="122"/>
      <c r="AC712" s="122"/>
    </row>
    <row r="713" spans="1:29" ht="14.5">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c r="AA713" s="122"/>
      <c r="AB713" s="122"/>
      <c r="AC713" s="122"/>
    </row>
    <row r="714" spans="1:29" ht="14.5">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c r="AA714" s="122"/>
      <c r="AB714" s="122"/>
      <c r="AC714" s="122"/>
    </row>
    <row r="715" spans="1:29" ht="14.5">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c r="AA715" s="122"/>
      <c r="AB715" s="122"/>
      <c r="AC715" s="122"/>
    </row>
    <row r="716" spans="1:29" ht="14.5">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c r="AA716" s="122"/>
      <c r="AB716" s="122"/>
      <c r="AC716" s="122"/>
    </row>
    <row r="717" spans="1:29" ht="14.5">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c r="AA717" s="122"/>
      <c r="AB717" s="122"/>
      <c r="AC717" s="122"/>
    </row>
    <row r="718" spans="1:29" ht="14.5">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c r="AA718" s="122"/>
      <c r="AB718" s="122"/>
      <c r="AC718" s="122"/>
    </row>
    <row r="719" spans="1:29" ht="14.5">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c r="AA719" s="122"/>
      <c r="AB719" s="122"/>
      <c r="AC719" s="122"/>
    </row>
    <row r="720" spans="1:29" ht="14.5">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c r="AA720" s="122"/>
      <c r="AB720" s="122"/>
      <c r="AC720" s="122"/>
    </row>
    <row r="721" spans="1:29" ht="14.5">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c r="AA721" s="122"/>
      <c r="AB721" s="122"/>
      <c r="AC721" s="122"/>
    </row>
    <row r="722" spans="1:29" ht="14.5">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c r="AA722" s="122"/>
      <c r="AB722" s="122"/>
      <c r="AC722" s="122"/>
    </row>
    <row r="723" spans="1:29" ht="14.5">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c r="AA723" s="122"/>
      <c r="AB723" s="122"/>
      <c r="AC723" s="122"/>
    </row>
    <row r="724" spans="1:29" ht="14.5">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c r="AA724" s="122"/>
      <c r="AB724" s="122"/>
      <c r="AC724" s="122"/>
    </row>
    <row r="725" spans="1:29" ht="14.5">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c r="AA725" s="122"/>
      <c r="AB725" s="122"/>
      <c r="AC725" s="122"/>
    </row>
    <row r="726" spans="1:29" ht="14.5">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c r="AA726" s="122"/>
      <c r="AB726" s="122"/>
      <c r="AC726" s="122"/>
    </row>
    <row r="727" spans="1:29" ht="14.5">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c r="AA727" s="122"/>
      <c r="AB727" s="122"/>
      <c r="AC727" s="122"/>
    </row>
    <row r="728" spans="1:29" ht="14.5">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c r="AA728" s="122"/>
      <c r="AB728" s="122"/>
      <c r="AC728" s="122"/>
    </row>
    <row r="729" spans="1:29" ht="14.5">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c r="AA729" s="122"/>
      <c r="AB729" s="122"/>
      <c r="AC729" s="122"/>
    </row>
    <row r="730" spans="1:29" ht="14.5">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c r="AA730" s="122"/>
      <c r="AB730" s="122"/>
      <c r="AC730" s="122"/>
    </row>
    <row r="731" spans="1:29" ht="14.5">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c r="AA731" s="122"/>
      <c r="AB731" s="122"/>
      <c r="AC731" s="122"/>
    </row>
    <row r="732" spans="1:29" ht="14.5">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c r="AA732" s="122"/>
      <c r="AB732" s="122"/>
      <c r="AC732" s="122"/>
    </row>
    <row r="733" spans="1:29" ht="14.5">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c r="AA733" s="122"/>
      <c r="AB733" s="122"/>
      <c r="AC733" s="122"/>
    </row>
    <row r="734" spans="1:29" ht="14.5">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c r="AA734" s="122"/>
      <c r="AB734" s="122"/>
      <c r="AC734" s="122"/>
    </row>
    <row r="735" spans="1:29" ht="14.5">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c r="AA735" s="122"/>
      <c r="AB735" s="122"/>
      <c r="AC735" s="122"/>
    </row>
    <row r="736" spans="1:29" ht="14.5">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c r="AA736" s="122"/>
      <c r="AB736" s="122"/>
      <c r="AC736" s="122"/>
    </row>
    <row r="737" spans="1:29" ht="14.5">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c r="AA737" s="122"/>
      <c r="AB737" s="122"/>
      <c r="AC737" s="122"/>
    </row>
    <row r="738" spans="1:29" ht="14.5">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c r="AA738" s="122"/>
      <c r="AB738" s="122"/>
      <c r="AC738" s="122"/>
    </row>
    <row r="739" spans="1:29" ht="14.5">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c r="AA739" s="122"/>
      <c r="AB739" s="122"/>
      <c r="AC739" s="122"/>
    </row>
    <row r="740" spans="1:29" ht="14.5">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c r="AA740" s="122"/>
      <c r="AB740" s="122"/>
      <c r="AC740" s="122"/>
    </row>
    <row r="741" spans="1:29" ht="14.5">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c r="AA741" s="122"/>
      <c r="AB741" s="122"/>
      <c r="AC741" s="122"/>
    </row>
    <row r="742" spans="1:29" ht="14.5">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c r="AA742" s="122"/>
      <c r="AB742" s="122"/>
      <c r="AC742" s="122"/>
    </row>
    <row r="743" spans="1:29" ht="14.5">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c r="AA743" s="122"/>
      <c r="AB743" s="122"/>
      <c r="AC743" s="122"/>
    </row>
    <row r="744" spans="1:29" ht="14.5">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c r="AA744" s="122"/>
      <c r="AB744" s="122"/>
      <c r="AC744" s="122"/>
    </row>
    <row r="745" spans="1:29" ht="14.5">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c r="AA745" s="122"/>
      <c r="AB745" s="122"/>
      <c r="AC745" s="122"/>
    </row>
    <row r="746" spans="1:29" ht="14.5">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c r="AA746" s="122"/>
      <c r="AB746" s="122"/>
      <c r="AC746" s="122"/>
    </row>
    <row r="747" spans="1:29" ht="14.5">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c r="AA747" s="122"/>
      <c r="AB747" s="122"/>
      <c r="AC747" s="122"/>
    </row>
    <row r="748" spans="1:29" ht="14.5">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c r="AA748" s="122"/>
      <c r="AB748" s="122"/>
      <c r="AC748" s="122"/>
    </row>
    <row r="749" spans="1:29" ht="14.5">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c r="AA749" s="122"/>
      <c r="AB749" s="122"/>
      <c r="AC749" s="122"/>
    </row>
    <row r="750" spans="1:29" ht="14.5">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c r="AA750" s="122"/>
      <c r="AB750" s="122"/>
      <c r="AC750" s="122"/>
    </row>
    <row r="751" spans="1:29" ht="14.5">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c r="AA751" s="122"/>
      <c r="AB751" s="122"/>
      <c r="AC751" s="122"/>
    </row>
    <row r="752" spans="1:29" ht="14.5">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c r="AA752" s="122"/>
      <c r="AB752" s="122"/>
      <c r="AC752" s="122"/>
    </row>
    <row r="753" spans="1:29" ht="14.5">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c r="AA753" s="122"/>
      <c r="AB753" s="122"/>
      <c r="AC753" s="122"/>
    </row>
    <row r="754" spans="1:29" ht="14.5">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c r="AA754" s="122"/>
      <c r="AB754" s="122"/>
      <c r="AC754" s="122"/>
    </row>
    <row r="755" spans="1:29" ht="14.5">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c r="AA755" s="122"/>
      <c r="AB755" s="122"/>
      <c r="AC755" s="122"/>
    </row>
    <row r="756" spans="1:29" ht="14.5">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c r="AA756" s="122"/>
      <c r="AB756" s="122"/>
      <c r="AC756" s="122"/>
    </row>
    <row r="757" spans="1:29" ht="14.5">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c r="AA757" s="122"/>
      <c r="AB757" s="122"/>
      <c r="AC757" s="122"/>
    </row>
    <row r="758" spans="1:29" ht="14.5">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c r="AA758" s="122"/>
      <c r="AB758" s="122"/>
      <c r="AC758" s="122"/>
    </row>
    <row r="759" spans="1:29" ht="14.5">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c r="AA759" s="122"/>
      <c r="AB759" s="122"/>
      <c r="AC759" s="122"/>
    </row>
    <row r="760" spans="1:29" ht="14.5">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c r="AA760" s="122"/>
      <c r="AB760" s="122"/>
      <c r="AC760" s="122"/>
    </row>
    <row r="761" spans="1:29" ht="14.5">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c r="AA761" s="122"/>
      <c r="AB761" s="122"/>
      <c r="AC761" s="122"/>
    </row>
    <row r="762" spans="1:29" ht="14.5">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c r="AA762" s="122"/>
      <c r="AB762" s="122"/>
      <c r="AC762" s="122"/>
    </row>
    <row r="763" spans="1:29" ht="14.5">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c r="AA763" s="122"/>
      <c r="AB763" s="122"/>
      <c r="AC763" s="122"/>
    </row>
    <row r="764" spans="1:29" ht="14.5">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c r="AA764" s="122"/>
      <c r="AB764" s="122"/>
      <c r="AC764" s="122"/>
    </row>
    <row r="765" spans="1:29" ht="14.5">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c r="AA765" s="122"/>
      <c r="AB765" s="122"/>
      <c r="AC765" s="122"/>
    </row>
    <row r="766" spans="1:29" ht="14.5">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c r="AA766" s="122"/>
      <c r="AB766" s="122"/>
      <c r="AC766" s="122"/>
    </row>
    <row r="767" spans="1:29" ht="14.5">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c r="AA767" s="122"/>
      <c r="AB767" s="122"/>
      <c r="AC767" s="122"/>
    </row>
    <row r="768" spans="1:29" ht="14.5">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c r="AA768" s="122"/>
      <c r="AB768" s="122"/>
      <c r="AC768" s="122"/>
    </row>
    <row r="769" spans="1:29" ht="14.5">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c r="AA769" s="122"/>
      <c r="AB769" s="122"/>
      <c r="AC769" s="122"/>
    </row>
    <row r="770" spans="1:29" ht="14.5">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c r="AA770" s="122"/>
      <c r="AB770" s="122"/>
      <c r="AC770" s="122"/>
    </row>
    <row r="771" spans="1:29" ht="14.5">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c r="AA771" s="122"/>
      <c r="AB771" s="122"/>
      <c r="AC771" s="122"/>
    </row>
    <row r="772" spans="1:29" ht="14.5">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c r="AA772" s="122"/>
      <c r="AB772" s="122"/>
      <c r="AC772" s="122"/>
    </row>
    <row r="773" spans="1:29" ht="14.5">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c r="AA773" s="122"/>
      <c r="AB773" s="122"/>
      <c r="AC773" s="122"/>
    </row>
    <row r="774" spans="1:29" ht="14.5">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c r="AA774" s="122"/>
      <c r="AB774" s="122"/>
      <c r="AC774" s="122"/>
    </row>
    <row r="775" spans="1:29" ht="14.5">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c r="AA775" s="122"/>
      <c r="AB775" s="122"/>
      <c r="AC775" s="122"/>
    </row>
    <row r="776" spans="1:29" ht="14.5">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c r="AA776" s="122"/>
      <c r="AB776" s="122"/>
      <c r="AC776" s="122"/>
    </row>
    <row r="777" spans="1:29" ht="14.5">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c r="AA777" s="122"/>
      <c r="AB777" s="122"/>
      <c r="AC777" s="122"/>
    </row>
    <row r="778" spans="1:29" ht="14.5">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c r="AA778" s="122"/>
      <c r="AB778" s="122"/>
      <c r="AC778" s="122"/>
    </row>
    <row r="779" spans="1:29" ht="14.5">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c r="AA779" s="122"/>
      <c r="AB779" s="122"/>
      <c r="AC779" s="122"/>
    </row>
    <row r="780" spans="1:29" ht="14.5">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c r="AA780" s="122"/>
      <c r="AB780" s="122"/>
      <c r="AC780" s="122"/>
    </row>
    <row r="781" spans="1:29" ht="14.5">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c r="AA781" s="122"/>
      <c r="AB781" s="122"/>
      <c r="AC781" s="122"/>
    </row>
    <row r="782" spans="1:29" ht="14.5">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c r="AA782" s="122"/>
      <c r="AB782" s="122"/>
      <c r="AC782" s="122"/>
    </row>
    <row r="783" spans="1:29" ht="14.5">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c r="AA783" s="122"/>
      <c r="AB783" s="122"/>
      <c r="AC783" s="122"/>
    </row>
    <row r="784" spans="1:29" ht="14.5">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c r="AA784" s="122"/>
      <c r="AB784" s="122"/>
      <c r="AC784" s="122"/>
    </row>
    <row r="785" spans="1:29" ht="14.5">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c r="AA785" s="122"/>
      <c r="AB785" s="122"/>
      <c r="AC785" s="122"/>
    </row>
    <row r="786" spans="1:29" ht="14.5">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c r="AA786" s="122"/>
      <c r="AB786" s="122"/>
      <c r="AC786" s="122"/>
    </row>
    <row r="787" spans="1:29" ht="14.5">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c r="AA787" s="122"/>
      <c r="AB787" s="122"/>
      <c r="AC787" s="122"/>
    </row>
    <row r="788" spans="1:29" ht="14.5">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c r="AA788" s="122"/>
      <c r="AB788" s="122"/>
      <c r="AC788" s="122"/>
    </row>
    <row r="789" spans="1:29" ht="14.5">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c r="AA789" s="122"/>
      <c r="AB789" s="122"/>
      <c r="AC789" s="122"/>
    </row>
    <row r="790" spans="1:29" ht="14.5">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c r="AA790" s="122"/>
      <c r="AB790" s="122"/>
      <c r="AC790" s="122"/>
    </row>
    <row r="791" spans="1:29" ht="14.5">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c r="AA791" s="122"/>
      <c r="AB791" s="122"/>
      <c r="AC791" s="122"/>
    </row>
    <row r="792" spans="1:29" ht="14.5">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c r="AA792" s="122"/>
      <c r="AB792" s="122"/>
      <c r="AC792" s="122"/>
    </row>
    <row r="793" spans="1:29" ht="14.5">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c r="AA793" s="122"/>
      <c r="AB793" s="122"/>
      <c r="AC793" s="122"/>
    </row>
    <row r="794" spans="1:29" ht="14.5">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c r="AA794" s="122"/>
      <c r="AB794" s="122"/>
      <c r="AC794" s="122"/>
    </row>
    <row r="795" spans="1:29" ht="14.5">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c r="AA795" s="122"/>
      <c r="AB795" s="122"/>
      <c r="AC795" s="122"/>
    </row>
    <row r="796" spans="1:29" ht="14.5">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c r="AA796" s="122"/>
      <c r="AB796" s="122"/>
      <c r="AC796" s="122"/>
    </row>
    <row r="797" spans="1:29" ht="14.5">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c r="AA797" s="122"/>
      <c r="AB797" s="122"/>
      <c r="AC797" s="122"/>
    </row>
    <row r="798" spans="1:29" ht="14.5">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c r="AA798" s="122"/>
      <c r="AB798" s="122"/>
      <c r="AC798" s="122"/>
    </row>
    <row r="799" spans="1:29" ht="14.5">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c r="AA799" s="122"/>
      <c r="AB799" s="122"/>
      <c r="AC799" s="122"/>
    </row>
    <row r="800" spans="1:29" ht="14.5">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c r="AA800" s="122"/>
      <c r="AB800" s="122"/>
      <c r="AC800" s="122"/>
    </row>
    <row r="801" spans="1:29" ht="14.5">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c r="AA801" s="122"/>
      <c r="AB801" s="122"/>
      <c r="AC801" s="122"/>
    </row>
    <row r="802" spans="1:29" ht="14.5">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c r="AA802" s="122"/>
      <c r="AB802" s="122"/>
      <c r="AC802" s="122"/>
    </row>
    <row r="803" spans="1:29" ht="14.5">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c r="AA803" s="122"/>
      <c r="AB803" s="122"/>
      <c r="AC803" s="122"/>
    </row>
    <row r="804" spans="1:29" ht="14.5">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c r="AA804" s="122"/>
      <c r="AB804" s="122"/>
      <c r="AC804" s="122"/>
    </row>
    <row r="805" spans="1:29" ht="14.5">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c r="AA805" s="122"/>
      <c r="AB805" s="122"/>
      <c r="AC805" s="122"/>
    </row>
    <row r="806" spans="1:29" ht="14.5">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c r="AA806" s="122"/>
      <c r="AB806" s="122"/>
      <c r="AC806" s="122"/>
    </row>
    <row r="807" spans="1:29" ht="14.5">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c r="AA807" s="122"/>
      <c r="AB807" s="122"/>
      <c r="AC807" s="122"/>
    </row>
    <row r="808" spans="1:29" ht="14.5">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c r="AA808" s="122"/>
      <c r="AB808" s="122"/>
      <c r="AC808" s="122"/>
    </row>
    <row r="809" spans="1:29" ht="14.5">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c r="AA809" s="122"/>
      <c r="AB809" s="122"/>
      <c r="AC809" s="122"/>
    </row>
    <row r="810" spans="1:29" ht="14.5">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c r="AA810" s="122"/>
      <c r="AB810" s="122"/>
      <c r="AC810" s="122"/>
    </row>
    <row r="811" spans="1:29" ht="14.5">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c r="AA811" s="122"/>
      <c r="AB811" s="122"/>
      <c r="AC811" s="122"/>
    </row>
    <row r="812" spans="1:29" ht="14.5">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c r="AA812" s="122"/>
      <c r="AB812" s="122"/>
      <c r="AC812" s="122"/>
    </row>
    <row r="813" spans="1:29" ht="14.5">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c r="AA813" s="122"/>
      <c r="AB813" s="122"/>
      <c r="AC813" s="122"/>
    </row>
    <row r="814" spans="1:29" ht="14.5">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c r="AA814" s="122"/>
      <c r="AB814" s="122"/>
      <c r="AC814" s="122"/>
    </row>
    <row r="815" spans="1:29" ht="14.5">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c r="AA815" s="122"/>
      <c r="AB815" s="122"/>
      <c r="AC815" s="122"/>
    </row>
    <row r="816" spans="1:29" ht="14.5">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c r="AA816" s="122"/>
      <c r="AB816" s="122"/>
      <c r="AC816" s="122"/>
    </row>
    <row r="817" spans="1:29" ht="14.5">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c r="AA817" s="122"/>
      <c r="AB817" s="122"/>
      <c r="AC817" s="122"/>
    </row>
    <row r="818" spans="1:29" ht="14.5">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c r="AA818" s="122"/>
      <c r="AB818" s="122"/>
      <c r="AC818" s="122"/>
    </row>
    <row r="819" spans="1:29" ht="14.5">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c r="AA819" s="122"/>
      <c r="AB819" s="122"/>
      <c r="AC819" s="122"/>
    </row>
    <row r="820" spans="1:29" ht="14.5">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c r="AA820" s="122"/>
      <c r="AB820" s="122"/>
      <c r="AC820" s="122"/>
    </row>
    <row r="821" spans="1:29" ht="14.5">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c r="AA821" s="122"/>
      <c r="AB821" s="122"/>
      <c r="AC821" s="122"/>
    </row>
    <row r="822" spans="1:29" ht="14.5">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c r="AA822" s="122"/>
      <c r="AB822" s="122"/>
      <c r="AC822" s="122"/>
    </row>
    <row r="823" spans="1:29" ht="14.5">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c r="AA823" s="122"/>
      <c r="AB823" s="122"/>
      <c r="AC823" s="122"/>
    </row>
    <row r="824" spans="1:29" ht="14.5">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c r="AA824" s="122"/>
      <c r="AB824" s="122"/>
      <c r="AC824" s="122"/>
    </row>
    <row r="825" spans="1:29" ht="14.5">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c r="AA825" s="122"/>
      <c r="AB825" s="122"/>
      <c r="AC825" s="122"/>
    </row>
    <row r="826" spans="1:29" ht="14.5">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c r="AA826" s="122"/>
      <c r="AB826" s="122"/>
      <c r="AC826" s="122"/>
    </row>
    <row r="827" spans="1:29" ht="14.5">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c r="AA827" s="122"/>
      <c r="AB827" s="122"/>
      <c r="AC827" s="122"/>
    </row>
    <row r="828" spans="1:29" ht="14.5">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c r="AA828" s="122"/>
      <c r="AB828" s="122"/>
      <c r="AC828" s="122"/>
    </row>
    <row r="829" spans="1:29" ht="14.5">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c r="AA829" s="122"/>
      <c r="AB829" s="122"/>
      <c r="AC829" s="122"/>
    </row>
    <row r="830" spans="1:29" ht="14.5">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c r="AA830" s="122"/>
      <c r="AB830" s="122"/>
      <c r="AC830" s="122"/>
    </row>
    <row r="831" spans="1:29" ht="14.5">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c r="AA831" s="122"/>
      <c r="AB831" s="122"/>
      <c r="AC831" s="122"/>
    </row>
    <row r="832" spans="1:29" ht="14.5">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c r="AA832" s="122"/>
      <c r="AB832" s="122"/>
      <c r="AC832" s="122"/>
    </row>
    <row r="833" spans="1:29" ht="14.5">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c r="AA833" s="122"/>
      <c r="AB833" s="122"/>
      <c r="AC833" s="122"/>
    </row>
    <row r="834" spans="1:29" ht="14.5">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c r="AA834" s="122"/>
      <c r="AB834" s="122"/>
      <c r="AC834" s="122"/>
    </row>
    <row r="835" spans="1:29" ht="14.5">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c r="AA835" s="122"/>
      <c r="AB835" s="122"/>
      <c r="AC835" s="122"/>
    </row>
    <row r="836" spans="1:29" ht="14.5">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c r="AA836" s="122"/>
      <c r="AB836" s="122"/>
      <c r="AC836" s="122"/>
    </row>
    <row r="837" spans="1:29" ht="14.5">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c r="AA837" s="122"/>
      <c r="AB837" s="122"/>
      <c r="AC837" s="122"/>
    </row>
    <row r="838" spans="1:29" ht="14.5">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c r="AA838" s="122"/>
      <c r="AB838" s="122"/>
      <c r="AC838" s="122"/>
    </row>
    <row r="839" spans="1:29" ht="14.5">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c r="AA839" s="122"/>
      <c r="AB839" s="122"/>
      <c r="AC839" s="122"/>
    </row>
    <row r="840" spans="1:29" ht="14.5">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c r="AA840" s="122"/>
      <c r="AB840" s="122"/>
      <c r="AC840" s="122"/>
    </row>
    <row r="841" spans="1:29" ht="14.5">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c r="AA841" s="122"/>
      <c r="AB841" s="122"/>
      <c r="AC841" s="122"/>
    </row>
    <row r="842" spans="1:29" ht="14.5">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c r="AA842" s="122"/>
      <c r="AB842" s="122"/>
      <c r="AC842" s="122"/>
    </row>
    <row r="843" spans="1:29" ht="14.5">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c r="AA843" s="122"/>
      <c r="AB843" s="122"/>
      <c r="AC843" s="122"/>
    </row>
    <row r="844" spans="1:29" ht="14.5">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c r="AA844" s="122"/>
      <c r="AB844" s="122"/>
      <c r="AC844" s="122"/>
    </row>
    <row r="845" spans="1:29" ht="14.5">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c r="AA845" s="122"/>
      <c r="AB845" s="122"/>
      <c r="AC845" s="122"/>
    </row>
    <row r="846" spans="1:29" ht="14.5">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c r="AA846" s="122"/>
      <c r="AB846" s="122"/>
      <c r="AC846" s="122"/>
    </row>
    <row r="847" spans="1:29" ht="14.5">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c r="AA847" s="122"/>
      <c r="AB847" s="122"/>
      <c r="AC847" s="122"/>
    </row>
    <row r="848" spans="1:29" ht="14.5">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c r="AA848" s="122"/>
      <c r="AB848" s="122"/>
      <c r="AC848" s="122"/>
    </row>
    <row r="849" spans="1:29" ht="14.5">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c r="AA849" s="122"/>
      <c r="AB849" s="122"/>
      <c r="AC849" s="122"/>
    </row>
    <row r="850" spans="1:29" ht="14.5">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c r="AA850" s="122"/>
      <c r="AB850" s="122"/>
      <c r="AC850" s="122"/>
    </row>
    <row r="851" spans="1:29" ht="14.5">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c r="AA851" s="122"/>
      <c r="AB851" s="122"/>
      <c r="AC851" s="122"/>
    </row>
    <row r="852" spans="1:29" ht="14.5">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c r="AA852" s="122"/>
      <c r="AB852" s="122"/>
      <c r="AC852" s="122"/>
    </row>
    <row r="853" spans="1:29" ht="14.5">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c r="AA853" s="122"/>
      <c r="AB853" s="122"/>
      <c r="AC853" s="122"/>
    </row>
    <row r="854" spans="1:29" ht="14.5">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c r="AA854" s="122"/>
      <c r="AB854" s="122"/>
      <c r="AC854" s="122"/>
    </row>
    <row r="855" spans="1:29" ht="14.5">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c r="AA855" s="122"/>
      <c r="AB855" s="122"/>
      <c r="AC855" s="122"/>
    </row>
    <row r="856" spans="1:29" ht="14.5">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c r="AA856" s="122"/>
      <c r="AB856" s="122"/>
      <c r="AC856" s="122"/>
    </row>
    <row r="857" spans="1:29" ht="14.5">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c r="AA857" s="122"/>
      <c r="AB857" s="122"/>
      <c r="AC857" s="122"/>
    </row>
    <row r="858" spans="1:29" ht="14.5">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c r="AA858" s="122"/>
      <c r="AB858" s="122"/>
      <c r="AC858" s="122"/>
    </row>
    <row r="859" spans="1:29" ht="14.5">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c r="AA859" s="122"/>
      <c r="AB859" s="122"/>
      <c r="AC859" s="122"/>
    </row>
    <row r="860" spans="1:29" ht="14.5">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c r="AA860" s="122"/>
      <c r="AB860" s="122"/>
      <c r="AC860" s="122"/>
    </row>
    <row r="861" spans="1:29" ht="14.5">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c r="AA861" s="122"/>
      <c r="AB861" s="122"/>
      <c r="AC861" s="122"/>
    </row>
    <row r="862" spans="1:29" ht="14.5">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c r="AA862" s="122"/>
      <c r="AB862" s="122"/>
      <c r="AC862" s="122"/>
    </row>
    <row r="863" spans="1:29" ht="14.5">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c r="AA863" s="122"/>
      <c r="AB863" s="122"/>
      <c r="AC863" s="122"/>
    </row>
    <row r="864" spans="1:29" ht="14.5">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c r="AA864" s="122"/>
      <c r="AB864" s="122"/>
      <c r="AC864" s="122"/>
    </row>
    <row r="865" spans="1:29" ht="14.5">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c r="AA865" s="122"/>
      <c r="AB865" s="122"/>
      <c r="AC865" s="122"/>
    </row>
    <row r="866" spans="1:29" ht="14.5">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c r="AA866" s="122"/>
      <c r="AB866" s="122"/>
      <c r="AC866" s="122"/>
    </row>
    <row r="867" spans="1:29" ht="14.5">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c r="AA867" s="122"/>
      <c r="AB867" s="122"/>
      <c r="AC867" s="122"/>
    </row>
    <row r="868" spans="1:29" ht="14.5">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c r="AA868" s="122"/>
      <c r="AB868" s="122"/>
      <c r="AC868" s="122"/>
    </row>
    <row r="869" spans="1:29" ht="14.5">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c r="AA869" s="122"/>
      <c r="AB869" s="122"/>
      <c r="AC869" s="122"/>
    </row>
    <row r="870" spans="1:29" ht="14.5">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c r="AA870" s="122"/>
      <c r="AB870" s="122"/>
      <c r="AC870" s="122"/>
    </row>
    <row r="871" spans="1:29" ht="14.5">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c r="AA871" s="122"/>
      <c r="AB871" s="122"/>
      <c r="AC871" s="122"/>
    </row>
    <row r="872" spans="1:29" ht="14.5">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c r="AA872" s="122"/>
      <c r="AB872" s="122"/>
      <c r="AC872" s="122"/>
    </row>
    <row r="873" spans="1:29" ht="14.5">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c r="AA873" s="122"/>
      <c r="AB873" s="122"/>
      <c r="AC873" s="122"/>
    </row>
    <row r="874" spans="1:29" ht="14.5">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c r="AA874" s="122"/>
      <c r="AB874" s="122"/>
      <c r="AC874" s="122"/>
    </row>
    <row r="875" spans="1:29" ht="14.5">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c r="AA875" s="122"/>
      <c r="AB875" s="122"/>
      <c r="AC875" s="122"/>
    </row>
    <row r="876" spans="1:29" ht="14.5">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c r="AA876" s="122"/>
      <c r="AB876" s="122"/>
      <c r="AC876" s="122"/>
    </row>
    <row r="877" spans="1:29" ht="14.5">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c r="AA877" s="122"/>
      <c r="AB877" s="122"/>
      <c r="AC877" s="122"/>
    </row>
    <row r="878" spans="1:29" ht="14.5">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c r="AA878" s="122"/>
      <c r="AB878" s="122"/>
      <c r="AC878" s="122"/>
    </row>
    <row r="879" spans="1:29" ht="14.5">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c r="AA879" s="122"/>
      <c r="AB879" s="122"/>
      <c r="AC879" s="122"/>
    </row>
    <row r="880" spans="1:29" ht="14.5">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c r="AA880" s="122"/>
      <c r="AB880" s="122"/>
      <c r="AC880" s="122"/>
    </row>
    <row r="881" spans="1:29" ht="14.5">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c r="AA881" s="122"/>
      <c r="AB881" s="122"/>
      <c r="AC881" s="122"/>
    </row>
    <row r="882" spans="1:29" ht="14.5">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c r="AA882" s="122"/>
      <c r="AB882" s="122"/>
      <c r="AC882" s="122"/>
    </row>
    <row r="883" spans="1:29" ht="14.5">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c r="AA883" s="122"/>
      <c r="AB883" s="122"/>
      <c r="AC883" s="122"/>
    </row>
    <row r="884" spans="1:29" ht="14.5">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c r="AA884" s="122"/>
      <c r="AB884" s="122"/>
      <c r="AC884" s="122"/>
    </row>
    <row r="885" spans="1:29" ht="14.5">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c r="AA885" s="122"/>
      <c r="AB885" s="122"/>
      <c r="AC885" s="122"/>
    </row>
    <row r="886" spans="1:29" ht="14.5">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c r="AA886" s="122"/>
      <c r="AB886" s="122"/>
      <c r="AC886" s="122"/>
    </row>
    <row r="887" spans="1:29" ht="14.5">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c r="AA887" s="122"/>
      <c r="AB887" s="122"/>
      <c r="AC887" s="122"/>
    </row>
    <row r="888" spans="1:29" ht="14.5">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c r="AA888" s="122"/>
      <c r="AB888" s="122"/>
      <c r="AC888" s="122"/>
    </row>
    <row r="889" spans="1:29" ht="14.5">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c r="AA889" s="122"/>
      <c r="AB889" s="122"/>
      <c r="AC889" s="122"/>
    </row>
    <row r="890" spans="1:29" ht="14.5">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c r="AA890" s="122"/>
      <c r="AB890" s="122"/>
      <c r="AC890" s="122"/>
    </row>
    <row r="891" spans="1:29" ht="14.5">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c r="AA891" s="122"/>
      <c r="AB891" s="122"/>
      <c r="AC891" s="122"/>
    </row>
    <row r="892" spans="1:29" ht="14.5">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c r="AA892" s="122"/>
      <c r="AB892" s="122"/>
      <c r="AC892" s="122"/>
    </row>
    <row r="893" spans="1:29" ht="14.5">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c r="AA893" s="122"/>
      <c r="AB893" s="122"/>
      <c r="AC893" s="122"/>
    </row>
    <row r="894" spans="1:29" ht="14.5">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c r="AA894" s="122"/>
      <c r="AB894" s="122"/>
      <c r="AC894" s="122"/>
    </row>
    <row r="895" spans="1:29" ht="14.5">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c r="AA895" s="122"/>
      <c r="AB895" s="122"/>
      <c r="AC895" s="122"/>
    </row>
    <row r="896" spans="1:29" ht="14.5">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c r="AA896" s="122"/>
      <c r="AB896" s="122"/>
      <c r="AC896" s="122"/>
    </row>
    <row r="897" spans="1:29" ht="14.5">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c r="AA897" s="122"/>
      <c r="AB897" s="122"/>
      <c r="AC897" s="122"/>
    </row>
    <row r="898" spans="1:29" ht="14.5">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c r="AA898" s="122"/>
      <c r="AB898" s="122"/>
      <c r="AC898" s="122"/>
    </row>
    <row r="899" spans="1:29" ht="14.5">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c r="AA899" s="122"/>
      <c r="AB899" s="122"/>
      <c r="AC899" s="122"/>
    </row>
    <row r="900" spans="1:29" ht="14.5">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c r="AA900" s="122"/>
      <c r="AB900" s="122"/>
      <c r="AC900" s="122"/>
    </row>
    <row r="901" spans="1:29" ht="14.5">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c r="AA901" s="122"/>
      <c r="AB901" s="122"/>
      <c r="AC901" s="122"/>
    </row>
    <row r="902" spans="1:29" ht="14.5">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c r="AA902" s="122"/>
      <c r="AB902" s="122"/>
      <c r="AC902" s="122"/>
    </row>
    <row r="903" spans="1:29" ht="14.5">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c r="AA903" s="122"/>
      <c r="AB903" s="122"/>
      <c r="AC903" s="122"/>
    </row>
    <row r="904" spans="1:29" ht="14.5">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c r="AA904" s="122"/>
      <c r="AB904" s="122"/>
      <c r="AC904" s="122"/>
    </row>
    <row r="905" spans="1:29" ht="14.5">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c r="AA905" s="122"/>
      <c r="AB905" s="122"/>
      <c r="AC905" s="122"/>
    </row>
    <row r="906" spans="1:29" ht="14.5">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c r="AA906" s="122"/>
      <c r="AB906" s="122"/>
      <c r="AC906" s="122"/>
    </row>
    <row r="907" spans="1:29" ht="14.5">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c r="AA907" s="122"/>
      <c r="AB907" s="122"/>
      <c r="AC907" s="122"/>
    </row>
    <row r="908" spans="1:29" ht="14.5">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c r="AA908" s="122"/>
      <c r="AB908" s="122"/>
      <c r="AC908" s="122"/>
    </row>
    <row r="909" spans="1:29" ht="14.5">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c r="AA909" s="122"/>
      <c r="AB909" s="122"/>
      <c r="AC909" s="122"/>
    </row>
    <row r="910" spans="1:29" ht="14.5">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c r="AA910" s="122"/>
      <c r="AB910" s="122"/>
      <c r="AC910" s="122"/>
    </row>
    <row r="911" spans="1:29" ht="14.5">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c r="AA911" s="122"/>
      <c r="AB911" s="122"/>
      <c r="AC911" s="122"/>
    </row>
    <row r="912" spans="1:29" ht="14.5">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c r="AA912" s="122"/>
      <c r="AB912" s="122"/>
      <c r="AC912" s="122"/>
    </row>
    <row r="913" spans="1:29" ht="14.5">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c r="AA913" s="122"/>
      <c r="AB913" s="122"/>
      <c r="AC913" s="122"/>
    </row>
    <row r="914" spans="1:29" ht="14.5">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c r="AA914" s="122"/>
      <c r="AB914" s="122"/>
      <c r="AC914" s="122"/>
    </row>
    <row r="915" spans="1:29" ht="14.5">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c r="AA915" s="122"/>
      <c r="AB915" s="122"/>
      <c r="AC915" s="122"/>
    </row>
    <row r="916" spans="1:29" ht="14.5">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c r="AA916" s="122"/>
      <c r="AB916" s="122"/>
      <c r="AC916" s="122"/>
    </row>
    <row r="917" spans="1:29" ht="14.5">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c r="AA917" s="122"/>
      <c r="AB917" s="122"/>
      <c r="AC917" s="122"/>
    </row>
    <row r="918" spans="1:29" ht="14.5">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c r="AA918" s="122"/>
      <c r="AB918" s="122"/>
      <c r="AC918" s="122"/>
    </row>
    <row r="919" spans="1:29" ht="14.5">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c r="AA919" s="122"/>
      <c r="AB919" s="122"/>
      <c r="AC919" s="122"/>
    </row>
    <row r="920" spans="1:29" ht="14.5">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c r="AA920" s="122"/>
      <c r="AB920" s="122"/>
      <c r="AC920" s="122"/>
    </row>
    <row r="921" spans="1:29" ht="14.5">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c r="AA921" s="122"/>
      <c r="AB921" s="122"/>
      <c r="AC921" s="122"/>
    </row>
    <row r="922" spans="1:29" ht="14.5">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c r="AA922" s="122"/>
      <c r="AB922" s="122"/>
      <c r="AC922" s="122"/>
    </row>
    <row r="923" spans="1:29" ht="14.5">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c r="AA923" s="122"/>
      <c r="AB923" s="122"/>
      <c r="AC923" s="122"/>
    </row>
    <row r="924" spans="1:29" ht="14.5">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c r="AA924" s="122"/>
      <c r="AB924" s="122"/>
      <c r="AC924" s="122"/>
    </row>
    <row r="925" spans="1:29" ht="14.5">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c r="AA925" s="122"/>
      <c r="AB925" s="122"/>
      <c r="AC925" s="122"/>
    </row>
    <row r="926" spans="1:29" ht="14.5">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c r="AA926" s="122"/>
      <c r="AB926" s="122"/>
      <c r="AC926" s="122"/>
    </row>
    <row r="927" spans="1:29" ht="14.5">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c r="AA927" s="122"/>
      <c r="AB927" s="122"/>
      <c r="AC927" s="122"/>
    </row>
    <row r="928" spans="1:29" ht="14.5">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c r="AA928" s="122"/>
      <c r="AB928" s="122"/>
      <c r="AC928" s="122"/>
    </row>
    <row r="929" spans="1:29" ht="14.5">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c r="AA929" s="122"/>
      <c r="AB929" s="122"/>
      <c r="AC929" s="122"/>
    </row>
    <row r="930" spans="1:29" ht="14.5">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c r="AA930" s="122"/>
      <c r="AB930" s="122"/>
      <c r="AC930" s="122"/>
    </row>
    <row r="931" spans="1:29" ht="14.5">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c r="AA931" s="122"/>
      <c r="AB931" s="122"/>
      <c r="AC931" s="122"/>
    </row>
    <row r="932" spans="1:29" ht="14.5">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c r="AA932" s="122"/>
      <c r="AB932" s="122"/>
      <c r="AC932" s="122"/>
    </row>
    <row r="933" spans="1:29" ht="14.5">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c r="AA933" s="122"/>
      <c r="AB933" s="122"/>
      <c r="AC933" s="122"/>
    </row>
    <row r="934" spans="1:29" ht="14.5">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c r="AA934" s="122"/>
      <c r="AB934" s="122"/>
      <c r="AC934" s="122"/>
    </row>
    <row r="935" spans="1:29" ht="14.5">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c r="AA935" s="122"/>
      <c r="AB935" s="122"/>
      <c r="AC935" s="122"/>
    </row>
    <row r="936" spans="1:29" ht="14.5">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c r="AA936" s="122"/>
      <c r="AB936" s="122"/>
      <c r="AC936" s="122"/>
    </row>
    <row r="937" spans="1:29" ht="14.5">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c r="AA937" s="122"/>
      <c r="AB937" s="122"/>
      <c r="AC937" s="122"/>
    </row>
    <row r="938" spans="1:29" ht="14.5">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c r="AA938" s="122"/>
      <c r="AB938" s="122"/>
      <c r="AC938" s="122"/>
    </row>
    <row r="939" spans="1:29" ht="14.5">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c r="AA939" s="122"/>
      <c r="AB939" s="122"/>
      <c r="AC939" s="122"/>
    </row>
    <row r="940" spans="1:29" ht="14.5">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c r="AA940" s="122"/>
      <c r="AB940" s="122"/>
      <c r="AC940" s="122"/>
    </row>
    <row r="941" spans="1:29" ht="14.5">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c r="AA941" s="122"/>
      <c r="AB941" s="122"/>
      <c r="AC941" s="122"/>
    </row>
    <row r="942" spans="1:29" ht="14.5">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c r="AA942" s="122"/>
      <c r="AB942" s="122"/>
      <c r="AC942" s="122"/>
    </row>
    <row r="943" spans="1:29" ht="14.5">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c r="AA943" s="122"/>
      <c r="AB943" s="122"/>
      <c r="AC943" s="122"/>
    </row>
    <row r="944" spans="1:29" ht="14.5">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c r="AA944" s="122"/>
      <c r="AB944" s="122"/>
      <c r="AC944" s="122"/>
    </row>
    <row r="945" spans="1:29" ht="14.5">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c r="AA945" s="122"/>
      <c r="AB945" s="122"/>
      <c r="AC945" s="122"/>
    </row>
    <row r="946" spans="1:29" ht="14.5">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c r="AA946" s="122"/>
      <c r="AB946" s="122"/>
      <c r="AC946" s="122"/>
    </row>
    <row r="947" spans="1:29" ht="14.5">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c r="AA947" s="122"/>
      <c r="AB947" s="122"/>
      <c r="AC947" s="122"/>
    </row>
    <row r="948" spans="1:29" ht="14.5">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c r="AA948" s="122"/>
      <c r="AB948" s="122"/>
      <c r="AC948" s="122"/>
    </row>
    <row r="949" spans="1:29" ht="14.5">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c r="AA949" s="122"/>
      <c r="AB949" s="122"/>
      <c r="AC949" s="122"/>
    </row>
    <row r="950" spans="1:29" ht="14.5">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c r="AA950" s="122"/>
      <c r="AB950" s="122"/>
      <c r="AC950" s="122"/>
    </row>
    <row r="951" spans="1:29" ht="14.5">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c r="AA951" s="122"/>
      <c r="AB951" s="122"/>
      <c r="AC951" s="122"/>
    </row>
    <row r="952" spans="1:29" ht="14.5">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c r="AA952" s="122"/>
      <c r="AB952" s="122"/>
      <c r="AC952" s="122"/>
    </row>
    <row r="953" spans="1:29" ht="14.5">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c r="AA953" s="122"/>
      <c r="AB953" s="122"/>
      <c r="AC953" s="122"/>
    </row>
    <row r="954" spans="1:29" ht="14.5">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c r="AA954" s="122"/>
      <c r="AB954" s="122"/>
      <c r="AC954" s="122"/>
    </row>
    <row r="955" spans="1:29" ht="14.5">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c r="AA955" s="122"/>
      <c r="AB955" s="122"/>
      <c r="AC955" s="122"/>
    </row>
    <row r="956" spans="1:29" ht="14.5">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c r="AA956" s="122"/>
      <c r="AB956" s="122"/>
      <c r="AC956" s="122"/>
    </row>
    <row r="957" spans="1:29" ht="14.5">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c r="AA957" s="122"/>
      <c r="AB957" s="122"/>
      <c r="AC957" s="122"/>
    </row>
    <row r="958" spans="1:29" ht="14.5">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c r="AA958" s="122"/>
      <c r="AB958" s="122"/>
      <c r="AC958" s="122"/>
    </row>
    <row r="959" spans="1:29" ht="14.5">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c r="AA959" s="122"/>
      <c r="AB959" s="122"/>
      <c r="AC959" s="122"/>
    </row>
    <row r="960" spans="1:29" ht="14.5">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c r="AA960" s="122"/>
      <c r="AB960" s="122"/>
      <c r="AC960" s="122"/>
    </row>
    <row r="961" spans="1:29" ht="14.5">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c r="AA961" s="122"/>
      <c r="AB961" s="122"/>
      <c r="AC961" s="122"/>
    </row>
    <row r="962" spans="1:29" ht="14.5">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c r="AA962" s="122"/>
      <c r="AB962" s="122"/>
      <c r="AC962" s="122"/>
    </row>
    <row r="963" spans="1:29" ht="14.5">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c r="AA963" s="122"/>
      <c r="AB963" s="122"/>
      <c r="AC963" s="122"/>
    </row>
    <row r="964" spans="1:29" ht="14.5">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c r="AA964" s="122"/>
      <c r="AB964" s="122"/>
      <c r="AC964" s="122"/>
    </row>
    <row r="965" spans="1:29" ht="14.5">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c r="AA965" s="122"/>
      <c r="AB965" s="122"/>
      <c r="AC965" s="122"/>
    </row>
    <row r="966" spans="1:29" ht="14.5">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c r="AA966" s="122"/>
      <c r="AB966" s="122"/>
      <c r="AC966" s="122"/>
    </row>
    <row r="967" spans="1:29" ht="14.5">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c r="AA967" s="122"/>
      <c r="AB967" s="122"/>
      <c r="AC967" s="122"/>
    </row>
    <row r="968" spans="1:29" ht="14.5">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c r="AA968" s="122"/>
      <c r="AB968" s="122"/>
      <c r="AC968" s="122"/>
    </row>
    <row r="969" spans="1:29" ht="14.5">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c r="AA969" s="122"/>
      <c r="AB969" s="122"/>
      <c r="AC969" s="122"/>
    </row>
    <row r="970" spans="1:29" ht="14.5">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c r="AA970" s="122"/>
      <c r="AB970" s="122"/>
      <c r="AC970" s="122"/>
    </row>
    <row r="971" spans="1:29" ht="14.5">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c r="AA971" s="122"/>
      <c r="AB971" s="122"/>
      <c r="AC971" s="122"/>
    </row>
    <row r="972" spans="1:29" ht="14.5">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c r="AA972" s="122"/>
      <c r="AB972" s="122"/>
      <c r="AC972" s="122"/>
    </row>
    <row r="973" spans="1:29" ht="14.5">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c r="AA973" s="122"/>
      <c r="AB973" s="122"/>
      <c r="AC973" s="122"/>
    </row>
    <row r="974" spans="1:29" ht="14.5">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c r="AA974" s="122"/>
      <c r="AB974" s="122"/>
      <c r="AC974" s="122"/>
    </row>
    <row r="975" spans="1:29" ht="14.5">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c r="AA975" s="122"/>
      <c r="AB975" s="122"/>
      <c r="AC975" s="122"/>
    </row>
    <row r="976" spans="1:29" ht="14.5">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c r="AA976" s="122"/>
      <c r="AB976" s="122"/>
      <c r="AC976" s="122"/>
    </row>
    <row r="977" spans="1:29" ht="14.5">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c r="AA977" s="122"/>
      <c r="AB977" s="122"/>
      <c r="AC977" s="122"/>
    </row>
    <row r="978" spans="1:29" ht="14.5">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c r="AA978" s="122"/>
      <c r="AB978" s="122"/>
      <c r="AC978" s="122"/>
    </row>
    <row r="979" spans="1:29" ht="14.5">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c r="AA979" s="122"/>
      <c r="AB979" s="122"/>
      <c r="AC979" s="122"/>
    </row>
    <row r="980" spans="1:29" ht="14.5">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c r="AA980" s="122"/>
      <c r="AB980" s="122"/>
      <c r="AC980" s="122"/>
    </row>
    <row r="981" spans="1:29" ht="14.5">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c r="AA981" s="122"/>
      <c r="AB981" s="122"/>
      <c r="AC981" s="122"/>
    </row>
    <row r="982" spans="1:29" ht="14.5">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c r="AA982" s="122"/>
      <c r="AB982" s="122"/>
      <c r="AC982" s="122"/>
    </row>
    <row r="983" spans="1:29" ht="14.5">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c r="AA983" s="122"/>
      <c r="AB983" s="122"/>
      <c r="AC983" s="122"/>
    </row>
    <row r="984" spans="1:29" ht="14.5">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c r="AA984" s="122"/>
      <c r="AB984" s="122"/>
      <c r="AC984" s="122"/>
    </row>
    <row r="985" spans="1:29" ht="14.5">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c r="AA985" s="122"/>
      <c r="AB985" s="122"/>
      <c r="AC985" s="122"/>
    </row>
    <row r="986" spans="1:29" ht="14.5">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c r="AA986" s="122"/>
      <c r="AB986" s="122"/>
      <c r="AC986" s="122"/>
    </row>
    <row r="987" spans="1:29" ht="14.5">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c r="AA987" s="122"/>
      <c r="AB987" s="122"/>
      <c r="AC987" s="122"/>
    </row>
    <row r="988" spans="1:29" ht="14.5">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c r="AA988" s="122"/>
      <c r="AB988" s="122"/>
      <c r="AC988" s="122"/>
    </row>
    <row r="989" spans="1:29" ht="14.5">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c r="AA989" s="122"/>
      <c r="AB989" s="122"/>
      <c r="AC989" s="122"/>
    </row>
    <row r="990" spans="1:29" ht="14.5">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c r="AA990" s="122"/>
      <c r="AB990" s="122"/>
      <c r="AC990" s="122"/>
    </row>
    <row r="991" spans="1:29" ht="14.5">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c r="AA991" s="122"/>
      <c r="AB991" s="122"/>
      <c r="AC991" s="122"/>
    </row>
    <row r="992" spans="1:29" ht="14.5">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c r="AA992" s="122"/>
      <c r="AB992" s="122"/>
      <c r="AC992" s="122"/>
    </row>
    <row r="993" spans="1:29" ht="14.5">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c r="AA993" s="122"/>
      <c r="AB993" s="122"/>
      <c r="AC993" s="122"/>
    </row>
    <row r="994" spans="1:29" ht="14.5">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c r="AA994" s="122"/>
      <c r="AB994" s="122"/>
      <c r="AC994" s="122"/>
    </row>
    <row r="995" spans="1:29" ht="14.5">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c r="AA995" s="122"/>
      <c r="AB995" s="122"/>
      <c r="AC995" s="122"/>
    </row>
    <row r="996" spans="1:29" ht="14.5">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c r="AA996" s="122"/>
      <c r="AB996" s="122"/>
      <c r="AC996" s="122"/>
    </row>
    <row r="997" spans="1:29" ht="14.5">
      <c r="A997" s="122"/>
      <c r="B997" s="122"/>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c r="AA997" s="122"/>
      <c r="AB997" s="122"/>
      <c r="AC997" s="122"/>
    </row>
    <row r="998" spans="1:29" ht="14.5">
      <c r="A998" s="122"/>
      <c r="B998" s="122"/>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c r="AA998" s="122"/>
      <c r="AB998" s="122"/>
      <c r="AC998" s="122"/>
    </row>
    <row r="999" spans="1:29" ht="14.5">
      <c r="A999" s="122"/>
      <c r="B999" s="122"/>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c r="AA999" s="122"/>
      <c r="AB999" s="122"/>
      <c r="AC999" s="122"/>
    </row>
    <row r="1000" spans="1:29" ht="14.5">
      <c r="A1000" s="122"/>
      <c r="B1000" s="122"/>
      <c r="C1000" s="122"/>
      <c r="D1000" s="122"/>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c r="AA1000" s="122"/>
      <c r="AB1000" s="122"/>
      <c r="AC1000" s="122"/>
    </row>
  </sheetData>
  <mergeCells count="134">
    <mergeCell ref="AA38:AA44"/>
    <mergeCell ref="AB38:AB44"/>
    <mergeCell ref="C45:C51"/>
    <mergeCell ref="D45:D51"/>
    <mergeCell ref="F45:F51"/>
    <mergeCell ref="G45:G51"/>
    <mergeCell ref="H45:H51"/>
    <mergeCell ref="J45:J51"/>
    <mergeCell ref="L45:L51"/>
    <mergeCell ref="AA45:AA51"/>
    <mergeCell ref="AB45:AB51"/>
    <mergeCell ref="AA31:AA37"/>
    <mergeCell ref="AB31:AB37"/>
    <mergeCell ref="P31:P37"/>
    <mergeCell ref="R31:R37"/>
    <mergeCell ref="S31:S37"/>
    <mergeCell ref="U31:U37"/>
    <mergeCell ref="V31:V37"/>
    <mergeCell ref="X31:X37"/>
    <mergeCell ref="Y31:Y37"/>
    <mergeCell ref="C17:C23"/>
    <mergeCell ref="D17:D23"/>
    <mergeCell ref="F17:F23"/>
    <mergeCell ref="G17:G23"/>
    <mergeCell ref="H17:H23"/>
    <mergeCell ref="J17:J23"/>
    <mergeCell ref="L17:L23"/>
    <mergeCell ref="C24:C30"/>
    <mergeCell ref="D24:D30"/>
    <mergeCell ref="F24:F30"/>
    <mergeCell ref="G24:G30"/>
    <mergeCell ref="H24:H30"/>
    <mergeCell ref="J24:J30"/>
    <mergeCell ref="L24:L30"/>
    <mergeCell ref="AA52:AA58"/>
    <mergeCell ref="AB52:AB58"/>
    <mergeCell ref="P45:P51"/>
    <mergeCell ref="S45:S51"/>
    <mergeCell ref="V45:V51"/>
    <mergeCell ref="Y45:Y51"/>
    <mergeCell ref="P52:P58"/>
    <mergeCell ref="S52:S58"/>
    <mergeCell ref="V52:V58"/>
    <mergeCell ref="P38:P44"/>
    <mergeCell ref="R38:R44"/>
    <mergeCell ref="S38:S44"/>
    <mergeCell ref="U38:U44"/>
    <mergeCell ref="V38:V44"/>
    <mergeCell ref="X38:X44"/>
    <mergeCell ref="Y38:Y44"/>
    <mergeCell ref="R45:R51"/>
    <mergeCell ref="R52:R58"/>
    <mergeCell ref="U45:U51"/>
    <mergeCell ref="U52:U58"/>
    <mergeCell ref="X45:X51"/>
    <mergeCell ref="X52:X58"/>
    <mergeCell ref="Y52:Y58"/>
    <mergeCell ref="C31:C37"/>
    <mergeCell ref="D31:D37"/>
    <mergeCell ref="F31:F37"/>
    <mergeCell ref="G31:G37"/>
    <mergeCell ref="H31:H37"/>
    <mergeCell ref="J31:J37"/>
    <mergeCell ref="L31:L37"/>
    <mergeCell ref="C52:C58"/>
    <mergeCell ref="D52:D58"/>
    <mergeCell ref="F52:F58"/>
    <mergeCell ref="G52:G58"/>
    <mergeCell ref="H52:H58"/>
    <mergeCell ref="J52:J58"/>
    <mergeCell ref="L52:L58"/>
    <mergeCell ref="C38:C44"/>
    <mergeCell ref="D38:D44"/>
    <mergeCell ref="F38:F44"/>
    <mergeCell ref="G38:G44"/>
    <mergeCell ref="H38:H44"/>
    <mergeCell ref="J38:J44"/>
    <mergeCell ref="L38:L44"/>
    <mergeCell ref="AA17:AA23"/>
    <mergeCell ref="AB17:AB23"/>
    <mergeCell ref="AA24:AA30"/>
    <mergeCell ref="AB24:AB30"/>
    <mergeCell ref="P24:P30"/>
    <mergeCell ref="R24:R30"/>
    <mergeCell ref="S24:S30"/>
    <mergeCell ref="U24:U30"/>
    <mergeCell ref="V24:V30"/>
    <mergeCell ref="X24:X30"/>
    <mergeCell ref="Y24:Y30"/>
    <mergeCell ref="AA10:AA16"/>
    <mergeCell ref="AB10:AB16"/>
    <mergeCell ref="C10:C16"/>
    <mergeCell ref="D10:D16"/>
    <mergeCell ref="F10:F16"/>
    <mergeCell ref="G10:G16"/>
    <mergeCell ref="H10:H16"/>
    <mergeCell ref="J10:J16"/>
    <mergeCell ref="L10:L16"/>
    <mergeCell ref="A1:B2"/>
    <mergeCell ref="D1:D2"/>
    <mergeCell ref="I1:J1"/>
    <mergeCell ref="K1:L1"/>
    <mergeCell ref="E2:H2"/>
    <mergeCell ref="P2:S2"/>
    <mergeCell ref="T2:AB2"/>
    <mergeCell ref="R3:R9"/>
    <mergeCell ref="S3:S9"/>
    <mergeCell ref="U3:U9"/>
    <mergeCell ref="V3:V9"/>
    <mergeCell ref="X3:X9"/>
    <mergeCell ref="Y3:Y9"/>
    <mergeCell ref="AA3:AA9"/>
    <mergeCell ref="AB3:AB9"/>
    <mergeCell ref="C1:C2"/>
    <mergeCell ref="C3:C9"/>
    <mergeCell ref="D3:D9"/>
    <mergeCell ref="F3:H9"/>
    <mergeCell ref="J3:J9"/>
    <mergeCell ref="L3:L9"/>
    <mergeCell ref="P3:P9"/>
    <mergeCell ref="P10:P16"/>
    <mergeCell ref="R10:R16"/>
    <mergeCell ref="S10:S16"/>
    <mergeCell ref="U10:U16"/>
    <mergeCell ref="V10:V16"/>
    <mergeCell ref="X10:X16"/>
    <mergeCell ref="Y10:Y16"/>
    <mergeCell ref="P17:P23"/>
    <mergeCell ref="R17:R23"/>
    <mergeCell ref="S17:S23"/>
    <mergeCell ref="U17:U23"/>
    <mergeCell ref="V17:V23"/>
    <mergeCell ref="X17:X23"/>
    <mergeCell ref="Y17:Y2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Clique e introduza um valor do intervalo." xr:uid="{00000000-0002-0000-0100-000000000000}">
          <x14:formula1>
            <xm:f>'Base dados Exercicios'!$N$4:$N$8</xm:f>
          </x14:formula1>
          <xm:sqref>M3:O58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999"/>
  <sheetViews>
    <sheetView showGridLines="0" workbookViewId="0">
      <selection activeCell="K7" sqref="A7:K7"/>
    </sheetView>
  </sheetViews>
  <sheetFormatPr defaultColWidth="12.6328125" defaultRowHeight="15" customHeight="1"/>
  <cols>
    <col min="1" max="2" width="16.26953125" customWidth="1"/>
    <col min="3" max="3" width="9.453125" customWidth="1"/>
    <col min="4" max="4" width="10.453125" customWidth="1"/>
    <col min="5" max="5" width="11.90625" customWidth="1"/>
    <col min="6" max="6" width="9.453125" customWidth="1"/>
    <col min="7" max="7" width="8.90625" customWidth="1"/>
    <col min="8" max="8" width="9.36328125" customWidth="1"/>
    <col min="9" max="9" width="7.36328125" customWidth="1"/>
    <col min="10" max="10" width="9.453125" customWidth="1"/>
    <col min="11" max="11" width="8.6328125" customWidth="1"/>
  </cols>
  <sheetData>
    <row r="1" spans="1:12" ht="29.5">
      <c r="A1" s="416" t="s">
        <v>111</v>
      </c>
      <c r="B1" s="417"/>
      <c r="C1" s="417"/>
      <c r="D1" s="417"/>
      <c r="E1" s="417"/>
      <c r="F1" s="417"/>
      <c r="G1" s="417"/>
      <c r="H1" s="417"/>
      <c r="I1" s="417"/>
      <c r="J1" s="417"/>
      <c r="K1" s="401"/>
    </row>
    <row r="2" spans="1:12" ht="15.75" customHeight="1">
      <c r="D2" s="412" t="s">
        <v>112</v>
      </c>
      <c r="E2" s="371"/>
      <c r="F2" s="26"/>
    </row>
    <row r="3" spans="1:12" ht="22.5" customHeight="1">
      <c r="D3" s="413" t="s">
        <v>113</v>
      </c>
      <c r="E3" s="371"/>
      <c r="F3" s="124"/>
    </row>
    <row r="4" spans="1:12" ht="15.75" customHeight="1">
      <c r="A4" s="414" t="s">
        <v>114</v>
      </c>
      <c r="B4" s="415"/>
      <c r="C4" s="125">
        <f t="shared" ref="C4:F4" si="0">C8-C7</f>
        <v>0</v>
      </c>
      <c r="D4" s="125">
        <f t="shared" si="0"/>
        <v>0</v>
      </c>
      <c r="E4" s="125">
        <f t="shared" si="0"/>
        <v>0</v>
      </c>
      <c r="F4" s="125">
        <f t="shared" si="0"/>
        <v>0</v>
      </c>
      <c r="G4" s="125"/>
      <c r="H4" s="125">
        <f>H8-H7</f>
        <v>0</v>
      </c>
      <c r="I4" s="126"/>
      <c r="J4" s="126"/>
      <c r="K4" s="127">
        <f>K8-K7</f>
        <v>0</v>
      </c>
    </row>
    <row r="5" spans="1:12" ht="15.75" customHeight="1"/>
    <row r="6" spans="1:12" ht="31" customHeight="1">
      <c r="A6" s="128" t="s">
        <v>83</v>
      </c>
      <c r="B6" s="129" t="s">
        <v>82</v>
      </c>
      <c r="C6" s="130" t="s">
        <v>8</v>
      </c>
      <c r="D6" s="130" t="s">
        <v>115</v>
      </c>
      <c r="E6" s="130" t="s">
        <v>116</v>
      </c>
      <c r="F6" s="130" t="s">
        <v>117</v>
      </c>
      <c r="G6" s="130" t="s">
        <v>118</v>
      </c>
      <c r="H6" s="130" t="s">
        <v>119</v>
      </c>
      <c r="I6" s="131" t="s">
        <v>120</v>
      </c>
      <c r="J6" s="131" t="s">
        <v>121</v>
      </c>
      <c r="K6" s="131" t="s">
        <v>122</v>
      </c>
    </row>
    <row r="7" spans="1:12" ht="15.75" customHeight="1">
      <c r="A7" s="132"/>
      <c r="B7" s="133"/>
      <c r="C7" s="134"/>
      <c r="D7" s="134"/>
      <c r="E7" s="134"/>
      <c r="F7" s="134"/>
      <c r="G7" s="134"/>
      <c r="H7" s="134"/>
      <c r="I7" s="135"/>
      <c r="J7" s="135"/>
      <c r="K7" s="136"/>
      <c r="L7" s="137"/>
    </row>
    <row r="8" spans="1:12" ht="15.75" customHeight="1">
      <c r="A8" s="138"/>
      <c r="B8" s="139"/>
      <c r="C8" s="140"/>
      <c r="D8" s="140"/>
      <c r="E8" s="140"/>
      <c r="F8" s="140"/>
      <c r="G8" s="140"/>
      <c r="H8" s="140"/>
      <c r="I8" s="141"/>
      <c r="J8" s="141"/>
      <c r="K8" s="142"/>
    </row>
    <row r="9" spans="1:12" ht="15.75" customHeight="1">
      <c r="A9" s="143"/>
      <c r="B9" s="144"/>
      <c r="C9" s="145"/>
      <c r="D9" s="145"/>
      <c r="E9" s="145"/>
      <c r="F9" s="145"/>
      <c r="G9" s="145"/>
      <c r="H9" s="145"/>
      <c r="I9" s="146"/>
      <c r="J9" s="146"/>
      <c r="K9" s="147"/>
    </row>
    <row r="10" spans="1:12" ht="15.75" customHeight="1">
      <c r="A10" s="138"/>
      <c r="B10" s="148"/>
      <c r="C10" s="140"/>
      <c r="D10" s="140"/>
      <c r="E10" s="140"/>
      <c r="F10" s="140"/>
      <c r="G10" s="140"/>
      <c r="H10" s="140"/>
      <c r="I10" s="141"/>
      <c r="J10" s="141"/>
      <c r="K10" s="142"/>
    </row>
    <row r="11" spans="1:12" ht="15.75" customHeight="1">
      <c r="A11" s="143"/>
      <c r="B11" s="149"/>
      <c r="C11" s="145"/>
      <c r="D11" s="145"/>
      <c r="E11" s="145"/>
      <c r="F11" s="145"/>
      <c r="G11" s="145"/>
      <c r="H11" s="145"/>
      <c r="I11" s="146"/>
      <c r="J11" s="146"/>
      <c r="K11" s="147"/>
    </row>
    <row r="12" spans="1:12" ht="15.75" customHeight="1">
      <c r="A12" s="138"/>
      <c r="B12" s="148"/>
      <c r="C12" s="140"/>
      <c r="D12" s="140"/>
      <c r="E12" s="140"/>
      <c r="F12" s="140"/>
      <c r="G12" s="140"/>
      <c r="H12" s="140"/>
      <c r="I12" s="141"/>
      <c r="J12" s="141"/>
      <c r="K12" s="142"/>
    </row>
    <row r="13" spans="1:12" ht="15.75" customHeight="1">
      <c r="A13" s="143"/>
      <c r="B13" s="149"/>
      <c r="C13" s="145"/>
      <c r="D13" s="145"/>
      <c r="E13" s="145"/>
      <c r="F13" s="145"/>
      <c r="G13" s="145"/>
      <c r="H13" s="145"/>
      <c r="I13" s="146"/>
      <c r="J13" s="146"/>
      <c r="K13" s="147"/>
    </row>
    <row r="14" spans="1:12" ht="15.75" customHeight="1">
      <c r="A14" s="138"/>
      <c r="B14" s="148"/>
      <c r="C14" s="140"/>
      <c r="D14" s="140"/>
      <c r="E14" s="140"/>
      <c r="F14" s="140"/>
      <c r="G14" s="140"/>
      <c r="H14" s="140"/>
      <c r="I14" s="141"/>
      <c r="J14" s="141"/>
      <c r="K14" s="142"/>
    </row>
    <row r="15" spans="1:12" ht="15.75" customHeight="1">
      <c r="A15" s="143"/>
      <c r="B15" s="149"/>
      <c r="C15" s="145"/>
      <c r="D15" s="145"/>
      <c r="E15" s="145"/>
      <c r="F15" s="145"/>
      <c r="G15" s="145"/>
      <c r="H15" s="145"/>
      <c r="I15" s="146"/>
      <c r="J15" s="146"/>
      <c r="K15" s="147"/>
    </row>
    <row r="16" spans="1:12" ht="15.75" customHeight="1">
      <c r="A16" s="138"/>
      <c r="B16" s="148"/>
      <c r="C16" s="140"/>
      <c r="D16" s="140"/>
      <c r="E16" s="140"/>
      <c r="F16" s="140"/>
      <c r="G16" s="140"/>
      <c r="H16" s="140"/>
      <c r="I16" s="141"/>
      <c r="J16" s="141"/>
      <c r="K16" s="142"/>
    </row>
    <row r="17" spans="1:11" ht="15.75" customHeight="1">
      <c r="A17" s="143"/>
      <c r="B17" s="149"/>
      <c r="C17" s="145"/>
      <c r="D17" s="145"/>
      <c r="E17" s="145"/>
      <c r="F17" s="145"/>
      <c r="G17" s="145"/>
      <c r="H17" s="145"/>
      <c r="I17" s="146"/>
      <c r="J17" s="146"/>
      <c r="K17" s="147"/>
    </row>
    <row r="18" spans="1:11" ht="15.75" customHeight="1">
      <c r="A18" s="138"/>
      <c r="B18" s="148"/>
      <c r="C18" s="140"/>
      <c r="D18" s="140"/>
      <c r="E18" s="140"/>
      <c r="F18" s="140"/>
      <c r="G18" s="140"/>
      <c r="H18" s="140"/>
      <c r="I18" s="141"/>
      <c r="J18" s="141"/>
      <c r="K18" s="142"/>
    </row>
    <row r="19" spans="1:11" ht="15.75" customHeight="1">
      <c r="A19" s="143"/>
      <c r="B19" s="149"/>
      <c r="C19" s="145"/>
      <c r="D19" s="145"/>
      <c r="E19" s="145"/>
      <c r="F19" s="145"/>
      <c r="G19" s="145"/>
      <c r="H19" s="145"/>
      <c r="I19" s="146"/>
      <c r="J19" s="146"/>
      <c r="K19" s="147"/>
    </row>
    <row r="20" spans="1:11" ht="15.75" customHeight="1">
      <c r="A20" s="138"/>
      <c r="B20" s="148"/>
      <c r="C20" s="140"/>
      <c r="D20" s="140"/>
      <c r="E20" s="140"/>
      <c r="F20" s="140"/>
      <c r="G20" s="140"/>
      <c r="H20" s="140"/>
      <c r="I20" s="141"/>
      <c r="J20" s="141"/>
      <c r="K20" s="142"/>
    </row>
    <row r="21" spans="1:11" ht="15.75" customHeight="1">
      <c r="A21" s="143"/>
      <c r="B21" s="149"/>
      <c r="C21" s="145"/>
      <c r="D21" s="145"/>
      <c r="E21" s="145"/>
      <c r="F21" s="145"/>
      <c r="G21" s="145"/>
      <c r="H21" s="145"/>
      <c r="I21" s="146"/>
      <c r="J21" s="146"/>
      <c r="K21" s="147"/>
    </row>
    <row r="22" spans="1:11" ht="15.75" customHeight="1">
      <c r="A22" s="138"/>
      <c r="B22" s="148"/>
      <c r="C22" s="140"/>
      <c r="D22" s="140"/>
      <c r="E22" s="140"/>
      <c r="F22" s="140"/>
      <c r="G22" s="140"/>
      <c r="H22" s="140"/>
      <c r="I22" s="141"/>
      <c r="J22" s="141"/>
      <c r="K22" s="142"/>
    </row>
    <row r="23" spans="1:11" ht="15.75" customHeight="1">
      <c r="A23" s="143"/>
      <c r="B23" s="149"/>
      <c r="C23" s="145"/>
      <c r="D23" s="145"/>
      <c r="E23" s="145"/>
      <c r="F23" s="145"/>
      <c r="G23" s="145"/>
      <c r="H23" s="145"/>
      <c r="I23" s="146"/>
      <c r="J23" s="146"/>
      <c r="K23" s="147"/>
    </row>
    <row r="24" spans="1:11" ht="15.75" customHeight="1">
      <c r="A24" s="138"/>
      <c r="B24" s="148"/>
      <c r="C24" s="140"/>
      <c r="D24" s="140"/>
      <c r="E24" s="140"/>
      <c r="F24" s="140"/>
      <c r="G24" s="140"/>
      <c r="H24" s="140"/>
      <c r="I24" s="141"/>
      <c r="J24" s="141"/>
      <c r="K24" s="142"/>
    </row>
    <row r="25" spans="1:11" ht="15.75" customHeight="1">
      <c r="A25" s="143"/>
      <c r="B25" s="149"/>
      <c r="C25" s="145"/>
      <c r="D25" s="145"/>
      <c r="E25" s="145"/>
      <c r="F25" s="145"/>
      <c r="G25" s="145"/>
      <c r="H25" s="145"/>
      <c r="I25" s="146"/>
      <c r="J25" s="146"/>
      <c r="K25" s="147"/>
    </row>
    <row r="26" spans="1:11" ht="15.75" customHeight="1">
      <c r="A26" s="138"/>
      <c r="B26" s="148"/>
      <c r="C26" s="140"/>
      <c r="D26" s="140"/>
      <c r="E26" s="140"/>
      <c r="F26" s="140"/>
      <c r="G26" s="140"/>
      <c r="H26" s="140"/>
      <c r="I26" s="141"/>
      <c r="J26" s="141"/>
      <c r="K26" s="142"/>
    </row>
    <row r="27" spans="1:11" ht="15.75" customHeight="1">
      <c r="A27" s="143"/>
      <c r="B27" s="149"/>
      <c r="C27" s="145"/>
      <c r="D27" s="145"/>
      <c r="E27" s="145"/>
      <c r="F27" s="145"/>
      <c r="G27" s="145"/>
      <c r="H27" s="145"/>
      <c r="I27" s="146"/>
      <c r="J27" s="146"/>
      <c r="K27" s="147"/>
    </row>
    <row r="28" spans="1:11" ht="15.75" customHeight="1">
      <c r="A28" s="138"/>
      <c r="B28" s="148"/>
      <c r="C28" s="140"/>
      <c r="D28" s="140"/>
      <c r="E28" s="140"/>
      <c r="F28" s="140"/>
      <c r="G28" s="140"/>
      <c r="H28" s="140"/>
      <c r="I28" s="141"/>
      <c r="J28" s="141"/>
      <c r="K28" s="142"/>
    </row>
    <row r="29" spans="1:11" ht="15.75" customHeight="1">
      <c r="A29" s="143"/>
      <c r="B29" s="149"/>
      <c r="C29" s="145"/>
      <c r="D29" s="145"/>
      <c r="E29" s="145"/>
      <c r="F29" s="145"/>
      <c r="G29" s="145"/>
      <c r="H29" s="145"/>
      <c r="I29" s="146"/>
      <c r="J29" s="146"/>
      <c r="K29" s="147"/>
    </row>
    <row r="30" spans="1:11" ht="15.75" customHeight="1">
      <c r="A30" s="138"/>
      <c r="B30" s="148"/>
      <c r="C30" s="140"/>
      <c r="D30" s="140"/>
      <c r="E30" s="140"/>
      <c r="F30" s="140"/>
      <c r="G30" s="140"/>
      <c r="H30" s="140"/>
      <c r="I30" s="141"/>
      <c r="J30" s="141"/>
      <c r="K30" s="142"/>
    </row>
    <row r="31" spans="1:11" ht="15.75" customHeight="1">
      <c r="A31" s="143"/>
      <c r="B31" s="149"/>
      <c r="C31" s="145"/>
      <c r="D31" s="145"/>
      <c r="E31" s="145"/>
      <c r="F31" s="145"/>
      <c r="G31" s="145"/>
      <c r="H31" s="145"/>
      <c r="I31" s="146"/>
      <c r="J31" s="146"/>
      <c r="K31" s="147"/>
    </row>
    <row r="32" spans="1:11" ht="15.75" customHeight="1">
      <c r="A32" s="138"/>
      <c r="B32" s="148"/>
      <c r="C32" s="140"/>
      <c r="D32" s="140"/>
      <c r="E32" s="140"/>
      <c r="F32" s="140"/>
      <c r="G32" s="140"/>
      <c r="H32" s="140"/>
      <c r="I32" s="141"/>
      <c r="J32" s="141"/>
      <c r="K32" s="142"/>
    </row>
    <row r="33" spans="1:11" ht="15.75" customHeight="1">
      <c r="A33" s="143"/>
      <c r="B33" s="149"/>
      <c r="C33" s="145"/>
      <c r="D33" s="145"/>
      <c r="E33" s="145"/>
      <c r="F33" s="145"/>
      <c r="G33" s="145"/>
      <c r="H33" s="145"/>
      <c r="I33" s="146"/>
      <c r="J33" s="146"/>
      <c r="K33" s="147"/>
    </row>
    <row r="34" spans="1:11" ht="15.75" customHeight="1">
      <c r="A34" s="138"/>
      <c r="B34" s="148"/>
      <c r="C34" s="140"/>
      <c r="D34" s="140"/>
      <c r="E34" s="140"/>
      <c r="F34" s="140"/>
      <c r="G34" s="140"/>
      <c r="H34" s="140"/>
      <c r="I34" s="141"/>
      <c r="J34" s="141"/>
      <c r="K34" s="142"/>
    </row>
    <row r="35" spans="1:11" ht="15.75" customHeight="1">
      <c r="A35" s="143"/>
      <c r="B35" s="149"/>
      <c r="C35" s="145"/>
      <c r="D35" s="145"/>
      <c r="E35" s="145"/>
      <c r="F35" s="145"/>
      <c r="G35" s="145"/>
      <c r="H35" s="145"/>
      <c r="I35" s="146"/>
      <c r="J35" s="146"/>
      <c r="K35" s="147"/>
    </row>
    <row r="36" spans="1:11" ht="15.75" customHeight="1">
      <c r="A36" s="138"/>
      <c r="B36" s="148"/>
      <c r="C36" s="140"/>
      <c r="D36" s="140"/>
      <c r="E36" s="140"/>
      <c r="F36" s="140"/>
      <c r="G36" s="140"/>
      <c r="H36" s="140"/>
      <c r="I36" s="141"/>
      <c r="J36" s="141"/>
      <c r="K36" s="142"/>
    </row>
    <row r="37" spans="1:11" ht="15.75" customHeight="1">
      <c r="A37" s="143"/>
      <c r="B37" s="149"/>
      <c r="C37" s="145"/>
      <c r="D37" s="145"/>
      <c r="E37" s="145"/>
      <c r="F37" s="145"/>
      <c r="G37" s="145"/>
      <c r="H37" s="145"/>
      <c r="I37" s="146"/>
      <c r="J37" s="146"/>
      <c r="K37" s="147"/>
    </row>
    <row r="38" spans="1:11" ht="15.75" customHeight="1">
      <c r="A38" s="138"/>
      <c r="B38" s="148"/>
      <c r="C38" s="140"/>
      <c r="D38" s="140"/>
      <c r="E38" s="140"/>
      <c r="F38" s="140"/>
      <c r="G38" s="140"/>
      <c r="H38" s="140"/>
      <c r="I38" s="141"/>
      <c r="J38" s="141"/>
      <c r="K38" s="142"/>
    </row>
    <row r="39" spans="1:11" ht="15.75" customHeight="1">
      <c r="A39" s="143"/>
      <c r="B39" s="149"/>
      <c r="C39" s="145"/>
      <c r="D39" s="145"/>
      <c r="E39" s="145"/>
      <c r="F39" s="145"/>
      <c r="G39" s="145"/>
      <c r="H39" s="145"/>
      <c r="I39" s="146"/>
      <c r="J39" s="146"/>
      <c r="K39" s="147"/>
    </row>
    <row r="40" spans="1:11" ht="15.75" customHeight="1">
      <c r="A40" s="138"/>
      <c r="B40" s="148"/>
      <c r="C40" s="140"/>
      <c r="D40" s="140"/>
      <c r="E40" s="140"/>
      <c r="F40" s="140"/>
      <c r="G40" s="140"/>
      <c r="H40" s="140"/>
      <c r="I40" s="141"/>
      <c r="J40" s="141"/>
      <c r="K40" s="142"/>
    </row>
    <row r="41" spans="1:11" ht="15.75" customHeight="1">
      <c r="A41" s="143"/>
      <c r="B41" s="149"/>
      <c r="C41" s="145"/>
      <c r="D41" s="145"/>
      <c r="E41" s="145"/>
      <c r="F41" s="145"/>
      <c r="G41" s="145"/>
      <c r="H41" s="145"/>
      <c r="I41" s="146"/>
      <c r="J41" s="146"/>
      <c r="K41" s="147"/>
    </row>
    <row r="42" spans="1:11" ht="15.75" customHeight="1">
      <c r="A42" s="138"/>
      <c r="B42" s="148"/>
      <c r="C42" s="140"/>
      <c r="D42" s="140"/>
      <c r="E42" s="140"/>
      <c r="F42" s="140"/>
      <c r="G42" s="140"/>
      <c r="H42" s="140"/>
      <c r="I42" s="141"/>
      <c r="J42" s="141"/>
      <c r="K42" s="142"/>
    </row>
    <row r="43" spans="1:11" ht="15.75" customHeight="1">
      <c r="A43" s="143"/>
      <c r="B43" s="149"/>
      <c r="C43" s="145"/>
      <c r="D43" s="145"/>
      <c r="E43" s="145"/>
      <c r="F43" s="145"/>
      <c r="G43" s="145"/>
      <c r="H43" s="145"/>
      <c r="I43" s="146"/>
      <c r="J43" s="146"/>
      <c r="K43" s="147"/>
    </row>
    <row r="44" spans="1:11" ht="15.75" customHeight="1">
      <c r="A44" s="138"/>
      <c r="B44" s="148"/>
      <c r="C44" s="140"/>
      <c r="D44" s="140"/>
      <c r="E44" s="140"/>
      <c r="F44" s="140"/>
      <c r="G44" s="140"/>
      <c r="H44" s="140"/>
      <c r="I44" s="141"/>
      <c r="J44" s="141"/>
      <c r="K44" s="142"/>
    </row>
    <row r="45" spans="1:11" ht="15.75" customHeight="1">
      <c r="A45" s="143"/>
      <c r="B45" s="149"/>
      <c r="C45" s="145"/>
      <c r="D45" s="145"/>
      <c r="E45" s="145"/>
      <c r="F45" s="145"/>
      <c r="G45" s="145"/>
      <c r="H45" s="145"/>
      <c r="I45" s="146"/>
      <c r="J45" s="146"/>
      <c r="K45" s="147"/>
    </row>
    <row r="46" spans="1:11" ht="15.75" customHeight="1">
      <c r="A46" s="138"/>
      <c r="B46" s="148"/>
      <c r="C46" s="140"/>
      <c r="D46" s="140"/>
      <c r="E46" s="140"/>
      <c r="F46" s="140"/>
      <c r="G46" s="140"/>
      <c r="H46" s="140"/>
      <c r="I46" s="141"/>
      <c r="J46" s="141"/>
      <c r="K46" s="142"/>
    </row>
    <row r="47" spans="1:11" ht="15.75" customHeight="1">
      <c r="A47" s="143"/>
      <c r="B47" s="149"/>
      <c r="C47" s="145"/>
      <c r="D47" s="145"/>
      <c r="E47" s="145"/>
      <c r="F47" s="145"/>
      <c r="G47" s="145"/>
      <c r="H47" s="145"/>
      <c r="I47" s="146"/>
      <c r="J47" s="146"/>
      <c r="K47" s="147"/>
    </row>
    <row r="48" spans="1:11" ht="15.75" customHeight="1">
      <c r="A48" s="138"/>
      <c r="B48" s="148"/>
      <c r="C48" s="140"/>
      <c r="D48" s="140"/>
      <c r="E48" s="140"/>
      <c r="F48" s="140"/>
      <c r="G48" s="140"/>
      <c r="H48" s="140"/>
      <c r="I48" s="141"/>
      <c r="J48" s="141"/>
      <c r="K48" s="142"/>
    </row>
    <row r="49" spans="1:11" ht="15.75" customHeight="1">
      <c r="A49" s="143"/>
      <c r="B49" s="149"/>
      <c r="C49" s="145"/>
      <c r="D49" s="145"/>
      <c r="E49" s="145"/>
      <c r="F49" s="145"/>
      <c r="G49" s="145"/>
      <c r="H49" s="145"/>
      <c r="I49" s="146"/>
      <c r="J49" s="146"/>
      <c r="K49" s="147"/>
    </row>
    <row r="50" spans="1:11" ht="15.75" customHeight="1">
      <c r="A50" s="138"/>
      <c r="B50" s="148"/>
      <c r="C50" s="140"/>
      <c r="D50" s="140"/>
      <c r="E50" s="140"/>
      <c r="F50" s="140"/>
      <c r="G50" s="140"/>
      <c r="H50" s="140"/>
      <c r="I50" s="141"/>
      <c r="J50" s="141"/>
      <c r="K50" s="142"/>
    </row>
    <row r="51" spans="1:11" ht="15.75" customHeight="1">
      <c r="A51" s="143"/>
      <c r="B51" s="149"/>
      <c r="C51" s="145"/>
      <c r="D51" s="145"/>
      <c r="E51" s="145"/>
      <c r="F51" s="145"/>
      <c r="G51" s="145"/>
      <c r="H51" s="145"/>
      <c r="I51" s="146"/>
      <c r="J51" s="146"/>
      <c r="K51" s="147"/>
    </row>
    <row r="52" spans="1:11" ht="15.75" customHeight="1">
      <c r="A52" s="138"/>
      <c r="B52" s="148"/>
      <c r="C52" s="140"/>
      <c r="D52" s="140"/>
      <c r="E52" s="140"/>
      <c r="F52" s="140"/>
      <c r="G52" s="140"/>
      <c r="H52" s="140"/>
      <c r="I52" s="141"/>
      <c r="J52" s="141"/>
      <c r="K52" s="142"/>
    </row>
    <row r="53" spans="1:11" ht="15.75" customHeight="1">
      <c r="A53" s="143"/>
      <c r="B53" s="149"/>
      <c r="C53" s="145"/>
      <c r="D53" s="145"/>
      <c r="E53" s="145"/>
      <c r="F53" s="145"/>
      <c r="G53" s="145"/>
      <c r="H53" s="145"/>
      <c r="I53" s="146"/>
      <c r="J53" s="146"/>
      <c r="K53" s="147"/>
    </row>
    <row r="54" spans="1:11" ht="15.75" customHeight="1">
      <c r="A54" s="138"/>
      <c r="B54" s="148"/>
      <c r="C54" s="140"/>
      <c r="D54" s="140"/>
      <c r="E54" s="140"/>
      <c r="F54" s="140"/>
      <c r="G54" s="140"/>
      <c r="H54" s="140"/>
      <c r="I54" s="141"/>
      <c r="J54" s="141"/>
      <c r="K54" s="142"/>
    </row>
    <row r="55" spans="1:11" ht="15.75" customHeight="1">
      <c r="A55" s="143"/>
      <c r="B55" s="149"/>
      <c r="C55" s="145"/>
      <c r="D55" s="145"/>
      <c r="E55" s="145"/>
      <c r="F55" s="145"/>
      <c r="G55" s="145"/>
      <c r="H55" s="145"/>
      <c r="I55" s="146"/>
      <c r="J55" s="146"/>
      <c r="K55" s="147"/>
    </row>
    <row r="56" spans="1:11" ht="15.75" customHeight="1">
      <c r="A56" s="138"/>
      <c r="B56" s="148"/>
      <c r="C56" s="140"/>
      <c r="D56" s="140"/>
      <c r="E56" s="140"/>
      <c r="F56" s="140"/>
      <c r="G56" s="140"/>
      <c r="H56" s="140"/>
      <c r="I56" s="141"/>
      <c r="J56" s="141"/>
      <c r="K56" s="142"/>
    </row>
    <row r="57" spans="1:11" ht="15.75" customHeight="1">
      <c r="A57" s="143"/>
      <c r="B57" s="149"/>
      <c r="C57" s="145"/>
      <c r="D57" s="145"/>
      <c r="E57" s="145"/>
      <c r="F57" s="145"/>
      <c r="G57" s="145"/>
      <c r="H57" s="145"/>
      <c r="I57" s="146"/>
      <c r="J57" s="146"/>
      <c r="K57" s="147"/>
    </row>
    <row r="58" spans="1:11" ht="15.75" customHeight="1">
      <c r="A58" s="138"/>
      <c r="B58" s="148"/>
      <c r="C58" s="140"/>
      <c r="D58" s="140"/>
      <c r="E58" s="140"/>
      <c r="F58" s="140"/>
      <c r="G58" s="140"/>
      <c r="H58" s="140"/>
      <c r="I58" s="141"/>
      <c r="J58" s="141"/>
      <c r="K58" s="142"/>
    </row>
    <row r="59" spans="1:11" ht="15.75" customHeight="1">
      <c r="A59" s="143"/>
      <c r="B59" s="149"/>
      <c r="C59" s="145"/>
      <c r="D59" s="145"/>
      <c r="E59" s="145"/>
      <c r="F59" s="145"/>
      <c r="G59" s="145"/>
      <c r="H59" s="145"/>
      <c r="I59" s="146"/>
      <c r="J59" s="146"/>
      <c r="K59" s="147"/>
    </row>
    <row r="60" spans="1:11" ht="15.75" customHeight="1">
      <c r="A60" s="138"/>
      <c r="B60" s="148"/>
      <c r="C60" s="140"/>
      <c r="D60" s="140"/>
      <c r="E60" s="140"/>
      <c r="F60" s="140"/>
      <c r="G60" s="140"/>
      <c r="H60" s="140"/>
      <c r="I60" s="141"/>
      <c r="J60" s="141"/>
      <c r="K60" s="142"/>
    </row>
    <row r="61" spans="1:11" ht="15.75" customHeight="1">
      <c r="A61" s="143"/>
      <c r="B61" s="149"/>
      <c r="C61" s="145"/>
      <c r="D61" s="145"/>
      <c r="E61" s="145"/>
      <c r="F61" s="145"/>
      <c r="G61" s="145"/>
      <c r="H61" s="145"/>
      <c r="I61" s="146"/>
      <c r="J61" s="146"/>
      <c r="K61" s="147"/>
    </row>
    <row r="62" spans="1:11" ht="15.75" customHeight="1">
      <c r="A62" s="138"/>
      <c r="B62" s="148"/>
      <c r="C62" s="140"/>
      <c r="D62" s="140"/>
      <c r="E62" s="140"/>
      <c r="F62" s="140"/>
      <c r="G62" s="140"/>
      <c r="H62" s="140"/>
      <c r="I62" s="141"/>
      <c r="J62" s="141"/>
      <c r="K62" s="142"/>
    </row>
    <row r="63" spans="1:11" ht="15.75" customHeight="1">
      <c r="A63" s="143"/>
      <c r="B63" s="149"/>
      <c r="C63" s="145"/>
      <c r="D63" s="145"/>
      <c r="E63" s="145"/>
      <c r="F63" s="145"/>
      <c r="G63" s="145"/>
      <c r="H63" s="145"/>
      <c r="I63" s="146"/>
      <c r="J63" s="146"/>
      <c r="K63" s="147"/>
    </row>
    <row r="64" spans="1:11" ht="15.75" customHeight="1">
      <c r="A64" s="138"/>
      <c r="B64" s="148"/>
      <c r="C64" s="140"/>
      <c r="D64" s="140"/>
      <c r="E64" s="140"/>
      <c r="F64" s="140"/>
      <c r="G64" s="140"/>
      <c r="H64" s="140"/>
      <c r="I64" s="141"/>
      <c r="J64" s="141"/>
      <c r="K64" s="142"/>
    </row>
    <row r="65" spans="1:11" ht="15.75" customHeight="1">
      <c r="A65" s="143"/>
      <c r="B65" s="149"/>
      <c r="C65" s="145"/>
      <c r="D65" s="145"/>
      <c r="E65" s="145"/>
      <c r="F65" s="145"/>
      <c r="G65" s="145"/>
      <c r="H65" s="145"/>
      <c r="I65" s="146"/>
      <c r="J65" s="146"/>
      <c r="K65" s="147"/>
    </row>
    <row r="66" spans="1:11" ht="15.75" customHeight="1">
      <c r="A66" s="138"/>
      <c r="B66" s="148"/>
      <c r="C66" s="140"/>
      <c r="D66" s="140"/>
      <c r="E66" s="140"/>
      <c r="F66" s="140"/>
      <c r="G66" s="140"/>
      <c r="H66" s="140"/>
      <c r="I66" s="141"/>
      <c r="J66" s="141"/>
      <c r="K66" s="142"/>
    </row>
    <row r="67" spans="1:11" ht="15.75" customHeight="1">
      <c r="A67" s="143"/>
      <c r="B67" s="149"/>
      <c r="C67" s="145"/>
      <c r="D67" s="145"/>
      <c r="E67" s="145"/>
      <c r="F67" s="145"/>
      <c r="G67" s="145"/>
      <c r="H67" s="145"/>
      <c r="I67" s="146"/>
      <c r="J67" s="146"/>
      <c r="K67" s="147"/>
    </row>
    <row r="68" spans="1:11" ht="15.75" customHeight="1">
      <c r="A68" s="138"/>
      <c r="B68" s="148"/>
      <c r="C68" s="140"/>
      <c r="D68" s="140"/>
      <c r="E68" s="140"/>
      <c r="F68" s="140"/>
      <c r="G68" s="140"/>
      <c r="H68" s="140"/>
      <c r="I68" s="141"/>
      <c r="J68" s="141"/>
      <c r="K68" s="142"/>
    </row>
    <row r="69" spans="1:11" ht="15.75" customHeight="1">
      <c r="A69" s="143"/>
      <c r="B69" s="149"/>
      <c r="C69" s="145"/>
      <c r="D69" s="145"/>
      <c r="E69" s="145"/>
      <c r="F69" s="145"/>
      <c r="G69" s="145"/>
      <c r="H69" s="145"/>
      <c r="I69" s="146"/>
      <c r="J69" s="146"/>
      <c r="K69" s="147"/>
    </row>
    <row r="70" spans="1:11" ht="15.75" customHeight="1">
      <c r="A70" s="138"/>
      <c r="B70" s="148"/>
      <c r="C70" s="140"/>
      <c r="D70" s="140"/>
      <c r="E70" s="140"/>
      <c r="F70" s="140"/>
      <c r="G70" s="140"/>
      <c r="H70" s="140"/>
      <c r="I70" s="141"/>
      <c r="J70" s="141"/>
      <c r="K70" s="142"/>
    </row>
    <row r="71" spans="1:11" ht="15.75" customHeight="1">
      <c r="A71" s="143"/>
      <c r="B71" s="149"/>
      <c r="C71" s="145"/>
      <c r="D71" s="145"/>
      <c r="E71" s="145"/>
      <c r="F71" s="145"/>
      <c r="G71" s="145"/>
      <c r="H71" s="145"/>
      <c r="I71" s="146"/>
      <c r="J71" s="146"/>
      <c r="K71" s="147"/>
    </row>
    <row r="72" spans="1:11" ht="15.75" customHeight="1">
      <c r="A72" s="138"/>
      <c r="B72" s="148"/>
      <c r="C72" s="140"/>
      <c r="D72" s="140"/>
      <c r="E72" s="140"/>
      <c r="F72" s="140"/>
      <c r="G72" s="140"/>
      <c r="H72" s="140"/>
      <c r="I72" s="141"/>
      <c r="J72" s="141"/>
      <c r="K72" s="142"/>
    </row>
    <row r="73" spans="1:11" ht="15.75" customHeight="1">
      <c r="A73" s="143"/>
      <c r="B73" s="149"/>
      <c r="C73" s="145"/>
      <c r="D73" s="145"/>
      <c r="E73" s="145"/>
      <c r="F73" s="145"/>
      <c r="G73" s="145"/>
      <c r="H73" s="145"/>
      <c r="I73" s="146"/>
      <c r="J73" s="146"/>
      <c r="K73" s="147"/>
    </row>
    <row r="74" spans="1:11" ht="15.75" customHeight="1">
      <c r="A74" s="138"/>
      <c r="B74" s="148"/>
      <c r="C74" s="140"/>
      <c r="D74" s="140"/>
      <c r="E74" s="140"/>
      <c r="F74" s="140"/>
      <c r="G74" s="140"/>
      <c r="H74" s="140"/>
      <c r="I74" s="141"/>
      <c r="J74" s="141"/>
      <c r="K74" s="142"/>
    </row>
    <row r="75" spans="1:11" ht="15.75" customHeight="1">
      <c r="A75" s="45"/>
      <c r="B75" s="45"/>
      <c r="C75" s="45"/>
      <c r="D75" s="45"/>
      <c r="E75" s="45"/>
      <c r="F75" s="45"/>
      <c r="G75" s="45"/>
      <c r="H75" s="45"/>
      <c r="I75" s="45"/>
      <c r="J75" s="45"/>
      <c r="K75" s="45"/>
    </row>
    <row r="76" spans="1:11" ht="15.75" customHeight="1">
      <c r="A76" s="45"/>
      <c r="B76" s="45"/>
      <c r="C76" s="45"/>
      <c r="D76" s="45"/>
      <c r="E76" s="45"/>
      <c r="F76" s="45"/>
      <c r="G76" s="45"/>
      <c r="H76" s="45"/>
      <c r="I76" s="45"/>
      <c r="J76" s="45"/>
      <c r="K76" s="45"/>
    </row>
    <row r="77" spans="1:11" ht="15.75" customHeight="1">
      <c r="A77" s="45"/>
      <c r="B77" s="45"/>
      <c r="C77" s="45"/>
      <c r="D77" s="45"/>
      <c r="E77" s="45"/>
      <c r="F77" s="45"/>
      <c r="G77" s="45"/>
      <c r="H77" s="45"/>
      <c r="I77" s="45"/>
      <c r="J77" s="45"/>
      <c r="K77" s="45"/>
    </row>
    <row r="78" spans="1:11" ht="15.75" customHeight="1">
      <c r="A78" s="45"/>
      <c r="B78" s="45"/>
      <c r="C78" s="45"/>
      <c r="D78" s="45"/>
      <c r="E78" s="45"/>
      <c r="F78" s="45"/>
      <c r="G78" s="45"/>
      <c r="H78" s="45"/>
      <c r="I78" s="45"/>
      <c r="J78" s="45"/>
      <c r="K78" s="45"/>
    </row>
    <row r="79" spans="1:11" ht="15.75" customHeight="1">
      <c r="A79" s="45"/>
      <c r="B79" s="45"/>
      <c r="C79" s="45"/>
      <c r="D79" s="45"/>
      <c r="E79" s="45"/>
      <c r="F79" s="45"/>
      <c r="G79" s="45"/>
      <c r="H79" s="45"/>
      <c r="I79" s="45"/>
      <c r="J79" s="45"/>
      <c r="K79" s="45"/>
    </row>
    <row r="80" spans="1:11" ht="15.75" customHeight="1">
      <c r="A80" s="45"/>
      <c r="B80" s="45"/>
      <c r="C80" s="45"/>
      <c r="D80" s="45"/>
      <c r="E80" s="45"/>
      <c r="F80" s="45"/>
      <c r="G80" s="45"/>
      <c r="H80" s="45"/>
      <c r="I80" s="45"/>
      <c r="J80" s="45"/>
      <c r="K80" s="45"/>
    </row>
    <row r="81" spans="1:11" ht="15.75" customHeight="1">
      <c r="A81" s="45"/>
      <c r="B81" s="45"/>
      <c r="C81" s="45"/>
      <c r="D81" s="45"/>
      <c r="E81" s="45"/>
      <c r="F81" s="45"/>
      <c r="G81" s="45"/>
      <c r="H81" s="45"/>
      <c r="I81" s="45"/>
      <c r="J81" s="45"/>
      <c r="K81" s="45"/>
    </row>
    <row r="82" spans="1:11" ht="15.75" customHeight="1">
      <c r="A82" s="45"/>
      <c r="B82" s="45"/>
      <c r="C82" s="45"/>
      <c r="D82" s="45"/>
      <c r="E82" s="45"/>
      <c r="F82" s="45"/>
      <c r="G82" s="45"/>
      <c r="H82" s="45"/>
      <c r="I82" s="45"/>
      <c r="J82" s="45"/>
      <c r="K82" s="45"/>
    </row>
    <row r="83" spans="1:11" ht="15.75" customHeight="1">
      <c r="A83" s="45"/>
      <c r="B83" s="45"/>
      <c r="C83" s="45"/>
      <c r="D83" s="45"/>
      <c r="E83" s="45"/>
      <c r="F83" s="45"/>
      <c r="G83" s="45"/>
      <c r="H83" s="45"/>
      <c r="I83" s="45"/>
      <c r="J83" s="45"/>
      <c r="K83" s="45"/>
    </row>
    <row r="84" spans="1:11" ht="15.75" customHeight="1">
      <c r="A84" s="45"/>
      <c r="B84" s="45"/>
      <c r="C84" s="45"/>
      <c r="D84" s="45"/>
      <c r="E84" s="45"/>
      <c r="F84" s="45"/>
      <c r="G84" s="45"/>
      <c r="H84" s="45"/>
      <c r="I84" s="45"/>
      <c r="J84" s="45"/>
      <c r="K84" s="45"/>
    </row>
    <row r="85" spans="1:11" ht="15.75" customHeight="1">
      <c r="A85" s="45"/>
      <c r="B85" s="45"/>
      <c r="C85" s="45"/>
      <c r="D85" s="45"/>
      <c r="E85" s="45"/>
      <c r="F85" s="45"/>
      <c r="G85" s="45"/>
      <c r="H85" s="45"/>
      <c r="I85" s="45"/>
      <c r="J85" s="45"/>
      <c r="K85" s="45"/>
    </row>
    <row r="86" spans="1:11" ht="15.75" customHeight="1">
      <c r="A86" s="45"/>
      <c r="B86" s="45"/>
      <c r="C86" s="45"/>
      <c r="D86" s="45"/>
      <c r="E86" s="45"/>
      <c r="F86" s="45"/>
      <c r="G86" s="45"/>
      <c r="H86" s="45"/>
      <c r="I86" s="45"/>
      <c r="J86" s="45"/>
      <c r="K86" s="45"/>
    </row>
    <row r="87" spans="1:11" ht="15.75" customHeight="1">
      <c r="A87" s="45"/>
      <c r="B87" s="45"/>
      <c r="C87" s="45"/>
      <c r="D87" s="45"/>
      <c r="E87" s="45"/>
      <c r="F87" s="45"/>
      <c r="G87" s="45"/>
      <c r="H87" s="45"/>
      <c r="I87" s="45"/>
      <c r="J87" s="45"/>
      <c r="K87" s="45"/>
    </row>
    <row r="88" spans="1:11" ht="15.75" customHeight="1">
      <c r="A88" s="45"/>
      <c r="B88" s="45"/>
      <c r="C88" s="45"/>
      <c r="D88" s="45"/>
      <c r="E88" s="45"/>
      <c r="F88" s="45"/>
      <c r="G88" s="45"/>
      <c r="H88" s="45"/>
      <c r="I88" s="45"/>
      <c r="J88" s="45"/>
      <c r="K88" s="45"/>
    </row>
    <row r="89" spans="1:11" ht="15.75" customHeight="1">
      <c r="A89" s="45"/>
      <c r="B89" s="45"/>
      <c r="C89" s="45"/>
      <c r="D89" s="45"/>
      <c r="E89" s="45"/>
      <c r="F89" s="45"/>
      <c r="G89" s="45"/>
      <c r="H89" s="45"/>
      <c r="I89" s="45"/>
      <c r="J89" s="45"/>
      <c r="K89" s="45"/>
    </row>
    <row r="90" spans="1:11" ht="15.75" customHeight="1">
      <c r="A90" s="45"/>
      <c r="B90" s="45"/>
      <c r="C90" s="45"/>
      <c r="D90" s="45"/>
      <c r="E90" s="45"/>
      <c r="F90" s="45"/>
      <c r="G90" s="45"/>
      <c r="H90" s="45"/>
      <c r="I90" s="45"/>
      <c r="J90" s="45"/>
      <c r="K90" s="45"/>
    </row>
    <row r="91" spans="1:11" ht="15.75" customHeight="1">
      <c r="A91" s="45"/>
      <c r="B91" s="45"/>
      <c r="C91" s="45"/>
      <c r="D91" s="45"/>
      <c r="E91" s="45"/>
      <c r="F91" s="45"/>
      <c r="G91" s="45"/>
      <c r="H91" s="45"/>
      <c r="I91" s="45"/>
      <c r="J91" s="45"/>
      <c r="K91" s="45"/>
    </row>
    <row r="92" spans="1:11" ht="15.75" customHeight="1">
      <c r="A92" s="45"/>
      <c r="B92" s="45"/>
      <c r="C92" s="45"/>
      <c r="D92" s="45"/>
      <c r="E92" s="45"/>
      <c r="F92" s="45"/>
      <c r="G92" s="45"/>
      <c r="H92" s="45"/>
      <c r="I92" s="45"/>
      <c r="J92" s="45"/>
      <c r="K92" s="45"/>
    </row>
    <row r="93" spans="1:11" ht="15.75" customHeight="1">
      <c r="A93" s="45"/>
      <c r="B93" s="45"/>
      <c r="C93" s="45"/>
      <c r="D93" s="45"/>
      <c r="E93" s="45"/>
      <c r="F93" s="45"/>
      <c r="G93" s="45"/>
      <c r="H93" s="45"/>
      <c r="I93" s="45"/>
      <c r="J93" s="45"/>
      <c r="K93" s="45"/>
    </row>
    <row r="94" spans="1:11" ht="15.75" customHeight="1">
      <c r="A94" s="45"/>
      <c r="B94" s="45"/>
      <c r="C94" s="45"/>
      <c r="D94" s="45"/>
      <c r="E94" s="45"/>
      <c r="F94" s="45"/>
      <c r="G94" s="45"/>
      <c r="H94" s="45"/>
      <c r="I94" s="45"/>
      <c r="J94" s="45"/>
      <c r="K94" s="45"/>
    </row>
    <row r="95" spans="1:11" ht="15.75" customHeight="1">
      <c r="A95" s="45"/>
      <c r="B95" s="45"/>
      <c r="C95" s="45"/>
      <c r="D95" s="45"/>
      <c r="E95" s="45"/>
      <c r="F95" s="45"/>
      <c r="G95" s="45"/>
      <c r="H95" s="45"/>
      <c r="I95" s="45"/>
      <c r="J95" s="45"/>
      <c r="K95" s="45"/>
    </row>
    <row r="96" spans="1:11" ht="15.75" customHeight="1">
      <c r="A96" s="45"/>
      <c r="B96" s="45"/>
      <c r="C96" s="45"/>
      <c r="D96" s="45"/>
      <c r="E96" s="45"/>
      <c r="F96" s="45"/>
      <c r="G96" s="45"/>
      <c r="H96" s="45"/>
      <c r="I96" s="45"/>
      <c r="J96" s="45"/>
      <c r="K96" s="45"/>
    </row>
    <row r="97" spans="1:11" ht="15.75" customHeight="1">
      <c r="A97" s="45"/>
      <c r="B97" s="45"/>
      <c r="C97" s="45"/>
      <c r="D97" s="45"/>
      <c r="E97" s="45"/>
      <c r="F97" s="45"/>
      <c r="G97" s="45"/>
      <c r="H97" s="45"/>
      <c r="I97" s="45"/>
      <c r="J97" s="45"/>
      <c r="K97" s="45"/>
    </row>
    <row r="98" spans="1:11" ht="15.75" customHeight="1">
      <c r="A98" s="45"/>
      <c r="B98" s="45"/>
      <c r="C98" s="45"/>
      <c r="D98" s="45"/>
      <c r="E98" s="45"/>
      <c r="F98" s="45"/>
      <c r="G98" s="45"/>
      <c r="H98" s="45"/>
      <c r="I98" s="45"/>
      <c r="J98" s="45"/>
      <c r="K98" s="45"/>
    </row>
    <row r="99" spans="1:11" ht="15.75" customHeight="1">
      <c r="A99" s="45"/>
      <c r="B99" s="45"/>
      <c r="C99" s="45"/>
      <c r="D99" s="45"/>
      <c r="E99" s="45"/>
      <c r="F99" s="45"/>
      <c r="G99" s="45"/>
      <c r="H99" s="45"/>
      <c r="I99" s="45"/>
      <c r="J99" s="45"/>
      <c r="K99" s="45"/>
    </row>
    <row r="100" spans="1:11" ht="15.75" customHeight="1">
      <c r="A100" s="45"/>
      <c r="B100" s="45"/>
      <c r="C100" s="45"/>
      <c r="D100" s="45"/>
      <c r="E100" s="45"/>
      <c r="F100" s="45"/>
      <c r="G100" s="45"/>
      <c r="H100" s="45"/>
      <c r="I100" s="45"/>
      <c r="J100" s="45"/>
      <c r="K100" s="45"/>
    </row>
    <row r="101" spans="1:11" ht="15.75" customHeight="1">
      <c r="A101" s="45"/>
      <c r="B101" s="45"/>
      <c r="C101" s="45"/>
      <c r="D101" s="45"/>
      <c r="E101" s="45"/>
      <c r="F101" s="45"/>
      <c r="G101" s="45"/>
      <c r="H101" s="45"/>
      <c r="I101" s="45"/>
      <c r="J101" s="45"/>
      <c r="K101" s="45"/>
    </row>
    <row r="102" spans="1:11" ht="15.75" customHeight="1">
      <c r="A102" s="45"/>
      <c r="B102" s="45"/>
      <c r="C102" s="45"/>
      <c r="D102" s="45"/>
      <c r="E102" s="45"/>
      <c r="F102" s="45"/>
      <c r="G102" s="45"/>
      <c r="H102" s="45"/>
      <c r="I102" s="45"/>
      <c r="J102" s="45"/>
      <c r="K102" s="45"/>
    </row>
    <row r="103" spans="1:11" ht="15.75" customHeight="1">
      <c r="A103" s="45"/>
      <c r="B103" s="45"/>
      <c r="C103" s="45"/>
      <c r="D103" s="45"/>
      <c r="E103" s="45"/>
      <c r="F103" s="45"/>
      <c r="G103" s="45"/>
      <c r="H103" s="45"/>
      <c r="I103" s="45"/>
      <c r="J103" s="45"/>
      <c r="K103" s="45"/>
    </row>
    <row r="104" spans="1:11" ht="15.75" customHeight="1">
      <c r="A104" s="45"/>
      <c r="B104" s="45"/>
      <c r="C104" s="45"/>
      <c r="D104" s="45"/>
      <c r="E104" s="45"/>
      <c r="F104" s="45"/>
      <c r="G104" s="45"/>
      <c r="H104" s="45"/>
      <c r="I104" s="45"/>
      <c r="J104" s="45"/>
      <c r="K104" s="45"/>
    </row>
    <row r="105" spans="1:11" ht="15.75" customHeight="1">
      <c r="A105" s="45"/>
      <c r="B105" s="45"/>
      <c r="C105" s="45"/>
      <c r="D105" s="45"/>
      <c r="E105" s="45"/>
      <c r="F105" s="45"/>
      <c r="G105" s="45"/>
      <c r="H105" s="45"/>
      <c r="I105" s="45"/>
      <c r="J105" s="45"/>
      <c r="K105" s="45"/>
    </row>
    <row r="106" spans="1:11" ht="15.75" customHeight="1">
      <c r="A106" s="45"/>
      <c r="B106" s="45"/>
      <c r="C106" s="45"/>
      <c r="D106" s="45"/>
      <c r="E106" s="45"/>
      <c r="F106" s="45"/>
      <c r="G106" s="45"/>
      <c r="H106" s="45"/>
      <c r="I106" s="45"/>
      <c r="J106" s="45"/>
      <c r="K106" s="45"/>
    </row>
    <row r="107" spans="1:11" ht="15.75" customHeight="1">
      <c r="A107" s="45"/>
      <c r="B107" s="45"/>
      <c r="C107" s="45"/>
      <c r="D107" s="45"/>
      <c r="E107" s="45"/>
      <c r="F107" s="45"/>
      <c r="G107" s="45"/>
      <c r="H107" s="45"/>
      <c r="I107" s="45"/>
      <c r="J107" s="45"/>
      <c r="K107" s="45"/>
    </row>
    <row r="108" spans="1:11" ht="15.75" customHeight="1">
      <c r="A108" s="45"/>
      <c r="B108" s="45"/>
      <c r="C108" s="45"/>
      <c r="D108" s="45"/>
      <c r="E108" s="45"/>
      <c r="F108" s="45"/>
      <c r="G108" s="45"/>
      <c r="H108" s="45"/>
      <c r="I108" s="45"/>
      <c r="J108" s="45"/>
      <c r="K108" s="45"/>
    </row>
    <row r="109" spans="1:11" ht="15.75" customHeight="1">
      <c r="A109" s="45"/>
      <c r="B109" s="45"/>
      <c r="C109" s="45"/>
      <c r="D109" s="45"/>
      <c r="E109" s="45"/>
      <c r="F109" s="45"/>
      <c r="G109" s="45"/>
      <c r="H109" s="45"/>
      <c r="I109" s="45"/>
      <c r="J109" s="45"/>
      <c r="K109" s="45"/>
    </row>
    <row r="110" spans="1:11" ht="15.75" customHeight="1">
      <c r="A110" s="45"/>
      <c r="B110" s="45"/>
      <c r="C110" s="45"/>
      <c r="D110" s="45"/>
      <c r="E110" s="45"/>
      <c r="F110" s="45"/>
      <c r="G110" s="45"/>
      <c r="H110" s="45"/>
      <c r="I110" s="45"/>
      <c r="J110" s="45"/>
      <c r="K110" s="45"/>
    </row>
    <row r="111" spans="1:11" ht="15.75" customHeight="1">
      <c r="A111" s="45"/>
      <c r="B111" s="45"/>
      <c r="C111" s="45"/>
      <c r="D111" s="45"/>
      <c r="E111" s="45"/>
      <c r="F111" s="45"/>
      <c r="G111" s="45"/>
      <c r="H111" s="45"/>
      <c r="I111" s="45"/>
      <c r="J111" s="45"/>
      <c r="K111" s="45"/>
    </row>
    <row r="112" spans="1:11" ht="15.75" customHeight="1">
      <c r="A112" s="45"/>
      <c r="B112" s="45"/>
      <c r="C112" s="45"/>
      <c r="D112" s="45"/>
      <c r="E112" s="45"/>
      <c r="F112" s="45"/>
      <c r="G112" s="45"/>
      <c r="H112" s="45"/>
      <c r="I112" s="45"/>
      <c r="J112" s="45"/>
      <c r="K112" s="45"/>
    </row>
    <row r="113" spans="1:11" ht="15.75" customHeight="1">
      <c r="A113" s="45"/>
      <c r="B113" s="45"/>
      <c r="C113" s="45"/>
      <c r="D113" s="45"/>
      <c r="E113" s="45"/>
      <c r="F113" s="45"/>
      <c r="G113" s="45"/>
      <c r="H113" s="45"/>
      <c r="I113" s="45"/>
      <c r="J113" s="45"/>
      <c r="K113" s="45"/>
    </row>
    <row r="114" spans="1:11" ht="15.75" customHeight="1">
      <c r="A114" s="45"/>
      <c r="B114" s="45"/>
      <c r="C114" s="45"/>
      <c r="D114" s="45"/>
      <c r="E114" s="45"/>
      <c r="F114" s="45"/>
      <c r="G114" s="45"/>
      <c r="H114" s="45"/>
      <c r="I114" s="45"/>
      <c r="J114" s="45"/>
      <c r="K114" s="45"/>
    </row>
    <row r="115" spans="1:11" ht="15.75" customHeight="1">
      <c r="A115" s="45"/>
      <c r="B115" s="45"/>
      <c r="C115" s="45"/>
      <c r="D115" s="45"/>
      <c r="E115" s="45"/>
      <c r="F115" s="45"/>
      <c r="G115" s="45"/>
      <c r="H115" s="45"/>
      <c r="I115" s="45"/>
      <c r="J115" s="45"/>
      <c r="K115" s="45"/>
    </row>
    <row r="116" spans="1:11" ht="15.75" customHeight="1">
      <c r="A116" s="45"/>
      <c r="B116" s="45"/>
      <c r="C116" s="45"/>
      <c r="D116" s="45"/>
      <c r="E116" s="45"/>
      <c r="F116" s="45"/>
      <c r="G116" s="45"/>
      <c r="H116" s="45"/>
      <c r="I116" s="45"/>
      <c r="J116" s="45"/>
      <c r="K116" s="45"/>
    </row>
    <row r="117" spans="1:11" ht="15.75" customHeight="1">
      <c r="A117" s="45"/>
      <c r="B117" s="45"/>
      <c r="C117" s="45"/>
      <c r="D117" s="45"/>
      <c r="E117" s="45"/>
      <c r="F117" s="45"/>
      <c r="G117" s="45"/>
      <c r="H117" s="45"/>
      <c r="I117" s="45"/>
      <c r="J117" s="45"/>
      <c r="K117" s="45"/>
    </row>
    <row r="118" spans="1:11" ht="15.75" customHeight="1">
      <c r="A118" s="45"/>
      <c r="B118" s="45"/>
      <c r="C118" s="45"/>
      <c r="D118" s="45"/>
      <c r="E118" s="45"/>
      <c r="F118" s="45"/>
      <c r="G118" s="45"/>
      <c r="H118" s="45"/>
      <c r="I118" s="45"/>
      <c r="J118" s="45"/>
      <c r="K118" s="45"/>
    </row>
    <row r="119" spans="1:11" ht="15.75" customHeight="1">
      <c r="A119" s="45"/>
      <c r="B119" s="45"/>
      <c r="C119" s="45"/>
      <c r="D119" s="45"/>
      <c r="E119" s="45"/>
      <c r="F119" s="45"/>
      <c r="G119" s="45"/>
      <c r="H119" s="45"/>
      <c r="I119" s="45"/>
      <c r="J119" s="45"/>
      <c r="K119" s="45"/>
    </row>
    <row r="120" spans="1:11" ht="15.75" customHeight="1">
      <c r="A120" s="45"/>
      <c r="B120" s="45"/>
      <c r="C120" s="45"/>
      <c r="D120" s="45"/>
      <c r="E120" s="45"/>
      <c r="F120" s="45"/>
      <c r="G120" s="45"/>
      <c r="H120" s="45"/>
      <c r="I120" s="45"/>
      <c r="J120" s="45"/>
      <c r="K120" s="45"/>
    </row>
    <row r="121" spans="1:11" ht="15.75" customHeight="1">
      <c r="A121" s="45"/>
      <c r="B121" s="45"/>
      <c r="C121" s="45"/>
      <c r="D121" s="45"/>
      <c r="E121" s="45"/>
      <c r="F121" s="45"/>
      <c r="G121" s="45"/>
      <c r="H121" s="45"/>
      <c r="I121" s="45"/>
      <c r="J121" s="45"/>
      <c r="K121" s="45"/>
    </row>
    <row r="122" spans="1:11" ht="15.75" customHeight="1">
      <c r="A122" s="45"/>
      <c r="B122" s="45"/>
      <c r="C122" s="45"/>
      <c r="D122" s="45"/>
      <c r="E122" s="45"/>
      <c r="F122" s="45"/>
      <c r="G122" s="45"/>
      <c r="H122" s="45"/>
      <c r="I122" s="45"/>
      <c r="J122" s="45"/>
      <c r="K122" s="45"/>
    </row>
    <row r="123" spans="1:11" ht="15.75" customHeight="1">
      <c r="A123" s="45"/>
      <c r="B123" s="45"/>
      <c r="C123" s="45"/>
      <c r="D123" s="45"/>
      <c r="E123" s="45"/>
      <c r="F123" s="45"/>
      <c r="G123" s="45"/>
      <c r="H123" s="45"/>
      <c r="I123" s="45"/>
      <c r="J123" s="45"/>
      <c r="K123" s="45"/>
    </row>
    <row r="124" spans="1:11" ht="15.75" customHeight="1">
      <c r="A124" s="45"/>
      <c r="B124" s="45"/>
      <c r="C124" s="45"/>
      <c r="D124" s="45"/>
      <c r="E124" s="45"/>
      <c r="F124" s="45"/>
      <c r="G124" s="45"/>
      <c r="H124" s="45"/>
      <c r="I124" s="45"/>
      <c r="J124" s="45"/>
      <c r="K124" s="45"/>
    </row>
    <row r="125" spans="1:11" ht="15.75" customHeight="1">
      <c r="A125" s="45"/>
      <c r="B125" s="45"/>
      <c r="C125" s="45"/>
      <c r="D125" s="45"/>
      <c r="E125" s="45"/>
      <c r="F125" s="45"/>
      <c r="G125" s="45"/>
      <c r="H125" s="45"/>
      <c r="I125" s="45"/>
      <c r="J125" s="45"/>
      <c r="K125" s="45"/>
    </row>
    <row r="126" spans="1:11" ht="15.75" customHeight="1">
      <c r="A126" s="45"/>
      <c r="B126" s="45"/>
      <c r="C126" s="45"/>
      <c r="D126" s="45"/>
      <c r="E126" s="45"/>
      <c r="F126" s="45"/>
      <c r="G126" s="45"/>
      <c r="H126" s="45"/>
      <c r="I126" s="45"/>
      <c r="J126" s="45"/>
      <c r="K126" s="45"/>
    </row>
    <row r="127" spans="1:11" ht="15.75" customHeight="1">
      <c r="A127" s="45"/>
      <c r="B127" s="45"/>
      <c r="C127" s="45"/>
      <c r="D127" s="45"/>
      <c r="E127" s="45"/>
      <c r="F127" s="45"/>
      <c r="G127" s="45"/>
      <c r="H127" s="45"/>
      <c r="I127" s="45"/>
      <c r="J127" s="45"/>
      <c r="K127" s="45"/>
    </row>
    <row r="128" spans="1:11" ht="15.75" customHeight="1">
      <c r="A128" s="45"/>
      <c r="B128" s="45"/>
      <c r="C128" s="45"/>
      <c r="D128" s="45"/>
      <c r="E128" s="45"/>
      <c r="F128" s="45"/>
      <c r="G128" s="45"/>
      <c r="H128" s="45"/>
      <c r="I128" s="45"/>
      <c r="J128" s="45"/>
      <c r="K128" s="45"/>
    </row>
    <row r="129" spans="1:11" ht="15.75" customHeight="1">
      <c r="A129" s="45"/>
      <c r="B129" s="45"/>
      <c r="C129" s="45"/>
      <c r="D129" s="45"/>
      <c r="E129" s="45"/>
      <c r="F129" s="45"/>
      <c r="G129" s="45"/>
      <c r="H129" s="45"/>
      <c r="I129" s="45"/>
      <c r="J129" s="45"/>
      <c r="K129" s="45"/>
    </row>
    <row r="130" spans="1:11" ht="15.75" customHeight="1">
      <c r="A130" s="45"/>
      <c r="B130" s="45"/>
      <c r="C130" s="45"/>
      <c r="D130" s="45"/>
      <c r="E130" s="45"/>
      <c r="F130" s="45"/>
      <c r="G130" s="45"/>
      <c r="H130" s="45"/>
      <c r="I130" s="45"/>
      <c r="J130" s="45"/>
      <c r="K130" s="45"/>
    </row>
    <row r="131" spans="1:11" ht="15.75" customHeight="1">
      <c r="A131" s="45"/>
      <c r="B131" s="45"/>
      <c r="C131" s="45"/>
      <c r="D131" s="45"/>
      <c r="E131" s="45"/>
      <c r="F131" s="45"/>
      <c r="G131" s="45"/>
      <c r="H131" s="45"/>
      <c r="I131" s="45"/>
      <c r="J131" s="45"/>
      <c r="K131" s="45"/>
    </row>
    <row r="132" spans="1:11" ht="15.75" customHeight="1">
      <c r="A132" s="45"/>
      <c r="B132" s="45"/>
      <c r="C132" s="45"/>
      <c r="D132" s="45"/>
      <c r="E132" s="45"/>
      <c r="F132" s="45"/>
      <c r="G132" s="45"/>
      <c r="H132" s="45"/>
      <c r="I132" s="45"/>
      <c r="J132" s="45"/>
      <c r="K132" s="45"/>
    </row>
    <row r="133" spans="1:11" ht="15.75" customHeight="1">
      <c r="A133" s="45"/>
      <c r="B133" s="45"/>
      <c r="C133" s="45"/>
      <c r="D133" s="45"/>
      <c r="E133" s="45"/>
      <c r="F133" s="45"/>
      <c r="G133" s="45"/>
      <c r="H133" s="45"/>
      <c r="I133" s="45"/>
      <c r="J133" s="45"/>
      <c r="K133" s="45"/>
    </row>
    <row r="134" spans="1:11" ht="15.75" customHeight="1">
      <c r="A134" s="45"/>
      <c r="B134" s="45"/>
      <c r="C134" s="45"/>
      <c r="D134" s="45"/>
      <c r="E134" s="45"/>
      <c r="F134" s="45"/>
      <c r="G134" s="45"/>
      <c r="H134" s="45"/>
      <c r="I134" s="45"/>
      <c r="J134" s="45"/>
      <c r="K134" s="45"/>
    </row>
    <row r="135" spans="1:11" ht="15.75" customHeight="1">
      <c r="A135" s="45"/>
      <c r="B135" s="45"/>
      <c r="C135" s="45"/>
      <c r="D135" s="45"/>
      <c r="E135" s="45"/>
      <c r="F135" s="45"/>
      <c r="G135" s="45"/>
      <c r="H135" s="45"/>
      <c r="I135" s="45"/>
      <c r="J135" s="45"/>
      <c r="K135" s="45"/>
    </row>
    <row r="136" spans="1:11" ht="15.75" customHeight="1">
      <c r="A136" s="45"/>
      <c r="B136" s="45"/>
      <c r="C136" s="45"/>
      <c r="D136" s="45"/>
      <c r="E136" s="45"/>
      <c r="F136" s="45"/>
      <c r="G136" s="45"/>
      <c r="H136" s="45"/>
      <c r="I136" s="45"/>
      <c r="J136" s="45"/>
      <c r="K136" s="45"/>
    </row>
    <row r="137" spans="1:11" ht="15.75" customHeight="1">
      <c r="A137" s="45"/>
      <c r="B137" s="45"/>
      <c r="C137" s="45"/>
      <c r="D137" s="45"/>
      <c r="E137" s="45"/>
      <c r="F137" s="45"/>
      <c r="G137" s="45"/>
      <c r="H137" s="45"/>
      <c r="I137" s="45"/>
      <c r="J137" s="45"/>
      <c r="K137" s="45"/>
    </row>
    <row r="138" spans="1:11" ht="15.75" customHeight="1">
      <c r="A138" s="45"/>
      <c r="B138" s="45"/>
      <c r="C138" s="45"/>
      <c r="D138" s="45"/>
      <c r="E138" s="45"/>
      <c r="F138" s="45"/>
      <c r="G138" s="45"/>
      <c r="H138" s="45"/>
      <c r="I138" s="45"/>
      <c r="J138" s="45"/>
      <c r="K138" s="45"/>
    </row>
    <row r="139" spans="1:11" ht="15.75" customHeight="1">
      <c r="A139" s="45"/>
      <c r="B139" s="45"/>
      <c r="C139" s="45"/>
      <c r="D139" s="45"/>
      <c r="E139" s="45"/>
      <c r="F139" s="45"/>
      <c r="G139" s="45"/>
      <c r="H139" s="45"/>
      <c r="I139" s="45"/>
      <c r="J139" s="45"/>
      <c r="K139" s="45"/>
    </row>
    <row r="140" spans="1:11" ht="15.75" customHeight="1">
      <c r="A140" s="45"/>
      <c r="B140" s="45"/>
      <c r="C140" s="45"/>
      <c r="D140" s="45"/>
      <c r="E140" s="45"/>
      <c r="F140" s="45"/>
      <c r="G140" s="45"/>
      <c r="H140" s="45"/>
      <c r="I140" s="45"/>
      <c r="J140" s="45"/>
      <c r="K140" s="45"/>
    </row>
    <row r="141" spans="1:11" ht="15.75" customHeight="1">
      <c r="A141" s="45"/>
      <c r="B141" s="45"/>
      <c r="C141" s="45"/>
      <c r="D141" s="45"/>
      <c r="E141" s="45"/>
      <c r="F141" s="45"/>
      <c r="G141" s="45"/>
      <c r="H141" s="45"/>
      <c r="I141" s="45"/>
      <c r="J141" s="45"/>
      <c r="K141" s="45"/>
    </row>
    <row r="142" spans="1:11" ht="15.75" customHeight="1">
      <c r="A142" s="45"/>
      <c r="B142" s="45"/>
      <c r="C142" s="45"/>
      <c r="D142" s="45"/>
      <c r="E142" s="45"/>
      <c r="F142" s="45"/>
      <c r="G142" s="45"/>
      <c r="H142" s="45"/>
      <c r="I142" s="45"/>
      <c r="J142" s="45"/>
      <c r="K142" s="45"/>
    </row>
    <row r="143" spans="1:11" ht="15.75" customHeight="1">
      <c r="A143" s="45"/>
      <c r="B143" s="45"/>
      <c r="C143" s="45"/>
      <c r="D143" s="45"/>
      <c r="E143" s="45"/>
      <c r="F143" s="45"/>
      <c r="G143" s="45"/>
      <c r="H143" s="45"/>
      <c r="I143" s="45"/>
      <c r="J143" s="45"/>
      <c r="K143" s="45"/>
    </row>
    <row r="144" spans="1:11" ht="15.75" customHeight="1">
      <c r="A144" s="45"/>
      <c r="B144" s="45"/>
      <c r="C144" s="45"/>
      <c r="D144" s="45"/>
      <c r="E144" s="45"/>
      <c r="F144" s="45"/>
      <c r="G144" s="45"/>
      <c r="H144" s="45"/>
      <c r="I144" s="45"/>
      <c r="J144" s="45"/>
      <c r="K144" s="45"/>
    </row>
    <row r="145" spans="1:11" ht="15.75" customHeight="1">
      <c r="A145" s="45"/>
      <c r="B145" s="45"/>
      <c r="C145" s="45"/>
      <c r="D145" s="45"/>
      <c r="E145" s="45"/>
      <c r="F145" s="45"/>
      <c r="G145" s="45"/>
      <c r="H145" s="45"/>
      <c r="I145" s="45"/>
      <c r="J145" s="45"/>
      <c r="K145" s="45"/>
    </row>
    <row r="146" spans="1:11" ht="15.75" customHeight="1">
      <c r="A146" s="45"/>
      <c r="B146" s="45"/>
      <c r="C146" s="45"/>
      <c r="D146" s="45"/>
      <c r="E146" s="45"/>
      <c r="F146" s="45"/>
      <c r="G146" s="45"/>
      <c r="H146" s="45"/>
      <c r="I146" s="45"/>
      <c r="J146" s="45"/>
      <c r="K146" s="45"/>
    </row>
    <row r="147" spans="1:11" ht="15.75" customHeight="1">
      <c r="A147" s="45"/>
      <c r="B147" s="45"/>
      <c r="C147" s="45"/>
      <c r="D147" s="45"/>
      <c r="E147" s="45"/>
      <c r="F147" s="45"/>
      <c r="G147" s="45"/>
      <c r="H147" s="45"/>
      <c r="I147" s="45"/>
      <c r="J147" s="45"/>
      <c r="K147" s="45"/>
    </row>
    <row r="148" spans="1:11" ht="15.75" customHeight="1">
      <c r="A148" s="45"/>
      <c r="B148" s="45"/>
      <c r="C148" s="45"/>
      <c r="D148" s="45"/>
      <c r="E148" s="45"/>
      <c r="F148" s="45"/>
      <c r="G148" s="45"/>
      <c r="H148" s="45"/>
      <c r="I148" s="45"/>
      <c r="J148" s="45"/>
      <c r="K148" s="45"/>
    </row>
    <row r="149" spans="1:11" ht="15.75" customHeight="1">
      <c r="A149" s="45"/>
      <c r="B149" s="45"/>
      <c r="C149" s="45"/>
      <c r="D149" s="45"/>
      <c r="E149" s="45"/>
      <c r="F149" s="45"/>
      <c r="G149" s="45"/>
      <c r="H149" s="45"/>
      <c r="I149" s="45"/>
      <c r="J149" s="45"/>
      <c r="K149" s="45"/>
    </row>
    <row r="150" spans="1:11" ht="15.75" customHeight="1">
      <c r="A150" s="45"/>
      <c r="B150" s="45"/>
      <c r="C150" s="45"/>
      <c r="D150" s="45"/>
      <c r="E150" s="45"/>
      <c r="F150" s="45"/>
      <c r="G150" s="45"/>
      <c r="H150" s="45"/>
      <c r="I150" s="45"/>
      <c r="J150" s="45"/>
      <c r="K150" s="45"/>
    </row>
    <row r="151" spans="1:11" ht="15.75" customHeight="1">
      <c r="A151" s="45"/>
      <c r="B151" s="45"/>
      <c r="C151" s="45"/>
      <c r="D151" s="45"/>
      <c r="E151" s="45"/>
      <c r="F151" s="45"/>
      <c r="G151" s="45"/>
      <c r="H151" s="45"/>
      <c r="I151" s="45"/>
      <c r="J151" s="45"/>
      <c r="K151" s="45"/>
    </row>
    <row r="152" spans="1:11" ht="15.75" customHeight="1">
      <c r="A152" s="45"/>
      <c r="B152" s="45"/>
      <c r="C152" s="45"/>
      <c r="D152" s="45"/>
      <c r="E152" s="45"/>
      <c r="F152" s="45"/>
      <c r="G152" s="45"/>
      <c r="H152" s="45"/>
      <c r="I152" s="45"/>
      <c r="J152" s="45"/>
      <c r="K152" s="45"/>
    </row>
    <row r="153" spans="1:11" ht="15.75" customHeight="1">
      <c r="A153" s="45"/>
      <c r="B153" s="45"/>
      <c r="C153" s="45"/>
      <c r="D153" s="45"/>
      <c r="E153" s="45"/>
      <c r="F153" s="45"/>
      <c r="G153" s="45"/>
      <c r="H153" s="45"/>
      <c r="I153" s="45"/>
      <c r="J153" s="45"/>
      <c r="K153" s="45"/>
    </row>
    <row r="154" spans="1:11" ht="15.75" customHeight="1">
      <c r="A154" s="45"/>
      <c r="B154" s="45"/>
      <c r="C154" s="45"/>
      <c r="D154" s="45"/>
      <c r="E154" s="45"/>
      <c r="F154" s="45"/>
      <c r="G154" s="45"/>
      <c r="H154" s="45"/>
      <c r="I154" s="45"/>
      <c r="J154" s="45"/>
      <c r="K154" s="45"/>
    </row>
    <row r="155" spans="1:11" ht="15.75" customHeight="1">
      <c r="A155" s="45"/>
      <c r="B155" s="45"/>
      <c r="C155" s="45"/>
      <c r="D155" s="45"/>
      <c r="E155" s="45"/>
      <c r="F155" s="45"/>
      <c r="G155" s="45"/>
      <c r="H155" s="45"/>
      <c r="I155" s="45"/>
      <c r="J155" s="45"/>
      <c r="K155" s="45"/>
    </row>
    <row r="156" spans="1:11" ht="15.75" customHeight="1">
      <c r="A156" s="45"/>
      <c r="B156" s="45"/>
      <c r="C156" s="45"/>
      <c r="D156" s="45"/>
      <c r="E156" s="45"/>
      <c r="F156" s="45"/>
      <c r="G156" s="45"/>
      <c r="H156" s="45"/>
      <c r="I156" s="45"/>
      <c r="J156" s="45"/>
      <c r="K156" s="45"/>
    </row>
    <row r="157" spans="1:11" ht="15.75" customHeight="1">
      <c r="A157" s="45"/>
      <c r="B157" s="45"/>
      <c r="C157" s="45"/>
      <c r="D157" s="45"/>
      <c r="E157" s="45"/>
      <c r="F157" s="45"/>
      <c r="G157" s="45"/>
      <c r="H157" s="45"/>
      <c r="I157" s="45"/>
      <c r="J157" s="45"/>
      <c r="K157" s="45"/>
    </row>
    <row r="158" spans="1:11" ht="15.75" customHeight="1">
      <c r="A158" s="45"/>
      <c r="B158" s="45"/>
      <c r="C158" s="45"/>
      <c r="D158" s="45"/>
      <c r="E158" s="45"/>
      <c r="F158" s="45"/>
      <c r="G158" s="45"/>
      <c r="H158" s="45"/>
      <c r="I158" s="45"/>
      <c r="J158" s="45"/>
      <c r="K158" s="45"/>
    </row>
    <row r="159" spans="1:11" ht="15.75" customHeight="1">
      <c r="A159" s="45"/>
      <c r="B159" s="45"/>
      <c r="C159" s="45"/>
      <c r="D159" s="45"/>
      <c r="E159" s="45"/>
      <c r="F159" s="45"/>
      <c r="G159" s="45"/>
      <c r="H159" s="45"/>
      <c r="I159" s="45"/>
      <c r="J159" s="45"/>
      <c r="K159" s="45"/>
    </row>
    <row r="160" spans="1:11" ht="15.75" customHeight="1">
      <c r="A160" s="45"/>
      <c r="B160" s="45"/>
      <c r="C160" s="45"/>
      <c r="D160" s="45"/>
      <c r="E160" s="45"/>
      <c r="F160" s="45"/>
      <c r="G160" s="45"/>
      <c r="H160" s="45"/>
      <c r="I160" s="45"/>
      <c r="J160" s="45"/>
      <c r="K160" s="45"/>
    </row>
    <row r="161" spans="1:11" ht="15.75" customHeight="1">
      <c r="A161" s="45"/>
      <c r="B161" s="45"/>
      <c r="C161" s="45"/>
      <c r="D161" s="45"/>
      <c r="E161" s="45"/>
      <c r="F161" s="45"/>
      <c r="G161" s="45"/>
      <c r="H161" s="45"/>
      <c r="I161" s="45"/>
      <c r="J161" s="45"/>
      <c r="K161" s="45"/>
    </row>
    <row r="162" spans="1:11" ht="15.75" customHeight="1">
      <c r="A162" s="45"/>
      <c r="B162" s="45"/>
      <c r="C162" s="45"/>
      <c r="D162" s="45"/>
      <c r="E162" s="45"/>
      <c r="F162" s="45"/>
      <c r="G162" s="45"/>
      <c r="H162" s="45"/>
      <c r="I162" s="45"/>
      <c r="J162" s="45"/>
      <c r="K162" s="45"/>
    </row>
    <row r="163" spans="1:11" ht="15.75" customHeight="1">
      <c r="A163" s="45"/>
      <c r="B163" s="45"/>
      <c r="C163" s="45"/>
      <c r="D163" s="45"/>
      <c r="E163" s="45"/>
      <c r="F163" s="45"/>
      <c r="G163" s="45"/>
      <c r="H163" s="45"/>
      <c r="I163" s="45"/>
      <c r="J163" s="45"/>
      <c r="K163" s="45"/>
    </row>
    <row r="164" spans="1:11" ht="15.75" customHeight="1">
      <c r="A164" s="45"/>
      <c r="B164" s="45"/>
      <c r="C164" s="45"/>
      <c r="D164" s="45"/>
      <c r="E164" s="45"/>
      <c r="F164" s="45"/>
      <c r="G164" s="45"/>
      <c r="H164" s="45"/>
      <c r="I164" s="45"/>
      <c r="J164" s="45"/>
      <c r="K164" s="45"/>
    </row>
    <row r="165" spans="1:11" ht="15.75" customHeight="1">
      <c r="A165" s="45"/>
      <c r="B165" s="45"/>
      <c r="C165" s="45"/>
      <c r="D165" s="45"/>
      <c r="E165" s="45"/>
      <c r="F165" s="45"/>
      <c r="G165" s="45"/>
      <c r="H165" s="45"/>
      <c r="I165" s="45"/>
      <c r="J165" s="45"/>
      <c r="K165" s="45"/>
    </row>
    <row r="166" spans="1:11" ht="15.75" customHeight="1">
      <c r="A166" s="45"/>
      <c r="B166" s="45"/>
      <c r="C166" s="45"/>
      <c r="D166" s="45"/>
      <c r="E166" s="45"/>
      <c r="F166" s="45"/>
      <c r="G166" s="45"/>
      <c r="H166" s="45"/>
      <c r="I166" s="45"/>
      <c r="J166" s="45"/>
      <c r="K166" s="45"/>
    </row>
    <row r="167" spans="1:11" ht="15.75" customHeight="1">
      <c r="A167" s="45"/>
      <c r="B167" s="45"/>
      <c r="C167" s="45"/>
      <c r="D167" s="45"/>
      <c r="E167" s="45"/>
      <c r="F167" s="45"/>
      <c r="G167" s="45"/>
      <c r="H167" s="45"/>
      <c r="I167" s="45"/>
      <c r="J167" s="45"/>
      <c r="K167" s="45"/>
    </row>
    <row r="168" spans="1:11" ht="15.75" customHeight="1">
      <c r="A168" s="45"/>
      <c r="B168" s="45"/>
      <c r="C168" s="45"/>
      <c r="D168" s="45"/>
      <c r="E168" s="45"/>
      <c r="F168" s="45"/>
      <c r="G168" s="45"/>
      <c r="H168" s="45"/>
      <c r="I168" s="45"/>
      <c r="J168" s="45"/>
      <c r="K168" s="45"/>
    </row>
    <row r="169" spans="1:11" ht="15.75" customHeight="1">
      <c r="A169" s="45"/>
      <c r="B169" s="45"/>
      <c r="C169" s="45"/>
      <c r="D169" s="45"/>
      <c r="E169" s="45"/>
      <c r="F169" s="45"/>
      <c r="G169" s="45"/>
      <c r="H169" s="45"/>
      <c r="I169" s="45"/>
      <c r="J169" s="45"/>
      <c r="K169" s="45"/>
    </row>
    <row r="170" spans="1:11" ht="15.75" customHeight="1">
      <c r="A170" s="45"/>
      <c r="B170" s="45"/>
      <c r="C170" s="45"/>
      <c r="D170" s="45"/>
      <c r="E170" s="45"/>
      <c r="F170" s="45"/>
      <c r="G170" s="45"/>
      <c r="H170" s="45"/>
      <c r="I170" s="45"/>
      <c r="J170" s="45"/>
      <c r="K170" s="45"/>
    </row>
    <row r="171" spans="1:11" ht="15.75" customHeight="1">
      <c r="A171" s="45"/>
      <c r="B171" s="45"/>
      <c r="C171" s="45"/>
      <c r="D171" s="45"/>
      <c r="E171" s="45"/>
      <c r="F171" s="45"/>
      <c r="G171" s="45"/>
      <c r="H171" s="45"/>
      <c r="I171" s="45"/>
      <c r="J171" s="45"/>
      <c r="K171" s="45"/>
    </row>
    <row r="172" spans="1:11" ht="15.75" customHeight="1">
      <c r="A172" s="45"/>
      <c r="B172" s="45"/>
      <c r="C172" s="45"/>
      <c r="D172" s="45"/>
      <c r="E172" s="45"/>
      <c r="F172" s="45"/>
      <c r="G172" s="45"/>
      <c r="H172" s="45"/>
      <c r="I172" s="45"/>
      <c r="J172" s="45"/>
      <c r="K172" s="45"/>
    </row>
    <row r="173" spans="1:11" ht="15.75" customHeight="1">
      <c r="A173" s="45"/>
      <c r="B173" s="45"/>
      <c r="C173" s="45"/>
      <c r="D173" s="45"/>
      <c r="E173" s="45"/>
      <c r="F173" s="45"/>
      <c r="G173" s="45"/>
      <c r="H173" s="45"/>
      <c r="I173" s="45"/>
      <c r="J173" s="45"/>
      <c r="K173" s="45"/>
    </row>
    <row r="174" spans="1:11" ht="15.75" customHeight="1">
      <c r="A174" s="45"/>
      <c r="B174" s="45"/>
      <c r="C174" s="45"/>
      <c r="D174" s="45"/>
      <c r="E174" s="45"/>
      <c r="F174" s="45"/>
      <c r="G174" s="45"/>
      <c r="H174" s="45"/>
      <c r="I174" s="45"/>
      <c r="J174" s="45"/>
      <c r="K174" s="45"/>
    </row>
    <row r="175" spans="1:11" ht="15.75" customHeight="1">
      <c r="A175" s="45"/>
      <c r="B175" s="45"/>
      <c r="C175" s="45"/>
      <c r="D175" s="45"/>
      <c r="E175" s="45"/>
      <c r="F175" s="45"/>
      <c r="G175" s="45"/>
      <c r="H175" s="45"/>
      <c r="I175" s="45"/>
      <c r="J175" s="45"/>
      <c r="K175" s="45"/>
    </row>
    <row r="176" spans="1:11" ht="15.75" customHeight="1">
      <c r="A176" s="45"/>
      <c r="B176" s="45"/>
      <c r="C176" s="45"/>
      <c r="D176" s="45"/>
      <c r="E176" s="45"/>
      <c r="F176" s="45"/>
      <c r="G176" s="45"/>
      <c r="H176" s="45"/>
      <c r="I176" s="45"/>
      <c r="J176" s="45"/>
      <c r="K176" s="45"/>
    </row>
    <row r="177" spans="1:11" ht="15.75" customHeight="1">
      <c r="A177" s="45"/>
      <c r="B177" s="45"/>
      <c r="C177" s="45"/>
      <c r="D177" s="45"/>
      <c r="E177" s="45"/>
      <c r="F177" s="45"/>
      <c r="G177" s="45"/>
      <c r="H177" s="45"/>
      <c r="I177" s="45"/>
      <c r="J177" s="45"/>
      <c r="K177" s="45"/>
    </row>
    <row r="178" spans="1:11" ht="15.75" customHeight="1">
      <c r="A178" s="45"/>
      <c r="B178" s="45"/>
      <c r="C178" s="45"/>
      <c r="D178" s="45"/>
      <c r="E178" s="45"/>
      <c r="F178" s="45"/>
      <c r="G178" s="45"/>
      <c r="H178" s="45"/>
      <c r="I178" s="45"/>
      <c r="J178" s="45"/>
      <c r="K178" s="45"/>
    </row>
    <row r="179" spans="1:11" ht="15.75" customHeight="1">
      <c r="A179" s="45"/>
      <c r="B179" s="45"/>
      <c r="C179" s="45"/>
      <c r="D179" s="45"/>
      <c r="E179" s="45"/>
      <c r="F179" s="45"/>
      <c r="G179" s="45"/>
      <c r="H179" s="45"/>
      <c r="I179" s="45"/>
      <c r="J179" s="45"/>
      <c r="K179" s="45"/>
    </row>
    <row r="180" spans="1:11" ht="15.75" customHeight="1">
      <c r="A180" s="45"/>
      <c r="B180" s="45"/>
      <c r="C180" s="45"/>
      <c r="D180" s="45"/>
      <c r="E180" s="45"/>
      <c r="F180" s="45"/>
      <c r="G180" s="45"/>
      <c r="H180" s="45"/>
      <c r="I180" s="45"/>
      <c r="J180" s="45"/>
      <c r="K180" s="45"/>
    </row>
    <row r="181" spans="1:11" ht="15.75" customHeight="1">
      <c r="A181" s="45"/>
      <c r="B181" s="45"/>
      <c r="C181" s="45"/>
      <c r="D181" s="45"/>
      <c r="E181" s="45"/>
      <c r="F181" s="45"/>
      <c r="G181" s="45"/>
      <c r="H181" s="45"/>
      <c r="I181" s="45"/>
      <c r="J181" s="45"/>
      <c r="K181" s="45"/>
    </row>
    <row r="182" spans="1:11" ht="15.75" customHeight="1">
      <c r="A182" s="45"/>
      <c r="B182" s="45"/>
      <c r="C182" s="45"/>
      <c r="D182" s="45"/>
      <c r="E182" s="45"/>
      <c r="F182" s="45"/>
      <c r="G182" s="45"/>
      <c r="H182" s="45"/>
      <c r="I182" s="45"/>
      <c r="J182" s="45"/>
      <c r="K182" s="45"/>
    </row>
    <row r="183" spans="1:11" ht="15.75" customHeight="1">
      <c r="A183" s="45"/>
      <c r="B183" s="45"/>
      <c r="C183" s="45"/>
      <c r="D183" s="45"/>
      <c r="E183" s="45"/>
      <c r="F183" s="45"/>
      <c r="G183" s="45"/>
      <c r="H183" s="45"/>
      <c r="I183" s="45"/>
      <c r="J183" s="45"/>
      <c r="K183" s="45"/>
    </row>
    <row r="184" spans="1:11" ht="15.75" customHeight="1">
      <c r="A184" s="45"/>
      <c r="B184" s="45"/>
      <c r="C184" s="45"/>
      <c r="D184" s="45"/>
      <c r="E184" s="45"/>
      <c r="F184" s="45"/>
      <c r="G184" s="45"/>
      <c r="H184" s="45"/>
      <c r="I184" s="45"/>
      <c r="J184" s="45"/>
      <c r="K184" s="45"/>
    </row>
    <row r="185" spans="1:11" ht="15.75" customHeight="1">
      <c r="A185" s="45"/>
      <c r="B185" s="45"/>
      <c r="C185" s="45"/>
      <c r="D185" s="45"/>
      <c r="E185" s="45"/>
      <c r="F185" s="45"/>
      <c r="G185" s="45"/>
      <c r="H185" s="45"/>
      <c r="I185" s="45"/>
      <c r="J185" s="45"/>
      <c r="K185" s="45"/>
    </row>
    <row r="186" spans="1:11" ht="15.75" customHeight="1">
      <c r="A186" s="45"/>
      <c r="B186" s="45"/>
      <c r="C186" s="45"/>
      <c r="D186" s="45"/>
      <c r="E186" s="45"/>
      <c r="F186" s="45"/>
      <c r="G186" s="45"/>
      <c r="H186" s="45"/>
      <c r="I186" s="45"/>
      <c r="J186" s="45"/>
      <c r="K186" s="45"/>
    </row>
    <row r="187" spans="1:11" ht="15.75" customHeight="1">
      <c r="A187" s="45"/>
      <c r="B187" s="45"/>
      <c r="C187" s="45"/>
      <c r="D187" s="45"/>
      <c r="E187" s="45"/>
      <c r="F187" s="45"/>
      <c r="G187" s="45"/>
      <c r="H187" s="45"/>
      <c r="I187" s="45"/>
      <c r="J187" s="45"/>
      <c r="K187" s="45"/>
    </row>
    <row r="188" spans="1:11" ht="15.75" customHeight="1">
      <c r="A188" s="45"/>
      <c r="B188" s="45"/>
      <c r="C188" s="45"/>
      <c r="D188" s="45"/>
      <c r="E188" s="45"/>
      <c r="F188" s="45"/>
      <c r="G188" s="45"/>
      <c r="H188" s="45"/>
      <c r="I188" s="45"/>
      <c r="J188" s="45"/>
      <c r="K188" s="45"/>
    </row>
    <row r="189" spans="1:11" ht="15.75" customHeight="1">
      <c r="A189" s="45"/>
      <c r="B189" s="45"/>
      <c r="C189" s="45"/>
      <c r="D189" s="45"/>
      <c r="E189" s="45"/>
      <c r="F189" s="45"/>
      <c r="G189" s="45"/>
      <c r="H189" s="45"/>
      <c r="I189" s="45"/>
      <c r="J189" s="45"/>
      <c r="K189" s="45"/>
    </row>
    <row r="190" spans="1:11" ht="15.75" customHeight="1">
      <c r="A190" s="45"/>
      <c r="B190" s="45"/>
      <c r="C190" s="45"/>
      <c r="D190" s="45"/>
      <c r="E190" s="45"/>
      <c r="F190" s="45"/>
      <c r="G190" s="45"/>
      <c r="H190" s="45"/>
      <c r="I190" s="45"/>
      <c r="J190" s="45"/>
      <c r="K190" s="45"/>
    </row>
    <row r="191" spans="1:11" ht="15.75" customHeight="1">
      <c r="A191" s="45"/>
      <c r="B191" s="45"/>
      <c r="C191" s="45"/>
      <c r="D191" s="45"/>
      <c r="E191" s="45"/>
      <c r="F191" s="45"/>
      <c r="G191" s="45"/>
      <c r="H191" s="45"/>
      <c r="I191" s="45"/>
      <c r="J191" s="45"/>
      <c r="K191" s="45"/>
    </row>
    <row r="192" spans="1:11" ht="15.75" customHeight="1">
      <c r="A192" s="45"/>
      <c r="B192" s="45"/>
      <c r="C192" s="45"/>
      <c r="D192" s="45"/>
      <c r="E192" s="45"/>
      <c r="F192" s="45"/>
      <c r="G192" s="45"/>
      <c r="H192" s="45"/>
      <c r="I192" s="45"/>
      <c r="J192" s="45"/>
      <c r="K192" s="45"/>
    </row>
    <row r="193" spans="1:11" ht="15.75" customHeight="1">
      <c r="A193" s="45"/>
      <c r="B193" s="45"/>
      <c r="C193" s="45"/>
      <c r="D193" s="45"/>
      <c r="E193" s="45"/>
      <c r="F193" s="45"/>
      <c r="G193" s="45"/>
      <c r="H193" s="45"/>
      <c r="I193" s="45"/>
      <c r="J193" s="45"/>
      <c r="K193" s="45"/>
    </row>
    <row r="194" spans="1:11" ht="15.75" customHeight="1">
      <c r="A194" s="45"/>
      <c r="B194" s="45"/>
      <c r="C194" s="45"/>
      <c r="D194" s="45"/>
      <c r="E194" s="45"/>
      <c r="F194" s="45"/>
      <c r="G194" s="45"/>
      <c r="H194" s="45"/>
      <c r="I194" s="45"/>
      <c r="J194" s="45"/>
      <c r="K194" s="45"/>
    </row>
    <row r="195" spans="1:11" ht="15.75" customHeight="1">
      <c r="A195" s="45"/>
      <c r="B195" s="45"/>
      <c r="C195" s="45"/>
      <c r="D195" s="45"/>
      <c r="E195" s="45"/>
      <c r="F195" s="45"/>
      <c r="G195" s="45"/>
      <c r="H195" s="45"/>
      <c r="I195" s="45"/>
      <c r="J195" s="45"/>
      <c r="K195" s="45"/>
    </row>
    <row r="196" spans="1:11" ht="15.75" customHeight="1">
      <c r="A196" s="45"/>
      <c r="B196" s="45"/>
      <c r="C196" s="45"/>
      <c r="D196" s="45"/>
      <c r="E196" s="45"/>
      <c r="F196" s="45"/>
      <c r="G196" s="45"/>
      <c r="H196" s="45"/>
      <c r="I196" s="45"/>
      <c r="J196" s="45"/>
      <c r="K196" s="45"/>
    </row>
    <row r="197" spans="1:11" ht="15.75" customHeight="1">
      <c r="A197" s="45"/>
      <c r="B197" s="45"/>
      <c r="C197" s="45"/>
      <c r="D197" s="45"/>
      <c r="E197" s="45"/>
      <c r="F197" s="45"/>
      <c r="G197" s="45"/>
      <c r="H197" s="45"/>
      <c r="I197" s="45"/>
      <c r="J197" s="45"/>
      <c r="K197" s="45"/>
    </row>
    <row r="198" spans="1:11" ht="15.75" customHeight="1">
      <c r="A198" s="45"/>
      <c r="B198" s="45"/>
      <c r="C198" s="45"/>
      <c r="D198" s="45"/>
      <c r="E198" s="45"/>
      <c r="F198" s="45"/>
      <c r="G198" s="45"/>
      <c r="H198" s="45"/>
      <c r="I198" s="45"/>
      <c r="J198" s="45"/>
      <c r="K198" s="45"/>
    </row>
    <row r="199" spans="1:11" ht="15.75" customHeight="1">
      <c r="A199" s="45"/>
      <c r="B199" s="45"/>
      <c r="C199" s="45"/>
      <c r="D199" s="45"/>
      <c r="E199" s="45"/>
      <c r="F199" s="45"/>
      <c r="G199" s="45"/>
      <c r="H199" s="45"/>
      <c r="I199" s="45"/>
      <c r="J199" s="45"/>
      <c r="K199" s="45"/>
    </row>
    <row r="200" spans="1:11" ht="15.75" customHeight="1">
      <c r="A200" s="45"/>
      <c r="B200" s="45"/>
      <c r="C200" s="45"/>
      <c r="D200" s="45"/>
      <c r="E200" s="45"/>
      <c r="F200" s="45"/>
      <c r="G200" s="45"/>
      <c r="H200" s="45"/>
      <c r="I200" s="45"/>
      <c r="J200" s="45"/>
      <c r="K200" s="45"/>
    </row>
    <row r="201" spans="1:11" ht="15.75" customHeight="1">
      <c r="A201" s="45"/>
      <c r="B201" s="45"/>
      <c r="C201" s="45"/>
      <c r="D201" s="45"/>
      <c r="E201" s="45"/>
      <c r="F201" s="45"/>
      <c r="G201" s="45"/>
      <c r="H201" s="45"/>
      <c r="I201" s="45"/>
      <c r="J201" s="45"/>
      <c r="K201" s="45"/>
    </row>
    <row r="202" spans="1:11" ht="15.75" customHeight="1">
      <c r="A202" s="45"/>
      <c r="B202" s="45"/>
      <c r="C202" s="45"/>
      <c r="D202" s="45"/>
      <c r="E202" s="45"/>
      <c r="F202" s="45"/>
      <c r="G202" s="45"/>
      <c r="H202" s="45"/>
      <c r="I202" s="45"/>
      <c r="J202" s="45"/>
      <c r="K202" s="45"/>
    </row>
    <row r="203" spans="1:11" ht="15.75" customHeight="1">
      <c r="A203" s="45"/>
      <c r="B203" s="45"/>
      <c r="C203" s="45"/>
      <c r="D203" s="45"/>
      <c r="E203" s="45"/>
      <c r="F203" s="45"/>
      <c r="G203" s="45"/>
      <c r="H203" s="45"/>
      <c r="I203" s="45"/>
      <c r="J203" s="45"/>
      <c r="K203" s="45"/>
    </row>
    <row r="204" spans="1:11" ht="15.75" customHeight="1">
      <c r="A204" s="45"/>
      <c r="B204" s="45"/>
      <c r="C204" s="45"/>
      <c r="D204" s="45"/>
      <c r="E204" s="45"/>
      <c r="F204" s="45"/>
      <c r="G204" s="45"/>
      <c r="H204" s="45"/>
      <c r="I204" s="45"/>
      <c r="J204" s="45"/>
      <c r="K204" s="45"/>
    </row>
    <row r="205" spans="1:11" ht="15.75" customHeight="1">
      <c r="A205" s="45"/>
      <c r="B205" s="45"/>
      <c r="C205" s="45"/>
      <c r="D205" s="45"/>
      <c r="E205" s="45"/>
      <c r="F205" s="45"/>
      <c r="G205" s="45"/>
      <c r="H205" s="45"/>
      <c r="I205" s="45"/>
      <c r="J205" s="45"/>
      <c r="K205" s="45"/>
    </row>
    <row r="206" spans="1:11" ht="15.75" customHeight="1">
      <c r="A206" s="45"/>
      <c r="B206" s="45"/>
      <c r="C206" s="45"/>
      <c r="D206" s="45"/>
      <c r="E206" s="45"/>
      <c r="F206" s="45"/>
      <c r="G206" s="45"/>
      <c r="H206" s="45"/>
      <c r="I206" s="45"/>
      <c r="J206" s="45"/>
      <c r="K206" s="45"/>
    </row>
    <row r="207" spans="1:11" ht="15.75" customHeight="1">
      <c r="A207" s="45"/>
      <c r="B207" s="45"/>
      <c r="C207" s="45"/>
      <c r="D207" s="45"/>
      <c r="E207" s="45"/>
      <c r="F207" s="45"/>
      <c r="G207" s="45"/>
      <c r="H207" s="45"/>
      <c r="I207" s="45"/>
      <c r="J207" s="45"/>
      <c r="K207" s="45"/>
    </row>
    <row r="208" spans="1:11" ht="15.75" customHeight="1">
      <c r="A208" s="45"/>
      <c r="B208" s="45"/>
      <c r="C208" s="45"/>
      <c r="D208" s="45"/>
      <c r="E208" s="45"/>
      <c r="F208" s="45"/>
      <c r="G208" s="45"/>
      <c r="H208" s="45"/>
      <c r="I208" s="45"/>
      <c r="J208" s="45"/>
      <c r="K208" s="45"/>
    </row>
    <row r="209" spans="1:11" ht="15.75" customHeight="1">
      <c r="A209" s="45"/>
      <c r="B209" s="45"/>
      <c r="C209" s="45"/>
      <c r="D209" s="45"/>
      <c r="E209" s="45"/>
      <c r="F209" s="45"/>
      <c r="G209" s="45"/>
      <c r="H209" s="45"/>
      <c r="I209" s="45"/>
      <c r="J209" s="45"/>
      <c r="K209" s="45"/>
    </row>
    <row r="210" spans="1:11" ht="15.75" customHeight="1">
      <c r="A210" s="45"/>
      <c r="B210" s="45"/>
      <c r="C210" s="45"/>
      <c r="D210" s="45"/>
      <c r="E210" s="45"/>
      <c r="F210" s="45"/>
      <c r="G210" s="45"/>
      <c r="H210" s="45"/>
      <c r="I210" s="45"/>
      <c r="J210" s="45"/>
      <c r="K210" s="45"/>
    </row>
    <row r="211" spans="1:11" ht="15.75" customHeight="1">
      <c r="A211" s="45"/>
      <c r="B211" s="45"/>
      <c r="C211" s="45"/>
      <c r="D211" s="45"/>
      <c r="E211" s="45"/>
      <c r="F211" s="45"/>
      <c r="G211" s="45"/>
      <c r="H211" s="45"/>
      <c r="I211" s="45"/>
      <c r="J211" s="45"/>
      <c r="K211" s="45"/>
    </row>
    <row r="212" spans="1:11" ht="15.75" customHeight="1">
      <c r="A212" s="45"/>
      <c r="B212" s="45"/>
      <c r="C212" s="45"/>
      <c r="D212" s="45"/>
      <c r="E212" s="45"/>
      <c r="F212" s="45"/>
      <c r="G212" s="45"/>
      <c r="H212" s="45"/>
      <c r="I212" s="45"/>
      <c r="J212" s="45"/>
      <c r="K212" s="45"/>
    </row>
    <row r="213" spans="1:11" ht="15.75" customHeight="1">
      <c r="A213" s="45"/>
      <c r="B213" s="45"/>
      <c r="C213" s="45"/>
      <c r="D213" s="45"/>
      <c r="E213" s="45"/>
      <c r="F213" s="45"/>
      <c r="G213" s="45"/>
      <c r="H213" s="45"/>
      <c r="I213" s="45"/>
      <c r="J213" s="45"/>
      <c r="K213" s="45"/>
    </row>
    <row r="214" spans="1:11" ht="15.75" customHeight="1">
      <c r="A214" s="45"/>
      <c r="B214" s="45"/>
      <c r="C214" s="45"/>
      <c r="D214" s="45"/>
      <c r="E214" s="45"/>
      <c r="F214" s="45"/>
      <c r="G214" s="45"/>
      <c r="H214" s="45"/>
      <c r="I214" s="45"/>
      <c r="J214" s="45"/>
      <c r="K214" s="45"/>
    </row>
    <row r="215" spans="1:11" ht="15.75" customHeight="1">
      <c r="A215" s="45"/>
      <c r="B215" s="45"/>
      <c r="C215" s="45"/>
      <c r="D215" s="45"/>
      <c r="E215" s="45"/>
      <c r="F215" s="45"/>
      <c r="G215" s="45"/>
      <c r="H215" s="45"/>
      <c r="I215" s="45"/>
      <c r="J215" s="45"/>
      <c r="K215" s="45"/>
    </row>
    <row r="216" spans="1:11" ht="15.75" customHeight="1">
      <c r="A216" s="45"/>
      <c r="B216" s="45"/>
      <c r="C216" s="45"/>
      <c r="D216" s="45"/>
      <c r="E216" s="45"/>
      <c r="F216" s="45"/>
      <c r="G216" s="45"/>
      <c r="H216" s="45"/>
      <c r="I216" s="45"/>
      <c r="J216" s="45"/>
      <c r="K216" s="45"/>
    </row>
    <row r="217" spans="1:11" ht="15.75" customHeight="1">
      <c r="A217" s="45"/>
      <c r="B217" s="45"/>
      <c r="C217" s="45"/>
      <c r="D217" s="45"/>
      <c r="E217" s="45"/>
      <c r="F217" s="45"/>
      <c r="G217" s="45"/>
      <c r="H217" s="45"/>
      <c r="I217" s="45"/>
      <c r="J217" s="45"/>
      <c r="K217" s="45"/>
    </row>
    <row r="218" spans="1:11" ht="15.75" customHeight="1">
      <c r="A218" s="45"/>
      <c r="B218" s="45"/>
      <c r="C218" s="45"/>
      <c r="D218" s="45"/>
      <c r="E218" s="45"/>
      <c r="F218" s="45"/>
      <c r="G218" s="45"/>
      <c r="H218" s="45"/>
      <c r="I218" s="45"/>
      <c r="J218" s="45"/>
      <c r="K218" s="45"/>
    </row>
    <row r="219" spans="1:11" ht="15.75" customHeight="1">
      <c r="A219" s="45"/>
      <c r="B219" s="45"/>
      <c r="C219" s="45"/>
      <c r="D219" s="45"/>
      <c r="E219" s="45"/>
      <c r="F219" s="45"/>
      <c r="G219" s="45"/>
      <c r="H219" s="45"/>
      <c r="I219" s="45"/>
      <c r="J219" s="45"/>
      <c r="K219" s="45"/>
    </row>
    <row r="220" spans="1:11" ht="15.75" customHeight="1"/>
    <row r="221" spans="1:11" ht="15.75" customHeight="1"/>
    <row r="222" spans="1:11" ht="15.75" customHeight="1"/>
    <row r="223" spans="1:11" ht="15.75" customHeight="1"/>
    <row r="224" spans="1: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D2:E2"/>
    <mergeCell ref="D3:E3"/>
    <mergeCell ref="A4:B4"/>
    <mergeCell ref="A1:K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E998"/>
  <sheetViews>
    <sheetView showGridLines="0" topLeftCell="H1" workbookViewId="0">
      <selection activeCell="P14" sqref="P14"/>
    </sheetView>
  </sheetViews>
  <sheetFormatPr defaultColWidth="12.6328125" defaultRowHeight="15" customHeight="1" outlineLevelCol="1"/>
  <cols>
    <col min="1" max="6" width="6" hidden="1" customWidth="1" outlineLevel="1"/>
    <col min="7" max="7" width="3" hidden="1" customWidth="1" outlineLevel="1"/>
    <col min="8" max="8" width="16.6328125" customWidth="1" collapsed="1"/>
    <col min="9" max="9" width="15.36328125" customWidth="1"/>
    <col min="10" max="11" width="6.6328125" customWidth="1"/>
    <col min="12" max="12" width="29.26953125" customWidth="1"/>
    <col min="13" max="13" width="7.6328125" customWidth="1"/>
    <col min="14" max="14" width="8" customWidth="1"/>
    <col min="15" max="15" width="13.453125" customWidth="1"/>
    <col min="16" max="16" width="17.453125" customWidth="1"/>
    <col min="17" max="17" width="7.08984375" customWidth="1"/>
    <col min="18" max="29" width="4" customWidth="1"/>
    <col min="30" max="31" width="7.08984375" customWidth="1"/>
    <col min="32" max="43" width="4.26953125" customWidth="1"/>
    <col min="44" max="46" width="7.08984375" customWidth="1"/>
    <col min="47" max="58" width="4.08984375" customWidth="1"/>
    <col min="59" max="61" width="7.08984375" customWidth="1"/>
    <col min="62" max="73" width="3.90625" customWidth="1"/>
    <col min="74" max="76" width="7.08984375" customWidth="1"/>
    <col min="77" max="88" width="4" customWidth="1"/>
    <col min="89" max="91" width="7.08984375" customWidth="1"/>
    <col min="92" max="103" width="3.36328125" customWidth="1"/>
    <col min="104" max="106" width="7.08984375" customWidth="1"/>
    <col min="107" max="118" width="3.6328125" customWidth="1"/>
    <col min="119" max="121" width="7.08984375" customWidth="1"/>
    <col min="122" max="133" width="3.7265625" customWidth="1"/>
    <col min="134" max="135" width="7.08984375" customWidth="1"/>
  </cols>
  <sheetData>
    <row r="1" spans="1:135" ht="16.5" customHeight="1">
      <c r="H1" s="422" t="s">
        <v>123</v>
      </c>
      <c r="I1" s="423"/>
      <c r="J1" s="423"/>
      <c r="K1" s="423"/>
      <c r="L1" s="423"/>
      <c r="M1" s="423"/>
      <c r="N1" s="423"/>
      <c r="O1" s="423"/>
      <c r="P1" s="397"/>
      <c r="Q1" s="424" t="s">
        <v>124</v>
      </c>
      <c r="R1" s="425"/>
      <c r="S1" s="425"/>
      <c r="T1" s="425"/>
      <c r="U1" s="425"/>
      <c r="V1" s="425"/>
      <c r="W1" s="425"/>
      <c r="X1" s="425"/>
      <c r="Y1" s="425"/>
      <c r="Z1" s="425"/>
      <c r="AA1" s="425"/>
      <c r="AB1" s="425"/>
      <c r="AC1" s="425"/>
      <c r="AD1" s="426"/>
      <c r="AE1" s="424" t="s">
        <v>125</v>
      </c>
      <c r="AF1" s="425"/>
      <c r="AG1" s="425"/>
      <c r="AH1" s="425"/>
      <c r="AI1" s="425"/>
      <c r="AJ1" s="425"/>
      <c r="AK1" s="425"/>
      <c r="AL1" s="425"/>
      <c r="AM1" s="425"/>
      <c r="AN1" s="425"/>
      <c r="AO1" s="425"/>
      <c r="AP1" s="425"/>
      <c r="AQ1" s="425"/>
      <c r="AR1" s="425"/>
      <c r="AS1" s="426"/>
      <c r="AT1" s="427" t="s">
        <v>126</v>
      </c>
      <c r="AU1" s="423"/>
      <c r="AV1" s="423"/>
      <c r="AW1" s="423"/>
      <c r="AX1" s="423"/>
      <c r="AY1" s="423"/>
      <c r="AZ1" s="423"/>
      <c r="BA1" s="423"/>
      <c r="BB1" s="423"/>
      <c r="BC1" s="423"/>
      <c r="BD1" s="423"/>
      <c r="BE1" s="423"/>
      <c r="BF1" s="423"/>
      <c r="BG1" s="423"/>
      <c r="BH1" s="397"/>
      <c r="BI1" s="427" t="s">
        <v>127</v>
      </c>
      <c r="BJ1" s="423"/>
      <c r="BK1" s="423"/>
      <c r="BL1" s="423"/>
      <c r="BM1" s="423"/>
      <c r="BN1" s="423"/>
      <c r="BO1" s="423"/>
      <c r="BP1" s="423"/>
      <c r="BQ1" s="423"/>
      <c r="BR1" s="423"/>
      <c r="BS1" s="423"/>
      <c r="BT1" s="423"/>
      <c r="BU1" s="423"/>
      <c r="BV1" s="423"/>
      <c r="BW1" s="397"/>
      <c r="BX1" s="427" t="s">
        <v>128</v>
      </c>
      <c r="BY1" s="423"/>
      <c r="BZ1" s="423"/>
      <c r="CA1" s="423"/>
      <c r="CB1" s="423"/>
      <c r="CC1" s="423"/>
      <c r="CD1" s="423"/>
      <c r="CE1" s="423"/>
      <c r="CF1" s="423"/>
      <c r="CG1" s="423"/>
      <c r="CH1" s="423"/>
      <c r="CI1" s="423"/>
      <c r="CJ1" s="423"/>
      <c r="CK1" s="423"/>
      <c r="CL1" s="397"/>
      <c r="CM1" s="427" t="s">
        <v>129</v>
      </c>
      <c r="CN1" s="423"/>
      <c r="CO1" s="423"/>
      <c r="CP1" s="423"/>
      <c r="CQ1" s="423"/>
      <c r="CR1" s="423"/>
      <c r="CS1" s="423"/>
      <c r="CT1" s="423"/>
      <c r="CU1" s="423"/>
      <c r="CV1" s="423"/>
      <c r="CW1" s="423"/>
      <c r="CX1" s="423"/>
      <c r="CY1" s="423"/>
      <c r="CZ1" s="423"/>
      <c r="DA1" s="397"/>
      <c r="DB1" s="427" t="s">
        <v>130</v>
      </c>
      <c r="DC1" s="423"/>
      <c r="DD1" s="423"/>
      <c r="DE1" s="423"/>
      <c r="DF1" s="423"/>
      <c r="DG1" s="423"/>
      <c r="DH1" s="423"/>
      <c r="DI1" s="423"/>
      <c r="DJ1" s="423"/>
      <c r="DK1" s="423"/>
      <c r="DL1" s="423"/>
      <c r="DM1" s="423"/>
      <c r="DN1" s="423"/>
      <c r="DO1" s="423"/>
      <c r="DP1" s="397"/>
      <c r="DQ1" s="427" t="s">
        <v>131</v>
      </c>
      <c r="DR1" s="423"/>
      <c r="DS1" s="423"/>
      <c r="DT1" s="423"/>
      <c r="DU1" s="423"/>
      <c r="DV1" s="423"/>
      <c r="DW1" s="423"/>
      <c r="DX1" s="423"/>
      <c r="DY1" s="423"/>
      <c r="DZ1" s="423"/>
      <c r="EA1" s="423"/>
      <c r="EB1" s="423"/>
      <c r="EC1" s="423"/>
      <c r="ED1" s="423"/>
      <c r="EE1" s="397"/>
    </row>
    <row r="2" spans="1:135" ht="20.25" customHeight="1">
      <c r="A2" s="150"/>
      <c r="H2" s="398"/>
      <c r="I2" s="358"/>
      <c r="J2" s="358"/>
      <c r="K2" s="358"/>
      <c r="L2" s="358"/>
      <c r="M2" s="358"/>
      <c r="N2" s="358"/>
      <c r="O2" s="358"/>
      <c r="P2" s="356"/>
      <c r="Q2" s="429" t="s">
        <v>132</v>
      </c>
      <c r="R2" s="421">
        <v>1</v>
      </c>
      <c r="S2" s="419"/>
      <c r="T2" s="420"/>
      <c r="U2" s="432">
        <v>2</v>
      </c>
      <c r="V2" s="419"/>
      <c r="W2" s="420"/>
      <c r="X2" s="428">
        <v>3</v>
      </c>
      <c r="Y2" s="419"/>
      <c r="Z2" s="420"/>
      <c r="AA2" s="418">
        <v>4</v>
      </c>
      <c r="AB2" s="419"/>
      <c r="AC2" s="420"/>
      <c r="AD2" s="433" t="s">
        <v>133</v>
      </c>
      <c r="AE2" s="429" t="s">
        <v>132</v>
      </c>
      <c r="AF2" s="421">
        <v>1</v>
      </c>
      <c r="AG2" s="419"/>
      <c r="AH2" s="420"/>
      <c r="AI2" s="432">
        <v>2</v>
      </c>
      <c r="AJ2" s="419"/>
      <c r="AK2" s="420"/>
      <c r="AL2" s="428">
        <v>3</v>
      </c>
      <c r="AM2" s="419"/>
      <c r="AN2" s="420"/>
      <c r="AO2" s="418">
        <v>4</v>
      </c>
      <c r="AP2" s="419"/>
      <c r="AQ2" s="420"/>
      <c r="AR2" s="430" t="s">
        <v>133</v>
      </c>
      <c r="AS2" s="431"/>
      <c r="AT2" s="429" t="s">
        <v>132</v>
      </c>
      <c r="AU2" s="421">
        <v>1</v>
      </c>
      <c r="AV2" s="419"/>
      <c r="AW2" s="420"/>
      <c r="AX2" s="432">
        <v>2</v>
      </c>
      <c r="AY2" s="419"/>
      <c r="AZ2" s="420"/>
      <c r="BA2" s="428">
        <v>3</v>
      </c>
      <c r="BB2" s="419"/>
      <c r="BC2" s="420"/>
      <c r="BD2" s="418">
        <v>4</v>
      </c>
      <c r="BE2" s="419"/>
      <c r="BF2" s="420"/>
      <c r="BG2" s="430" t="s">
        <v>133</v>
      </c>
      <c r="BH2" s="431"/>
      <c r="BI2" s="429" t="s">
        <v>132</v>
      </c>
      <c r="BJ2" s="421">
        <v>1</v>
      </c>
      <c r="BK2" s="419"/>
      <c r="BL2" s="420"/>
      <c r="BM2" s="432">
        <v>2</v>
      </c>
      <c r="BN2" s="419"/>
      <c r="BO2" s="420"/>
      <c r="BP2" s="428">
        <v>3</v>
      </c>
      <c r="BQ2" s="419"/>
      <c r="BR2" s="420"/>
      <c r="BS2" s="418">
        <v>4</v>
      </c>
      <c r="BT2" s="419"/>
      <c r="BU2" s="420"/>
      <c r="BV2" s="430" t="s">
        <v>133</v>
      </c>
      <c r="BW2" s="431"/>
      <c r="BX2" s="429" t="s">
        <v>132</v>
      </c>
      <c r="BY2" s="421">
        <v>1</v>
      </c>
      <c r="BZ2" s="419"/>
      <c r="CA2" s="420"/>
      <c r="CB2" s="432">
        <v>2</v>
      </c>
      <c r="CC2" s="419"/>
      <c r="CD2" s="420"/>
      <c r="CE2" s="428">
        <v>3</v>
      </c>
      <c r="CF2" s="419"/>
      <c r="CG2" s="420"/>
      <c r="CH2" s="418">
        <v>4</v>
      </c>
      <c r="CI2" s="419"/>
      <c r="CJ2" s="420"/>
      <c r="CK2" s="430" t="s">
        <v>133</v>
      </c>
      <c r="CL2" s="431"/>
      <c r="CM2" s="429" t="s">
        <v>132</v>
      </c>
      <c r="CN2" s="421">
        <v>1</v>
      </c>
      <c r="CO2" s="419"/>
      <c r="CP2" s="420"/>
      <c r="CQ2" s="432">
        <v>2</v>
      </c>
      <c r="CR2" s="419"/>
      <c r="CS2" s="420"/>
      <c r="CT2" s="428">
        <v>3</v>
      </c>
      <c r="CU2" s="419"/>
      <c r="CV2" s="420"/>
      <c r="CW2" s="418">
        <v>4</v>
      </c>
      <c r="CX2" s="419"/>
      <c r="CY2" s="420"/>
      <c r="CZ2" s="430" t="s">
        <v>133</v>
      </c>
      <c r="DA2" s="431"/>
      <c r="DB2" s="429" t="s">
        <v>132</v>
      </c>
      <c r="DC2" s="421">
        <v>1</v>
      </c>
      <c r="DD2" s="419"/>
      <c r="DE2" s="420"/>
      <c r="DF2" s="432">
        <v>2</v>
      </c>
      <c r="DG2" s="419"/>
      <c r="DH2" s="420"/>
      <c r="DI2" s="428">
        <v>3</v>
      </c>
      <c r="DJ2" s="419"/>
      <c r="DK2" s="420"/>
      <c r="DL2" s="418">
        <v>4</v>
      </c>
      <c r="DM2" s="419"/>
      <c r="DN2" s="420"/>
      <c r="DO2" s="430" t="s">
        <v>133</v>
      </c>
      <c r="DP2" s="431"/>
      <c r="DQ2" s="429" t="s">
        <v>132</v>
      </c>
      <c r="DR2" s="421">
        <v>1</v>
      </c>
      <c r="DS2" s="419"/>
      <c r="DT2" s="420"/>
      <c r="DU2" s="432">
        <v>2</v>
      </c>
      <c r="DV2" s="419"/>
      <c r="DW2" s="420"/>
      <c r="DX2" s="428">
        <v>3</v>
      </c>
      <c r="DY2" s="419"/>
      <c r="DZ2" s="420"/>
      <c r="EA2" s="418">
        <v>4</v>
      </c>
      <c r="EB2" s="419"/>
      <c r="EC2" s="420"/>
      <c r="ED2" s="430" t="s">
        <v>133</v>
      </c>
      <c r="EE2" s="431"/>
    </row>
    <row r="3" spans="1:135" ht="29.25" customHeight="1">
      <c r="A3" s="151">
        <v>1</v>
      </c>
      <c r="B3" s="152">
        <v>1</v>
      </c>
      <c r="C3" s="152">
        <v>1</v>
      </c>
      <c r="D3" s="152">
        <v>0.5</v>
      </c>
      <c r="E3" s="152">
        <v>0.5</v>
      </c>
      <c r="F3" s="153">
        <v>0.3</v>
      </c>
      <c r="G3" s="154"/>
      <c r="H3" s="155" t="s">
        <v>134</v>
      </c>
      <c r="I3" s="156" t="s">
        <v>135</v>
      </c>
      <c r="K3" s="157" t="s">
        <v>136</v>
      </c>
      <c r="L3" s="158" t="s">
        <v>137</v>
      </c>
      <c r="M3" s="159" t="s">
        <v>138</v>
      </c>
      <c r="N3" s="158" t="s">
        <v>139</v>
      </c>
      <c r="O3" s="158" t="s">
        <v>140</v>
      </c>
      <c r="P3" s="160" t="s">
        <v>141</v>
      </c>
      <c r="Q3" s="356"/>
      <c r="R3" s="161" t="s">
        <v>142</v>
      </c>
      <c r="S3" s="161" t="s">
        <v>143</v>
      </c>
      <c r="T3" s="162" t="s">
        <v>144</v>
      </c>
      <c r="U3" s="163" t="s">
        <v>142</v>
      </c>
      <c r="V3" s="163" t="s">
        <v>143</v>
      </c>
      <c r="W3" s="164" t="s">
        <v>144</v>
      </c>
      <c r="X3" s="165" t="s">
        <v>142</v>
      </c>
      <c r="Y3" s="165" t="s">
        <v>143</v>
      </c>
      <c r="Z3" s="166" t="s">
        <v>144</v>
      </c>
      <c r="AA3" s="167" t="s">
        <v>142</v>
      </c>
      <c r="AB3" s="167" t="s">
        <v>143</v>
      </c>
      <c r="AC3" s="168" t="s">
        <v>144</v>
      </c>
      <c r="AD3" s="434"/>
      <c r="AE3" s="356"/>
      <c r="AF3" s="161" t="s">
        <v>142</v>
      </c>
      <c r="AG3" s="161" t="s">
        <v>143</v>
      </c>
      <c r="AH3" s="162" t="s">
        <v>144</v>
      </c>
      <c r="AI3" s="163" t="s">
        <v>142</v>
      </c>
      <c r="AJ3" s="163" t="s">
        <v>143</v>
      </c>
      <c r="AK3" s="164" t="s">
        <v>144</v>
      </c>
      <c r="AL3" s="165" t="s">
        <v>142</v>
      </c>
      <c r="AM3" s="165" t="s">
        <v>143</v>
      </c>
      <c r="AN3" s="166" t="s">
        <v>144</v>
      </c>
      <c r="AO3" s="167" t="s">
        <v>142</v>
      </c>
      <c r="AP3" s="167" t="s">
        <v>143</v>
      </c>
      <c r="AQ3" s="168" t="s">
        <v>144</v>
      </c>
      <c r="AR3" s="169" t="s">
        <v>145</v>
      </c>
      <c r="AS3" s="170" t="s">
        <v>146</v>
      </c>
      <c r="AT3" s="356"/>
      <c r="AU3" s="161" t="s">
        <v>142</v>
      </c>
      <c r="AV3" s="161" t="s">
        <v>143</v>
      </c>
      <c r="AW3" s="162" t="s">
        <v>144</v>
      </c>
      <c r="AX3" s="163" t="s">
        <v>142</v>
      </c>
      <c r="AY3" s="163" t="s">
        <v>143</v>
      </c>
      <c r="AZ3" s="164" t="s">
        <v>144</v>
      </c>
      <c r="BA3" s="165" t="s">
        <v>142</v>
      </c>
      <c r="BB3" s="165" t="s">
        <v>143</v>
      </c>
      <c r="BC3" s="166" t="s">
        <v>144</v>
      </c>
      <c r="BD3" s="167" t="s">
        <v>142</v>
      </c>
      <c r="BE3" s="167" t="s">
        <v>143</v>
      </c>
      <c r="BF3" s="168" t="s">
        <v>144</v>
      </c>
      <c r="BG3" s="169" t="s">
        <v>145</v>
      </c>
      <c r="BH3" s="170" t="s">
        <v>146</v>
      </c>
      <c r="BI3" s="356"/>
      <c r="BJ3" s="161" t="s">
        <v>142</v>
      </c>
      <c r="BK3" s="161" t="s">
        <v>143</v>
      </c>
      <c r="BL3" s="162" t="s">
        <v>144</v>
      </c>
      <c r="BM3" s="163" t="s">
        <v>142</v>
      </c>
      <c r="BN3" s="163" t="s">
        <v>143</v>
      </c>
      <c r="BO3" s="164" t="s">
        <v>144</v>
      </c>
      <c r="BP3" s="165" t="s">
        <v>142</v>
      </c>
      <c r="BQ3" s="165" t="s">
        <v>143</v>
      </c>
      <c r="BR3" s="166" t="s">
        <v>144</v>
      </c>
      <c r="BS3" s="167" t="s">
        <v>142</v>
      </c>
      <c r="BT3" s="167" t="s">
        <v>143</v>
      </c>
      <c r="BU3" s="168" t="s">
        <v>144</v>
      </c>
      <c r="BV3" s="169" t="s">
        <v>145</v>
      </c>
      <c r="BW3" s="170" t="s">
        <v>146</v>
      </c>
      <c r="BX3" s="356"/>
      <c r="BY3" s="161" t="s">
        <v>142</v>
      </c>
      <c r="BZ3" s="161" t="s">
        <v>143</v>
      </c>
      <c r="CA3" s="162" t="s">
        <v>144</v>
      </c>
      <c r="CB3" s="163" t="s">
        <v>142</v>
      </c>
      <c r="CC3" s="163" t="s">
        <v>143</v>
      </c>
      <c r="CD3" s="164" t="s">
        <v>144</v>
      </c>
      <c r="CE3" s="165" t="s">
        <v>142</v>
      </c>
      <c r="CF3" s="165" t="s">
        <v>143</v>
      </c>
      <c r="CG3" s="166" t="s">
        <v>144</v>
      </c>
      <c r="CH3" s="167" t="s">
        <v>142</v>
      </c>
      <c r="CI3" s="167" t="s">
        <v>143</v>
      </c>
      <c r="CJ3" s="168" t="s">
        <v>144</v>
      </c>
      <c r="CK3" s="169" t="s">
        <v>145</v>
      </c>
      <c r="CL3" s="170" t="s">
        <v>146</v>
      </c>
      <c r="CM3" s="356"/>
      <c r="CN3" s="161" t="s">
        <v>142</v>
      </c>
      <c r="CO3" s="161" t="s">
        <v>143</v>
      </c>
      <c r="CP3" s="162" t="s">
        <v>144</v>
      </c>
      <c r="CQ3" s="163" t="s">
        <v>142</v>
      </c>
      <c r="CR3" s="163" t="s">
        <v>143</v>
      </c>
      <c r="CS3" s="164" t="s">
        <v>144</v>
      </c>
      <c r="CT3" s="165" t="s">
        <v>142</v>
      </c>
      <c r="CU3" s="165" t="s">
        <v>143</v>
      </c>
      <c r="CV3" s="166" t="s">
        <v>144</v>
      </c>
      <c r="CW3" s="167" t="s">
        <v>142</v>
      </c>
      <c r="CX3" s="167" t="s">
        <v>143</v>
      </c>
      <c r="CY3" s="168" t="s">
        <v>144</v>
      </c>
      <c r="CZ3" s="169" t="s">
        <v>145</v>
      </c>
      <c r="DA3" s="170" t="s">
        <v>146</v>
      </c>
      <c r="DB3" s="356"/>
      <c r="DC3" s="161" t="s">
        <v>142</v>
      </c>
      <c r="DD3" s="161" t="s">
        <v>143</v>
      </c>
      <c r="DE3" s="162" t="s">
        <v>144</v>
      </c>
      <c r="DF3" s="163" t="s">
        <v>142</v>
      </c>
      <c r="DG3" s="163" t="s">
        <v>143</v>
      </c>
      <c r="DH3" s="164" t="s">
        <v>144</v>
      </c>
      <c r="DI3" s="165" t="s">
        <v>142</v>
      </c>
      <c r="DJ3" s="165" t="s">
        <v>143</v>
      </c>
      <c r="DK3" s="166" t="s">
        <v>144</v>
      </c>
      <c r="DL3" s="167" t="s">
        <v>142</v>
      </c>
      <c r="DM3" s="167" t="s">
        <v>143</v>
      </c>
      <c r="DN3" s="168" t="s">
        <v>144</v>
      </c>
      <c r="DO3" s="169" t="s">
        <v>145</v>
      </c>
      <c r="DP3" s="170" t="s">
        <v>146</v>
      </c>
      <c r="DQ3" s="356"/>
      <c r="DR3" s="161" t="s">
        <v>142</v>
      </c>
      <c r="DS3" s="161" t="s">
        <v>143</v>
      </c>
      <c r="DT3" s="162" t="s">
        <v>144</v>
      </c>
      <c r="DU3" s="163" t="s">
        <v>142</v>
      </c>
      <c r="DV3" s="163" t="s">
        <v>143</v>
      </c>
      <c r="DW3" s="164" t="s">
        <v>144</v>
      </c>
      <c r="DX3" s="165" t="s">
        <v>142</v>
      </c>
      <c r="DY3" s="165" t="s">
        <v>143</v>
      </c>
      <c r="DZ3" s="166" t="s">
        <v>144</v>
      </c>
      <c r="EA3" s="167" t="s">
        <v>142</v>
      </c>
      <c r="EB3" s="167" t="s">
        <v>143</v>
      </c>
      <c r="EC3" s="168" t="s">
        <v>144</v>
      </c>
      <c r="ED3" s="169" t="s">
        <v>145</v>
      </c>
      <c r="EE3" s="170" t="s">
        <v>146</v>
      </c>
    </row>
    <row r="4" spans="1:135" ht="15.75" customHeight="1">
      <c r="A4" s="171" t="str">
        <f>IFERROR(VLOOKUP(L4,'Base dados Exercicios'!$C$4:$J$305,3,FALSE),"")</f>
        <v/>
      </c>
      <c r="B4" s="172" t="str">
        <f>IFERROR(VLOOKUP(L4,'Base dados Exercicios'!$C$4:$J$305,4,FALSE),"")</f>
        <v/>
      </c>
      <c r="C4" s="173" t="str">
        <f>IFERROR(VLOOKUP(L4,'Base dados Exercicios'!$C$4:$J$305,5,FALSE),"")</f>
        <v/>
      </c>
      <c r="D4" s="173" t="str">
        <f>IFERROR(VLOOKUP(L4,'Base dados Exercicios'!$C$4:$J$305,6,FALSE),"")</f>
        <v/>
      </c>
      <c r="E4" s="173" t="str">
        <f>IFERROR(VLOOKUP(L4,'Base dados Exercicios'!$C$4:$J$305,7,FALSE),"")</f>
        <v/>
      </c>
      <c r="F4" s="174" t="str">
        <f>IFERROR(VLOOKUP(L4,'Base dados Exercicios'!$C$4:$J$305,8,FALSE),"")</f>
        <v/>
      </c>
      <c r="G4" s="175"/>
      <c r="H4" s="176" t="str">
        <f>'Base dados Exercicios'!L4</f>
        <v>Biceps</v>
      </c>
      <c r="I4" s="177">
        <f t="shared" ref="I4:I16" si="0">SUMIF($A$4:$A$102,H4,$N$4:$N$102)+SUMIF($B$4:B$102,H4,$N$4:$N$102)+SUMIF($C$4:$C$102,H4,$N$4:$N$102)+(SUMIF($D$4:$D$102,H4,$N$4:$N$102)*0.5)+(SUMIF($E$4:$E$102,H4,$N$4:$N$102)*0.5)+(SUMIF($F$4:F$102,H4,$N$4:$N$102)*0.3)</f>
        <v>0</v>
      </c>
      <c r="K4" s="435">
        <v>1</v>
      </c>
      <c r="L4" s="178"/>
      <c r="M4" s="179" t="str">
        <f>IF(L4&lt;&gt;"", HYPERLINK(VLOOKUP(L4,'Base dados Exercicios'!$C$4:$D$83,2,FALSE),"Check"),"")</f>
        <v/>
      </c>
      <c r="N4" s="180"/>
      <c r="O4" s="181"/>
      <c r="P4" s="182"/>
      <c r="Q4" s="183"/>
      <c r="R4" s="184"/>
      <c r="S4" s="185"/>
      <c r="T4" s="183"/>
      <c r="U4" s="184"/>
      <c r="V4" s="185"/>
      <c r="W4" s="183"/>
      <c r="X4" s="184"/>
      <c r="Y4" s="185"/>
      <c r="Z4" s="183"/>
      <c r="AA4" s="184"/>
      <c r="AB4" s="185"/>
      <c r="AC4" s="186"/>
      <c r="AD4" s="187">
        <f t="shared" ref="AD4:AD12" si="1">(R4*S4)+(U4*V4)+(X4*Y4)+(AA4*AB4)</f>
        <v>0</v>
      </c>
      <c r="AE4" s="183"/>
      <c r="AF4" s="184"/>
      <c r="AG4" s="185"/>
      <c r="AH4" s="183"/>
      <c r="AI4" s="184"/>
      <c r="AJ4" s="185"/>
      <c r="AK4" s="183"/>
      <c r="AL4" s="184"/>
      <c r="AM4" s="185"/>
      <c r="AN4" s="183"/>
      <c r="AO4" s="184"/>
      <c r="AP4" s="185"/>
      <c r="AQ4" s="186"/>
      <c r="AR4" s="188">
        <f t="shared" ref="AR4:AR12" si="2">(AF4*AG4)+(AI4*AJ4)+(AL4*AM4)+(AO4*AP4)</f>
        <v>0</v>
      </c>
      <c r="AS4" s="187">
        <f t="shared" ref="AS4:AS12" si="3">AR4-AD4</f>
        <v>0</v>
      </c>
      <c r="AT4" s="183"/>
      <c r="AU4" s="184"/>
      <c r="AV4" s="185"/>
      <c r="AW4" s="183"/>
      <c r="AX4" s="184"/>
      <c r="AY4" s="185"/>
      <c r="AZ4" s="183"/>
      <c r="BA4" s="184"/>
      <c r="BB4" s="185"/>
      <c r="BC4" s="183"/>
      <c r="BD4" s="184"/>
      <c r="BE4" s="185"/>
      <c r="BF4" s="186"/>
      <c r="BG4" s="188">
        <f t="shared" ref="BG4:BG12" si="4">(AU4*AV4)+(AX4*AY4)+(BA4*BB4)+(BD4*BE4)</f>
        <v>0</v>
      </c>
      <c r="BH4" s="187">
        <f t="shared" ref="BH4:BH12" si="5">BG4-AR4</f>
        <v>0</v>
      </c>
      <c r="BI4" s="183"/>
      <c r="BJ4" s="184"/>
      <c r="BK4" s="185"/>
      <c r="BL4" s="183"/>
      <c r="BM4" s="184"/>
      <c r="BN4" s="185"/>
      <c r="BO4" s="183"/>
      <c r="BP4" s="184"/>
      <c r="BQ4" s="185"/>
      <c r="BR4" s="183"/>
      <c r="BS4" s="184"/>
      <c r="BT4" s="185"/>
      <c r="BU4" s="186"/>
      <c r="BV4" s="188">
        <f t="shared" ref="BV4:BV12" si="6">(BJ4*BK4)+(BM4*BN4)+(BP4*BQ4)+(BS4*BT4)</f>
        <v>0</v>
      </c>
      <c r="BW4" s="187">
        <f t="shared" ref="BW4:BW12" si="7">BV4-BG4</f>
        <v>0</v>
      </c>
      <c r="BX4" s="183"/>
      <c r="BY4" s="184"/>
      <c r="BZ4" s="185"/>
      <c r="CA4" s="183"/>
      <c r="CB4" s="184"/>
      <c r="CC4" s="185"/>
      <c r="CD4" s="183"/>
      <c r="CE4" s="184"/>
      <c r="CF4" s="185"/>
      <c r="CG4" s="183"/>
      <c r="CH4" s="184"/>
      <c r="CI4" s="185"/>
      <c r="CJ4" s="186"/>
      <c r="CK4" s="188">
        <f t="shared" ref="CK4:CK12" si="8">(BY4*BZ4)+(CB4*CC4)+(CE4*CF4)+(CH4*CI4)</f>
        <v>0</v>
      </c>
      <c r="CL4" s="187">
        <f t="shared" ref="CL4:CL12" si="9">CK4-BV4</f>
        <v>0</v>
      </c>
      <c r="CM4" s="183"/>
      <c r="CN4" s="184"/>
      <c r="CO4" s="185"/>
      <c r="CP4" s="183"/>
      <c r="CQ4" s="184"/>
      <c r="CR4" s="185"/>
      <c r="CS4" s="183"/>
      <c r="CT4" s="184"/>
      <c r="CU4" s="185"/>
      <c r="CV4" s="183"/>
      <c r="CW4" s="184"/>
      <c r="CX4" s="185"/>
      <c r="CY4" s="186"/>
      <c r="CZ4" s="188">
        <f t="shared" ref="CZ4:CZ12" si="10">(CN4*CO4)+(CQ4*CR4)+(CT4*CU4)+(CW4*CX4)</f>
        <v>0</v>
      </c>
      <c r="DA4" s="187">
        <f t="shared" ref="DA4:DA12" si="11">CZ4-CK4</f>
        <v>0</v>
      </c>
      <c r="DB4" s="183"/>
      <c r="DC4" s="184"/>
      <c r="DD4" s="185"/>
      <c r="DE4" s="183"/>
      <c r="DF4" s="184"/>
      <c r="DG4" s="185"/>
      <c r="DH4" s="183"/>
      <c r="DI4" s="184"/>
      <c r="DJ4" s="185"/>
      <c r="DK4" s="183"/>
      <c r="DL4" s="184"/>
      <c r="DM4" s="185"/>
      <c r="DN4" s="186"/>
      <c r="DO4" s="188">
        <f t="shared" ref="DO4:DO12" si="12">(DC4*DD4)+(DF4*DG4)+(DI4*DJ4)+(DL4*DM4)</f>
        <v>0</v>
      </c>
      <c r="DP4" s="187">
        <f t="shared" ref="DP4:DP12" si="13">DO4-CZ4</f>
        <v>0</v>
      </c>
      <c r="DQ4" s="183"/>
      <c r="DR4" s="184"/>
      <c r="DS4" s="185"/>
      <c r="DT4" s="183"/>
      <c r="DU4" s="184"/>
      <c r="DV4" s="185"/>
      <c r="DW4" s="183"/>
      <c r="DX4" s="184"/>
      <c r="DY4" s="185"/>
      <c r="DZ4" s="183"/>
      <c r="EA4" s="184"/>
      <c r="EB4" s="185"/>
      <c r="EC4" s="186"/>
      <c r="ED4" s="188">
        <f t="shared" ref="ED4:ED12" si="14">(DR4*DS4)+(DU4*DV4)+(DX4*DY4)+(EA4*EB4)</f>
        <v>0</v>
      </c>
      <c r="EE4" s="187">
        <f t="shared" ref="EE4:EE12" si="15">ED4-DO4</f>
        <v>0</v>
      </c>
    </row>
    <row r="5" spans="1:135" ht="15.75" customHeight="1">
      <c r="A5" s="189" t="str">
        <f>IFERROR(VLOOKUP(L5,'Base dados Exercicios'!$C$4:$J$305,3,FALSE),"")</f>
        <v/>
      </c>
      <c r="B5" s="190" t="str">
        <f>IFERROR(VLOOKUP(L5,'Base dados Exercicios'!$C$4:$J$305,4,FALSE),"")</f>
        <v/>
      </c>
      <c r="C5" s="191" t="str">
        <f>IFERROR(VLOOKUP(L5,'Base dados Exercicios'!$C$4:$J$305,5,FALSE),"")</f>
        <v/>
      </c>
      <c r="D5" s="191" t="str">
        <f>IFERROR(VLOOKUP(L5,'Base dados Exercicios'!$C$4:$J$305,6,FALSE),"")</f>
        <v/>
      </c>
      <c r="E5" s="191" t="str">
        <f>IFERROR(VLOOKUP(L5,'Base dados Exercicios'!$C$4:$J$305,7,FALSE),"")</f>
        <v/>
      </c>
      <c r="F5" s="192" t="str">
        <f>IFERROR(VLOOKUP(L5,'Base dados Exercicios'!$C$4:$J$305,8,FALSE),"")</f>
        <v/>
      </c>
      <c r="G5" s="175"/>
      <c r="H5" s="193" t="str">
        <f>'Base dados Exercicios'!L5</f>
        <v>Dorsal</v>
      </c>
      <c r="I5" s="177">
        <f t="shared" si="0"/>
        <v>0</v>
      </c>
      <c r="K5" s="436"/>
      <c r="L5" s="194"/>
      <c r="M5" s="179" t="str">
        <f>IF(L5&lt;&gt;"", HYPERLINK(VLOOKUP(L5,'Base dados Exercicios'!$C$4:$D$83,2,FALSE),"Check"),"")</f>
        <v/>
      </c>
      <c r="N5" s="195"/>
      <c r="O5" s="196"/>
      <c r="P5" s="197"/>
      <c r="Q5" s="183"/>
      <c r="R5" s="184"/>
      <c r="S5" s="185"/>
      <c r="T5" s="183"/>
      <c r="U5" s="184"/>
      <c r="V5" s="185"/>
      <c r="W5" s="183"/>
      <c r="X5" s="184"/>
      <c r="Y5" s="185"/>
      <c r="Z5" s="183"/>
      <c r="AA5" s="184"/>
      <c r="AB5" s="185"/>
      <c r="AC5" s="186"/>
      <c r="AD5" s="187">
        <f t="shared" si="1"/>
        <v>0</v>
      </c>
      <c r="AE5" s="183"/>
      <c r="AF5" s="184"/>
      <c r="AG5" s="185"/>
      <c r="AH5" s="183"/>
      <c r="AI5" s="184"/>
      <c r="AJ5" s="185"/>
      <c r="AK5" s="183"/>
      <c r="AL5" s="184"/>
      <c r="AM5" s="185"/>
      <c r="AN5" s="183"/>
      <c r="AO5" s="184"/>
      <c r="AP5" s="185"/>
      <c r="AQ5" s="186"/>
      <c r="AR5" s="188">
        <f t="shared" si="2"/>
        <v>0</v>
      </c>
      <c r="AS5" s="187">
        <f t="shared" si="3"/>
        <v>0</v>
      </c>
      <c r="AT5" s="183"/>
      <c r="AU5" s="184"/>
      <c r="AV5" s="185"/>
      <c r="AW5" s="183"/>
      <c r="AX5" s="184"/>
      <c r="AY5" s="185"/>
      <c r="AZ5" s="183"/>
      <c r="BA5" s="184"/>
      <c r="BB5" s="185"/>
      <c r="BC5" s="183"/>
      <c r="BD5" s="184"/>
      <c r="BE5" s="185"/>
      <c r="BF5" s="186"/>
      <c r="BG5" s="188">
        <f t="shared" si="4"/>
        <v>0</v>
      </c>
      <c r="BH5" s="187">
        <f t="shared" si="5"/>
        <v>0</v>
      </c>
      <c r="BI5" s="183"/>
      <c r="BJ5" s="184"/>
      <c r="BK5" s="185"/>
      <c r="BL5" s="183"/>
      <c r="BM5" s="184"/>
      <c r="BN5" s="185"/>
      <c r="BO5" s="183"/>
      <c r="BP5" s="184"/>
      <c r="BQ5" s="185"/>
      <c r="BR5" s="183"/>
      <c r="BS5" s="184"/>
      <c r="BT5" s="185"/>
      <c r="BU5" s="186"/>
      <c r="BV5" s="188">
        <f t="shared" si="6"/>
        <v>0</v>
      </c>
      <c r="BW5" s="187">
        <f t="shared" si="7"/>
        <v>0</v>
      </c>
      <c r="BX5" s="183"/>
      <c r="BY5" s="184"/>
      <c r="BZ5" s="185"/>
      <c r="CA5" s="183"/>
      <c r="CB5" s="184"/>
      <c r="CC5" s="185"/>
      <c r="CD5" s="183"/>
      <c r="CE5" s="184"/>
      <c r="CF5" s="185"/>
      <c r="CG5" s="183"/>
      <c r="CH5" s="184"/>
      <c r="CI5" s="185"/>
      <c r="CJ5" s="186"/>
      <c r="CK5" s="188">
        <f t="shared" si="8"/>
        <v>0</v>
      </c>
      <c r="CL5" s="187">
        <f t="shared" si="9"/>
        <v>0</v>
      </c>
      <c r="CM5" s="183"/>
      <c r="CN5" s="184"/>
      <c r="CO5" s="185"/>
      <c r="CP5" s="183"/>
      <c r="CQ5" s="184"/>
      <c r="CR5" s="185"/>
      <c r="CS5" s="183"/>
      <c r="CT5" s="184"/>
      <c r="CU5" s="185"/>
      <c r="CV5" s="183"/>
      <c r="CW5" s="184"/>
      <c r="CX5" s="185"/>
      <c r="CY5" s="186"/>
      <c r="CZ5" s="188">
        <f t="shared" si="10"/>
        <v>0</v>
      </c>
      <c r="DA5" s="187">
        <f t="shared" si="11"/>
        <v>0</v>
      </c>
      <c r="DB5" s="183"/>
      <c r="DC5" s="184"/>
      <c r="DD5" s="185"/>
      <c r="DE5" s="183"/>
      <c r="DF5" s="184"/>
      <c r="DG5" s="185"/>
      <c r="DH5" s="183"/>
      <c r="DI5" s="184"/>
      <c r="DJ5" s="185"/>
      <c r="DK5" s="183"/>
      <c r="DL5" s="184"/>
      <c r="DM5" s="185"/>
      <c r="DN5" s="186"/>
      <c r="DO5" s="188">
        <f t="shared" si="12"/>
        <v>0</v>
      </c>
      <c r="DP5" s="187">
        <f t="shared" si="13"/>
        <v>0</v>
      </c>
      <c r="DQ5" s="183"/>
      <c r="DR5" s="184"/>
      <c r="DS5" s="185"/>
      <c r="DT5" s="183"/>
      <c r="DU5" s="184"/>
      <c r="DV5" s="185"/>
      <c r="DW5" s="183"/>
      <c r="DX5" s="184"/>
      <c r="DY5" s="185"/>
      <c r="DZ5" s="183"/>
      <c r="EA5" s="184"/>
      <c r="EB5" s="185"/>
      <c r="EC5" s="186"/>
      <c r="ED5" s="188">
        <f t="shared" si="14"/>
        <v>0</v>
      </c>
      <c r="EE5" s="187">
        <f t="shared" si="15"/>
        <v>0</v>
      </c>
    </row>
    <row r="6" spans="1:135" ht="15.75" customHeight="1">
      <c r="A6" s="189" t="str">
        <f>IFERROR(VLOOKUP(L6,'Base dados Exercicios'!$C$4:$J$305,3,FALSE),"")</f>
        <v/>
      </c>
      <c r="B6" s="190" t="str">
        <f>IFERROR(VLOOKUP(L6,'Base dados Exercicios'!$C$4:$J$305,4,FALSE),"")</f>
        <v/>
      </c>
      <c r="C6" s="191" t="str">
        <f>IFERROR(VLOOKUP(L6,'Base dados Exercicios'!$C$4:$J$305,5,FALSE),"")</f>
        <v/>
      </c>
      <c r="D6" s="191" t="str">
        <f>IFERROR(VLOOKUP(L6,'Base dados Exercicios'!$C$4:$J$305,6,FALSE),"")</f>
        <v/>
      </c>
      <c r="E6" s="191" t="str">
        <f>IFERROR(VLOOKUP(L6,'Base dados Exercicios'!$C$4:$J$305,7,FALSE),"")</f>
        <v/>
      </c>
      <c r="F6" s="192" t="str">
        <f>IFERROR(VLOOKUP(L6,'Base dados Exercicios'!$C$4:$J$305,8,FALSE),"")</f>
        <v/>
      </c>
      <c r="G6" s="175"/>
      <c r="H6" s="193" t="str">
        <f>'Base dados Exercicios'!L6</f>
        <v>Ombro frontal</v>
      </c>
      <c r="I6" s="177">
        <f t="shared" si="0"/>
        <v>0</v>
      </c>
      <c r="K6" s="436"/>
      <c r="L6" s="194"/>
      <c r="M6" s="179" t="str">
        <f>IF(L6&lt;&gt;"", HYPERLINK(VLOOKUP(L6,'Base dados Exercicios'!$C$4:$D$83,2,FALSE),"Check"),"")</f>
        <v/>
      </c>
      <c r="N6" s="195"/>
      <c r="O6" s="196"/>
      <c r="P6" s="197"/>
      <c r="Q6" s="183"/>
      <c r="R6" s="184"/>
      <c r="S6" s="185"/>
      <c r="T6" s="183"/>
      <c r="U6" s="184"/>
      <c r="V6" s="185"/>
      <c r="W6" s="183"/>
      <c r="X6" s="184"/>
      <c r="Y6" s="185"/>
      <c r="Z6" s="183"/>
      <c r="AA6" s="184"/>
      <c r="AB6" s="185"/>
      <c r="AC6" s="186"/>
      <c r="AD6" s="187">
        <f t="shared" si="1"/>
        <v>0</v>
      </c>
      <c r="AE6" s="183"/>
      <c r="AF6" s="184"/>
      <c r="AG6" s="185"/>
      <c r="AH6" s="183"/>
      <c r="AI6" s="184"/>
      <c r="AJ6" s="185"/>
      <c r="AK6" s="183"/>
      <c r="AL6" s="184"/>
      <c r="AM6" s="185"/>
      <c r="AN6" s="183"/>
      <c r="AO6" s="184"/>
      <c r="AP6" s="185"/>
      <c r="AQ6" s="186"/>
      <c r="AR6" s="188">
        <f t="shared" si="2"/>
        <v>0</v>
      </c>
      <c r="AS6" s="187">
        <f t="shared" si="3"/>
        <v>0</v>
      </c>
      <c r="AT6" s="183"/>
      <c r="AU6" s="184"/>
      <c r="AV6" s="185"/>
      <c r="AW6" s="183"/>
      <c r="AX6" s="184"/>
      <c r="AY6" s="185"/>
      <c r="AZ6" s="183"/>
      <c r="BA6" s="184"/>
      <c r="BB6" s="185"/>
      <c r="BC6" s="183"/>
      <c r="BD6" s="184"/>
      <c r="BE6" s="185"/>
      <c r="BF6" s="186"/>
      <c r="BG6" s="188">
        <f t="shared" si="4"/>
        <v>0</v>
      </c>
      <c r="BH6" s="187">
        <f t="shared" si="5"/>
        <v>0</v>
      </c>
      <c r="BI6" s="183"/>
      <c r="BJ6" s="184"/>
      <c r="BK6" s="185"/>
      <c r="BL6" s="183"/>
      <c r="BM6" s="184"/>
      <c r="BN6" s="185"/>
      <c r="BO6" s="183"/>
      <c r="BP6" s="184"/>
      <c r="BQ6" s="185"/>
      <c r="BR6" s="183"/>
      <c r="BS6" s="184"/>
      <c r="BT6" s="185"/>
      <c r="BU6" s="186"/>
      <c r="BV6" s="188">
        <f t="shared" si="6"/>
        <v>0</v>
      </c>
      <c r="BW6" s="187">
        <f t="shared" si="7"/>
        <v>0</v>
      </c>
      <c r="BX6" s="183"/>
      <c r="BY6" s="184"/>
      <c r="BZ6" s="185"/>
      <c r="CA6" s="183"/>
      <c r="CB6" s="184"/>
      <c r="CC6" s="185"/>
      <c r="CD6" s="183"/>
      <c r="CE6" s="184"/>
      <c r="CF6" s="185"/>
      <c r="CG6" s="183"/>
      <c r="CH6" s="184"/>
      <c r="CI6" s="185"/>
      <c r="CJ6" s="186"/>
      <c r="CK6" s="188">
        <f t="shared" si="8"/>
        <v>0</v>
      </c>
      <c r="CL6" s="187">
        <f t="shared" si="9"/>
        <v>0</v>
      </c>
      <c r="CM6" s="183"/>
      <c r="CN6" s="184"/>
      <c r="CO6" s="185"/>
      <c r="CP6" s="183"/>
      <c r="CQ6" s="184"/>
      <c r="CR6" s="185"/>
      <c r="CS6" s="183"/>
      <c r="CT6" s="184"/>
      <c r="CU6" s="185"/>
      <c r="CV6" s="183"/>
      <c r="CW6" s="184"/>
      <c r="CX6" s="185"/>
      <c r="CY6" s="186"/>
      <c r="CZ6" s="188">
        <f t="shared" si="10"/>
        <v>0</v>
      </c>
      <c r="DA6" s="187">
        <f t="shared" si="11"/>
        <v>0</v>
      </c>
      <c r="DB6" s="183"/>
      <c r="DC6" s="184"/>
      <c r="DD6" s="185"/>
      <c r="DE6" s="183"/>
      <c r="DF6" s="184"/>
      <c r="DG6" s="185"/>
      <c r="DH6" s="183"/>
      <c r="DI6" s="184"/>
      <c r="DJ6" s="185"/>
      <c r="DK6" s="183"/>
      <c r="DL6" s="184"/>
      <c r="DM6" s="185"/>
      <c r="DN6" s="186"/>
      <c r="DO6" s="188">
        <f t="shared" si="12"/>
        <v>0</v>
      </c>
      <c r="DP6" s="187">
        <f t="shared" si="13"/>
        <v>0</v>
      </c>
      <c r="DQ6" s="183"/>
      <c r="DR6" s="184"/>
      <c r="DS6" s="185"/>
      <c r="DT6" s="183"/>
      <c r="DU6" s="184"/>
      <c r="DV6" s="185"/>
      <c r="DW6" s="183"/>
      <c r="DX6" s="184"/>
      <c r="DY6" s="185"/>
      <c r="DZ6" s="183"/>
      <c r="EA6" s="184"/>
      <c r="EB6" s="185"/>
      <c r="EC6" s="186"/>
      <c r="ED6" s="188">
        <f t="shared" si="14"/>
        <v>0</v>
      </c>
      <c r="EE6" s="187">
        <f t="shared" si="15"/>
        <v>0</v>
      </c>
    </row>
    <row r="7" spans="1:135" ht="15.75" customHeight="1">
      <c r="A7" s="189" t="str">
        <f>IFERROR(VLOOKUP(L7,'Base dados Exercicios'!$C$4:$J$305,3,FALSE),"")</f>
        <v/>
      </c>
      <c r="B7" s="190" t="str">
        <f>IFERROR(VLOOKUP(L7,'Base dados Exercicios'!$C$4:$J$305,4,FALSE),"")</f>
        <v/>
      </c>
      <c r="C7" s="191" t="str">
        <f>IFERROR(VLOOKUP(L7,'Base dados Exercicios'!$C$4:$J$305,5,FALSE),"")</f>
        <v/>
      </c>
      <c r="D7" s="191" t="str">
        <f>IFERROR(VLOOKUP(L7,'Base dados Exercicios'!$C$4:$J$305,6,FALSE),"")</f>
        <v/>
      </c>
      <c r="E7" s="191" t="str">
        <f>IFERROR(VLOOKUP(L7,'Base dados Exercicios'!$C$4:$J$305,7,FALSE),"")</f>
        <v/>
      </c>
      <c r="F7" s="192" t="str">
        <f>IFERROR(VLOOKUP(L7,'Base dados Exercicios'!$C$4:$J$305,8,FALSE),"")</f>
        <v/>
      </c>
      <c r="G7" s="175"/>
      <c r="H7" s="193" t="str">
        <f>'Base dados Exercicios'!L11</f>
        <v>Triceps</v>
      </c>
      <c r="I7" s="177">
        <f t="shared" si="0"/>
        <v>0</v>
      </c>
      <c r="K7" s="436"/>
      <c r="L7" s="194"/>
      <c r="M7" s="179" t="str">
        <f>IF(L7&lt;&gt;"", HYPERLINK(VLOOKUP(L7,'Base dados Exercicios'!$C$4:$D$83,2,FALSE),"Check"),"")</f>
        <v/>
      </c>
      <c r="N7" s="195"/>
      <c r="O7" s="196"/>
      <c r="P7" s="197"/>
      <c r="Q7" s="183"/>
      <c r="R7" s="184"/>
      <c r="S7" s="185"/>
      <c r="T7" s="183"/>
      <c r="U7" s="184"/>
      <c r="V7" s="185"/>
      <c r="W7" s="183"/>
      <c r="X7" s="184"/>
      <c r="Y7" s="185"/>
      <c r="Z7" s="183"/>
      <c r="AA7" s="184"/>
      <c r="AB7" s="185"/>
      <c r="AC7" s="186"/>
      <c r="AD7" s="187">
        <f t="shared" si="1"/>
        <v>0</v>
      </c>
      <c r="AE7" s="183"/>
      <c r="AF7" s="184"/>
      <c r="AG7" s="185"/>
      <c r="AH7" s="183"/>
      <c r="AI7" s="184"/>
      <c r="AJ7" s="185"/>
      <c r="AK7" s="183"/>
      <c r="AL7" s="184"/>
      <c r="AM7" s="185"/>
      <c r="AN7" s="183"/>
      <c r="AO7" s="184"/>
      <c r="AP7" s="185"/>
      <c r="AQ7" s="186"/>
      <c r="AR7" s="188">
        <f t="shared" si="2"/>
        <v>0</v>
      </c>
      <c r="AS7" s="187">
        <f t="shared" si="3"/>
        <v>0</v>
      </c>
      <c r="AT7" s="183"/>
      <c r="AU7" s="184"/>
      <c r="AV7" s="185"/>
      <c r="AW7" s="183"/>
      <c r="AX7" s="184"/>
      <c r="AY7" s="185"/>
      <c r="AZ7" s="183"/>
      <c r="BA7" s="184"/>
      <c r="BB7" s="185"/>
      <c r="BC7" s="183"/>
      <c r="BD7" s="184"/>
      <c r="BE7" s="185"/>
      <c r="BF7" s="186"/>
      <c r="BG7" s="188">
        <f t="shared" si="4"/>
        <v>0</v>
      </c>
      <c r="BH7" s="187">
        <f t="shared" si="5"/>
        <v>0</v>
      </c>
      <c r="BI7" s="183"/>
      <c r="BJ7" s="184"/>
      <c r="BK7" s="185"/>
      <c r="BL7" s="183"/>
      <c r="BM7" s="184"/>
      <c r="BN7" s="185"/>
      <c r="BO7" s="183"/>
      <c r="BP7" s="184"/>
      <c r="BQ7" s="185"/>
      <c r="BR7" s="183"/>
      <c r="BS7" s="184"/>
      <c r="BT7" s="185"/>
      <c r="BU7" s="186"/>
      <c r="BV7" s="188">
        <f t="shared" si="6"/>
        <v>0</v>
      </c>
      <c r="BW7" s="187">
        <f t="shared" si="7"/>
        <v>0</v>
      </c>
      <c r="BX7" s="183"/>
      <c r="BY7" s="184"/>
      <c r="BZ7" s="185"/>
      <c r="CA7" s="183"/>
      <c r="CB7" s="184"/>
      <c r="CC7" s="185"/>
      <c r="CD7" s="183"/>
      <c r="CE7" s="184"/>
      <c r="CF7" s="185"/>
      <c r="CG7" s="183"/>
      <c r="CH7" s="184"/>
      <c r="CI7" s="185"/>
      <c r="CJ7" s="186"/>
      <c r="CK7" s="188">
        <f t="shared" si="8"/>
        <v>0</v>
      </c>
      <c r="CL7" s="187">
        <f t="shared" si="9"/>
        <v>0</v>
      </c>
      <c r="CM7" s="183"/>
      <c r="CN7" s="184"/>
      <c r="CO7" s="185"/>
      <c r="CP7" s="183"/>
      <c r="CQ7" s="184"/>
      <c r="CR7" s="185"/>
      <c r="CS7" s="183"/>
      <c r="CT7" s="184"/>
      <c r="CU7" s="185"/>
      <c r="CV7" s="183"/>
      <c r="CW7" s="184"/>
      <c r="CX7" s="185"/>
      <c r="CY7" s="186"/>
      <c r="CZ7" s="188">
        <f t="shared" si="10"/>
        <v>0</v>
      </c>
      <c r="DA7" s="187">
        <f t="shared" si="11"/>
        <v>0</v>
      </c>
      <c r="DB7" s="183"/>
      <c r="DC7" s="184"/>
      <c r="DD7" s="185"/>
      <c r="DE7" s="183"/>
      <c r="DF7" s="184"/>
      <c r="DG7" s="185"/>
      <c r="DH7" s="183"/>
      <c r="DI7" s="184"/>
      <c r="DJ7" s="185"/>
      <c r="DK7" s="183"/>
      <c r="DL7" s="184"/>
      <c r="DM7" s="185"/>
      <c r="DN7" s="186"/>
      <c r="DO7" s="188">
        <f t="shared" si="12"/>
        <v>0</v>
      </c>
      <c r="DP7" s="187">
        <f t="shared" si="13"/>
        <v>0</v>
      </c>
      <c r="DQ7" s="183"/>
      <c r="DR7" s="184"/>
      <c r="DS7" s="185"/>
      <c r="DT7" s="183"/>
      <c r="DU7" s="184"/>
      <c r="DV7" s="185"/>
      <c r="DW7" s="183"/>
      <c r="DX7" s="184"/>
      <c r="DY7" s="185"/>
      <c r="DZ7" s="183"/>
      <c r="EA7" s="184"/>
      <c r="EB7" s="185"/>
      <c r="EC7" s="186"/>
      <c r="ED7" s="188">
        <f t="shared" si="14"/>
        <v>0</v>
      </c>
      <c r="EE7" s="187">
        <f t="shared" si="15"/>
        <v>0</v>
      </c>
    </row>
    <row r="8" spans="1:135" ht="15.75" customHeight="1">
      <c r="A8" s="189" t="str">
        <f>IFERROR(VLOOKUP(L8,'Base dados Exercicios'!$C$4:$J$305,3,FALSE),"")</f>
        <v/>
      </c>
      <c r="B8" s="190" t="str">
        <f>IFERROR(VLOOKUP(L8,'Base dados Exercicios'!$C$4:$J$305,4,FALSE),"")</f>
        <v/>
      </c>
      <c r="C8" s="191" t="str">
        <f>IFERROR(VLOOKUP(L8,'Base dados Exercicios'!$C$4:$J$305,5,FALSE),"")</f>
        <v/>
      </c>
      <c r="D8" s="191" t="str">
        <f>IFERROR(VLOOKUP(L8,'Base dados Exercicios'!$C$4:$J$305,6,FALSE),"")</f>
        <v/>
      </c>
      <c r="E8" s="191" t="str">
        <f>IFERROR(VLOOKUP(L8,'Base dados Exercicios'!$C$4:$J$305,7,FALSE),"")</f>
        <v/>
      </c>
      <c r="F8" s="192" t="str">
        <f>IFERROR(VLOOKUP(L8,'Base dados Exercicios'!$C$4:$J$305,8,FALSE),"")</f>
        <v/>
      </c>
      <c r="G8" s="175"/>
      <c r="H8" s="193" t="str">
        <f>'Base dados Exercicios'!L9</f>
        <v>Peito</v>
      </c>
      <c r="I8" s="177">
        <f t="shared" si="0"/>
        <v>0</v>
      </c>
      <c r="K8" s="436"/>
      <c r="L8" s="194"/>
      <c r="M8" s="179" t="str">
        <f>IF(L8&lt;&gt;"", HYPERLINK(VLOOKUP(L8,'Base dados Exercicios'!$C$4:$D$83,2,FALSE),"Check"),"")</f>
        <v/>
      </c>
      <c r="N8" s="195"/>
      <c r="O8" s="196"/>
      <c r="P8" s="197"/>
      <c r="Q8" s="183"/>
      <c r="R8" s="184"/>
      <c r="S8" s="185"/>
      <c r="T8" s="183"/>
      <c r="U8" s="184"/>
      <c r="V8" s="185"/>
      <c r="W8" s="183"/>
      <c r="X8" s="184"/>
      <c r="Y8" s="185"/>
      <c r="Z8" s="183"/>
      <c r="AA8" s="184"/>
      <c r="AB8" s="185"/>
      <c r="AC8" s="186"/>
      <c r="AD8" s="187">
        <f t="shared" si="1"/>
        <v>0</v>
      </c>
      <c r="AE8" s="183"/>
      <c r="AF8" s="184"/>
      <c r="AG8" s="185"/>
      <c r="AH8" s="183"/>
      <c r="AI8" s="184"/>
      <c r="AJ8" s="185"/>
      <c r="AK8" s="183"/>
      <c r="AL8" s="184"/>
      <c r="AM8" s="185"/>
      <c r="AN8" s="183"/>
      <c r="AO8" s="184"/>
      <c r="AP8" s="185"/>
      <c r="AQ8" s="186"/>
      <c r="AR8" s="188">
        <f t="shared" si="2"/>
        <v>0</v>
      </c>
      <c r="AS8" s="187">
        <f t="shared" si="3"/>
        <v>0</v>
      </c>
      <c r="AT8" s="183"/>
      <c r="AU8" s="184"/>
      <c r="AV8" s="185"/>
      <c r="AW8" s="183"/>
      <c r="AX8" s="184"/>
      <c r="AY8" s="185"/>
      <c r="AZ8" s="183"/>
      <c r="BA8" s="184"/>
      <c r="BB8" s="185"/>
      <c r="BC8" s="183"/>
      <c r="BD8" s="184"/>
      <c r="BE8" s="185"/>
      <c r="BF8" s="186"/>
      <c r="BG8" s="188">
        <f t="shared" si="4"/>
        <v>0</v>
      </c>
      <c r="BH8" s="187">
        <f t="shared" si="5"/>
        <v>0</v>
      </c>
      <c r="BI8" s="183"/>
      <c r="BJ8" s="184"/>
      <c r="BK8" s="185"/>
      <c r="BL8" s="183"/>
      <c r="BM8" s="184"/>
      <c r="BN8" s="185"/>
      <c r="BO8" s="183"/>
      <c r="BP8" s="184"/>
      <c r="BQ8" s="185"/>
      <c r="BR8" s="183"/>
      <c r="BS8" s="184"/>
      <c r="BT8" s="185"/>
      <c r="BU8" s="186"/>
      <c r="BV8" s="188">
        <f t="shared" si="6"/>
        <v>0</v>
      </c>
      <c r="BW8" s="187">
        <f t="shared" si="7"/>
        <v>0</v>
      </c>
      <c r="BX8" s="183"/>
      <c r="BY8" s="184"/>
      <c r="BZ8" s="185"/>
      <c r="CA8" s="183"/>
      <c r="CB8" s="184"/>
      <c r="CC8" s="185"/>
      <c r="CD8" s="183"/>
      <c r="CE8" s="184"/>
      <c r="CF8" s="185"/>
      <c r="CG8" s="183"/>
      <c r="CH8" s="184"/>
      <c r="CI8" s="185"/>
      <c r="CJ8" s="186"/>
      <c r="CK8" s="188">
        <f t="shared" si="8"/>
        <v>0</v>
      </c>
      <c r="CL8" s="187">
        <f t="shared" si="9"/>
        <v>0</v>
      </c>
      <c r="CM8" s="183"/>
      <c r="CN8" s="184"/>
      <c r="CO8" s="185"/>
      <c r="CP8" s="183"/>
      <c r="CQ8" s="184"/>
      <c r="CR8" s="185"/>
      <c r="CS8" s="183"/>
      <c r="CT8" s="184"/>
      <c r="CU8" s="185"/>
      <c r="CV8" s="183"/>
      <c r="CW8" s="184"/>
      <c r="CX8" s="185"/>
      <c r="CY8" s="186"/>
      <c r="CZ8" s="188">
        <f t="shared" si="10"/>
        <v>0</v>
      </c>
      <c r="DA8" s="187">
        <f t="shared" si="11"/>
        <v>0</v>
      </c>
      <c r="DB8" s="183"/>
      <c r="DC8" s="184"/>
      <c r="DD8" s="185"/>
      <c r="DE8" s="183"/>
      <c r="DF8" s="184"/>
      <c r="DG8" s="185"/>
      <c r="DH8" s="183"/>
      <c r="DI8" s="184"/>
      <c r="DJ8" s="185"/>
      <c r="DK8" s="183"/>
      <c r="DL8" s="184"/>
      <c r="DM8" s="185"/>
      <c r="DN8" s="186"/>
      <c r="DO8" s="188">
        <f t="shared" si="12"/>
        <v>0</v>
      </c>
      <c r="DP8" s="187">
        <f t="shared" si="13"/>
        <v>0</v>
      </c>
      <c r="DQ8" s="183"/>
      <c r="DR8" s="184"/>
      <c r="DS8" s="185"/>
      <c r="DT8" s="183"/>
      <c r="DU8" s="184"/>
      <c r="DV8" s="185"/>
      <c r="DW8" s="183"/>
      <c r="DX8" s="184"/>
      <c r="DY8" s="185"/>
      <c r="DZ8" s="183"/>
      <c r="EA8" s="184"/>
      <c r="EB8" s="185"/>
      <c r="EC8" s="186"/>
      <c r="ED8" s="188">
        <f t="shared" si="14"/>
        <v>0</v>
      </c>
      <c r="EE8" s="187">
        <f t="shared" si="15"/>
        <v>0</v>
      </c>
    </row>
    <row r="9" spans="1:135" ht="15.75" customHeight="1">
      <c r="A9" s="189" t="str">
        <f>IFERROR(VLOOKUP(L9,'Base dados Exercicios'!$C$4:$J$305,3,FALSE),"")</f>
        <v/>
      </c>
      <c r="B9" s="190" t="str">
        <f>IFERROR(VLOOKUP(L9,'Base dados Exercicios'!$C$4:$J$305,4,FALSE),"")</f>
        <v/>
      </c>
      <c r="C9" s="191" t="str">
        <f>IFERROR(VLOOKUP(L9,'Base dados Exercicios'!$C$4:$J$305,5,FALSE),"")</f>
        <v/>
      </c>
      <c r="D9" s="191" t="str">
        <f>IFERROR(VLOOKUP(L9,'Base dados Exercicios'!$C$4:$J$305,6,FALSE),"")</f>
        <v/>
      </c>
      <c r="E9" s="191" t="str">
        <f>IFERROR(VLOOKUP(L9,'Base dados Exercicios'!$C$4:$J$305,7,FALSE),"")</f>
        <v/>
      </c>
      <c r="F9" s="192" t="str">
        <f>IFERROR(VLOOKUP(L9,'Base dados Exercicios'!$C$4:$J$305,8,FALSE),"")</f>
        <v/>
      </c>
      <c r="G9" s="175"/>
      <c r="H9" s="193" t="str">
        <f>'Base dados Exercicios'!L8</f>
        <v>Ombro posterior</v>
      </c>
      <c r="I9" s="177">
        <f t="shared" si="0"/>
        <v>0</v>
      </c>
      <c r="K9" s="436"/>
      <c r="L9" s="194"/>
      <c r="M9" s="179" t="str">
        <f>IF(L9&lt;&gt;"", HYPERLINK(VLOOKUP(L9,'Base dados Exercicios'!$C$4:$D$83,2,FALSE),"Check"),"")</f>
        <v/>
      </c>
      <c r="N9" s="195"/>
      <c r="O9" s="196"/>
      <c r="P9" s="197"/>
      <c r="Q9" s="183"/>
      <c r="R9" s="184"/>
      <c r="S9" s="185"/>
      <c r="T9" s="183"/>
      <c r="U9" s="184"/>
      <c r="V9" s="185"/>
      <c r="W9" s="183"/>
      <c r="X9" s="184"/>
      <c r="Y9" s="185"/>
      <c r="Z9" s="183"/>
      <c r="AA9" s="184"/>
      <c r="AB9" s="185"/>
      <c r="AC9" s="186"/>
      <c r="AD9" s="187">
        <f t="shared" si="1"/>
        <v>0</v>
      </c>
      <c r="AE9" s="183"/>
      <c r="AF9" s="184"/>
      <c r="AG9" s="185"/>
      <c r="AH9" s="183"/>
      <c r="AI9" s="184"/>
      <c r="AJ9" s="185"/>
      <c r="AK9" s="183"/>
      <c r="AL9" s="184"/>
      <c r="AM9" s="185"/>
      <c r="AN9" s="183"/>
      <c r="AO9" s="184"/>
      <c r="AP9" s="185"/>
      <c r="AQ9" s="186"/>
      <c r="AR9" s="188">
        <f t="shared" si="2"/>
        <v>0</v>
      </c>
      <c r="AS9" s="187">
        <f t="shared" si="3"/>
        <v>0</v>
      </c>
      <c r="AT9" s="183"/>
      <c r="AU9" s="184"/>
      <c r="AV9" s="185"/>
      <c r="AW9" s="183"/>
      <c r="AX9" s="184"/>
      <c r="AY9" s="185"/>
      <c r="AZ9" s="183"/>
      <c r="BA9" s="184"/>
      <c r="BB9" s="185"/>
      <c r="BC9" s="183"/>
      <c r="BD9" s="184"/>
      <c r="BE9" s="185"/>
      <c r="BF9" s="186"/>
      <c r="BG9" s="188">
        <f t="shared" si="4"/>
        <v>0</v>
      </c>
      <c r="BH9" s="187">
        <f t="shared" si="5"/>
        <v>0</v>
      </c>
      <c r="BI9" s="183"/>
      <c r="BJ9" s="184"/>
      <c r="BK9" s="185"/>
      <c r="BL9" s="183"/>
      <c r="BM9" s="184"/>
      <c r="BN9" s="185"/>
      <c r="BO9" s="183"/>
      <c r="BP9" s="184"/>
      <c r="BQ9" s="185"/>
      <c r="BR9" s="183"/>
      <c r="BS9" s="184"/>
      <c r="BT9" s="185"/>
      <c r="BU9" s="186"/>
      <c r="BV9" s="188">
        <f t="shared" si="6"/>
        <v>0</v>
      </c>
      <c r="BW9" s="187">
        <f t="shared" si="7"/>
        <v>0</v>
      </c>
      <c r="BX9" s="183"/>
      <c r="BY9" s="184"/>
      <c r="BZ9" s="185"/>
      <c r="CA9" s="183"/>
      <c r="CB9" s="184"/>
      <c r="CC9" s="185"/>
      <c r="CD9" s="183"/>
      <c r="CE9" s="184"/>
      <c r="CF9" s="185"/>
      <c r="CG9" s="183"/>
      <c r="CH9" s="184"/>
      <c r="CI9" s="185"/>
      <c r="CJ9" s="186"/>
      <c r="CK9" s="188">
        <f t="shared" si="8"/>
        <v>0</v>
      </c>
      <c r="CL9" s="187">
        <f t="shared" si="9"/>
        <v>0</v>
      </c>
      <c r="CM9" s="183"/>
      <c r="CN9" s="184"/>
      <c r="CO9" s="185"/>
      <c r="CP9" s="183"/>
      <c r="CQ9" s="184"/>
      <c r="CR9" s="185"/>
      <c r="CS9" s="183"/>
      <c r="CT9" s="184"/>
      <c r="CU9" s="185"/>
      <c r="CV9" s="183"/>
      <c r="CW9" s="184"/>
      <c r="CX9" s="185"/>
      <c r="CY9" s="186"/>
      <c r="CZ9" s="188">
        <f t="shared" si="10"/>
        <v>0</v>
      </c>
      <c r="DA9" s="187">
        <f t="shared" si="11"/>
        <v>0</v>
      </c>
      <c r="DB9" s="183"/>
      <c r="DC9" s="184"/>
      <c r="DD9" s="185"/>
      <c r="DE9" s="183"/>
      <c r="DF9" s="184"/>
      <c r="DG9" s="185"/>
      <c r="DH9" s="183"/>
      <c r="DI9" s="184"/>
      <c r="DJ9" s="185"/>
      <c r="DK9" s="183"/>
      <c r="DL9" s="184"/>
      <c r="DM9" s="185"/>
      <c r="DN9" s="186"/>
      <c r="DO9" s="188">
        <f t="shared" si="12"/>
        <v>0</v>
      </c>
      <c r="DP9" s="187">
        <f t="shared" si="13"/>
        <v>0</v>
      </c>
      <c r="DQ9" s="183"/>
      <c r="DR9" s="184"/>
      <c r="DS9" s="185"/>
      <c r="DT9" s="183"/>
      <c r="DU9" s="184"/>
      <c r="DV9" s="185"/>
      <c r="DW9" s="183"/>
      <c r="DX9" s="184"/>
      <c r="DY9" s="185"/>
      <c r="DZ9" s="183"/>
      <c r="EA9" s="184"/>
      <c r="EB9" s="185"/>
      <c r="EC9" s="186"/>
      <c r="ED9" s="188">
        <f t="shared" si="14"/>
        <v>0</v>
      </c>
      <c r="EE9" s="187">
        <f t="shared" si="15"/>
        <v>0</v>
      </c>
    </row>
    <row r="10" spans="1:135" ht="15.75" customHeight="1">
      <c r="A10" s="189" t="str">
        <f>IFERROR(VLOOKUP(L10,'Base dados Exercicios'!$C$4:$J$305,3,FALSE),"")</f>
        <v/>
      </c>
      <c r="B10" s="190" t="str">
        <f>IFERROR(VLOOKUP(L10,'Base dados Exercicios'!$C$4:$J$305,4,FALSE),"")</f>
        <v/>
      </c>
      <c r="C10" s="191" t="str">
        <f>IFERROR(VLOOKUP(L10,'Base dados Exercicios'!$C$4:$J$305,5,FALSE),"")</f>
        <v/>
      </c>
      <c r="D10" s="191" t="str">
        <f>IFERROR(VLOOKUP(L10,'Base dados Exercicios'!$C$4:$J$305,6,FALSE),"")</f>
        <v/>
      </c>
      <c r="E10" s="191" t="str">
        <f>IFERROR(VLOOKUP(L10,'Base dados Exercicios'!$C$4:$J$305,7,FALSE),"")</f>
        <v/>
      </c>
      <c r="F10" s="192" t="str">
        <f>IFERROR(VLOOKUP(L10,'Base dados Exercicios'!$C$4:$J$305,8,FALSE),"")</f>
        <v/>
      </c>
      <c r="G10" s="175"/>
      <c r="H10" s="193" t="str">
        <f>'Base dados Exercicios'!L7</f>
        <v>Ombro médio</v>
      </c>
      <c r="I10" s="177">
        <f t="shared" si="0"/>
        <v>0</v>
      </c>
      <c r="K10" s="436"/>
      <c r="L10" s="194"/>
      <c r="M10" s="179" t="str">
        <f>IF(L10&lt;&gt;"", HYPERLINK(VLOOKUP(L10,'Base dados Exercicios'!$C$4:$D$83,2,FALSE),"Check"),"")</f>
        <v/>
      </c>
      <c r="N10" s="195"/>
      <c r="O10" s="196"/>
      <c r="P10" s="197"/>
      <c r="Q10" s="183"/>
      <c r="R10" s="184"/>
      <c r="S10" s="185"/>
      <c r="T10" s="183"/>
      <c r="U10" s="184"/>
      <c r="V10" s="185"/>
      <c r="W10" s="183"/>
      <c r="X10" s="184"/>
      <c r="Y10" s="185"/>
      <c r="Z10" s="183"/>
      <c r="AA10" s="184"/>
      <c r="AB10" s="185"/>
      <c r="AC10" s="186"/>
      <c r="AD10" s="187">
        <f t="shared" si="1"/>
        <v>0</v>
      </c>
      <c r="AE10" s="183"/>
      <c r="AF10" s="184"/>
      <c r="AG10" s="185"/>
      <c r="AH10" s="183"/>
      <c r="AI10" s="184"/>
      <c r="AJ10" s="185"/>
      <c r="AK10" s="183"/>
      <c r="AL10" s="184"/>
      <c r="AM10" s="185"/>
      <c r="AN10" s="183"/>
      <c r="AO10" s="184"/>
      <c r="AP10" s="185"/>
      <c r="AQ10" s="186"/>
      <c r="AR10" s="188">
        <f t="shared" si="2"/>
        <v>0</v>
      </c>
      <c r="AS10" s="187">
        <f t="shared" si="3"/>
        <v>0</v>
      </c>
      <c r="AT10" s="183"/>
      <c r="AU10" s="184"/>
      <c r="AV10" s="185"/>
      <c r="AW10" s="183"/>
      <c r="AX10" s="184"/>
      <c r="AY10" s="185"/>
      <c r="AZ10" s="183"/>
      <c r="BA10" s="184"/>
      <c r="BB10" s="185"/>
      <c r="BC10" s="183"/>
      <c r="BD10" s="184"/>
      <c r="BE10" s="185"/>
      <c r="BF10" s="186"/>
      <c r="BG10" s="188">
        <f t="shared" si="4"/>
        <v>0</v>
      </c>
      <c r="BH10" s="187">
        <f t="shared" si="5"/>
        <v>0</v>
      </c>
      <c r="BI10" s="183"/>
      <c r="BJ10" s="184"/>
      <c r="BK10" s="185"/>
      <c r="BL10" s="183"/>
      <c r="BM10" s="184"/>
      <c r="BN10" s="185"/>
      <c r="BO10" s="183"/>
      <c r="BP10" s="184"/>
      <c r="BQ10" s="185"/>
      <c r="BR10" s="183"/>
      <c r="BS10" s="184"/>
      <c r="BT10" s="185"/>
      <c r="BU10" s="186"/>
      <c r="BV10" s="188">
        <f t="shared" si="6"/>
        <v>0</v>
      </c>
      <c r="BW10" s="187">
        <f t="shared" si="7"/>
        <v>0</v>
      </c>
      <c r="BX10" s="183"/>
      <c r="BY10" s="184"/>
      <c r="BZ10" s="185"/>
      <c r="CA10" s="183"/>
      <c r="CB10" s="184"/>
      <c r="CC10" s="185"/>
      <c r="CD10" s="183"/>
      <c r="CE10" s="184"/>
      <c r="CF10" s="185"/>
      <c r="CG10" s="183"/>
      <c r="CH10" s="184"/>
      <c r="CI10" s="185"/>
      <c r="CJ10" s="186"/>
      <c r="CK10" s="188">
        <f t="shared" si="8"/>
        <v>0</v>
      </c>
      <c r="CL10" s="187">
        <f t="shared" si="9"/>
        <v>0</v>
      </c>
      <c r="CM10" s="183"/>
      <c r="CN10" s="184"/>
      <c r="CO10" s="185"/>
      <c r="CP10" s="183"/>
      <c r="CQ10" s="184"/>
      <c r="CR10" s="185"/>
      <c r="CS10" s="183"/>
      <c r="CT10" s="184"/>
      <c r="CU10" s="185"/>
      <c r="CV10" s="183"/>
      <c r="CW10" s="184"/>
      <c r="CX10" s="185"/>
      <c r="CY10" s="186"/>
      <c r="CZ10" s="188">
        <f t="shared" si="10"/>
        <v>0</v>
      </c>
      <c r="DA10" s="187">
        <f t="shared" si="11"/>
        <v>0</v>
      </c>
      <c r="DB10" s="183"/>
      <c r="DC10" s="184"/>
      <c r="DD10" s="185"/>
      <c r="DE10" s="183"/>
      <c r="DF10" s="184"/>
      <c r="DG10" s="185"/>
      <c r="DH10" s="183"/>
      <c r="DI10" s="184"/>
      <c r="DJ10" s="185"/>
      <c r="DK10" s="183"/>
      <c r="DL10" s="184"/>
      <c r="DM10" s="185"/>
      <c r="DN10" s="186"/>
      <c r="DO10" s="188">
        <f t="shared" si="12"/>
        <v>0</v>
      </c>
      <c r="DP10" s="187">
        <f t="shared" si="13"/>
        <v>0</v>
      </c>
      <c r="DQ10" s="183"/>
      <c r="DR10" s="184"/>
      <c r="DS10" s="185"/>
      <c r="DT10" s="183"/>
      <c r="DU10" s="184"/>
      <c r="DV10" s="185"/>
      <c r="DW10" s="183"/>
      <c r="DX10" s="184"/>
      <c r="DY10" s="185"/>
      <c r="DZ10" s="183"/>
      <c r="EA10" s="184"/>
      <c r="EB10" s="185"/>
      <c r="EC10" s="186"/>
      <c r="ED10" s="188">
        <f t="shared" si="14"/>
        <v>0</v>
      </c>
      <c r="EE10" s="187">
        <f t="shared" si="15"/>
        <v>0</v>
      </c>
    </row>
    <row r="11" spans="1:135" ht="15.75" customHeight="1">
      <c r="A11" s="189" t="str">
        <f>IFERROR(VLOOKUP(L11,'Base dados Exercicios'!$C$4:$J$305,3,FALSE),"")</f>
        <v/>
      </c>
      <c r="B11" s="190" t="str">
        <f>IFERROR(VLOOKUP(L11,'Base dados Exercicios'!$C$4:$J$305,4,FALSE),"")</f>
        <v/>
      </c>
      <c r="C11" s="191" t="str">
        <f>IFERROR(VLOOKUP(L11,'Base dados Exercicios'!$C$4:$J$305,5,FALSE),"")</f>
        <v/>
      </c>
      <c r="D11" s="191" t="str">
        <f>IFERROR(VLOOKUP(L11,'Base dados Exercicios'!$C$4:$J$305,6,FALSE),"")</f>
        <v/>
      </c>
      <c r="E11" s="191" t="str">
        <f>IFERROR(VLOOKUP(L11,'Base dados Exercicios'!$C$4:$J$305,7,FALSE),"")</f>
        <v/>
      </c>
      <c r="F11" s="192" t="str">
        <f>IFERROR(VLOOKUP(L11,'Base dados Exercicios'!$C$4:$J$305,8,FALSE),"")</f>
        <v/>
      </c>
      <c r="G11" s="175"/>
      <c r="H11" s="193" t="str">
        <f>'Base dados Exercicios'!L10</f>
        <v>Trapézio</v>
      </c>
      <c r="I11" s="177">
        <f t="shared" si="0"/>
        <v>0</v>
      </c>
      <c r="K11" s="436"/>
      <c r="L11" s="194"/>
      <c r="M11" s="179" t="str">
        <f>IF(L11&lt;&gt;"", HYPERLINK(VLOOKUP(L11,'Base dados Exercicios'!$C$4:$D$83,2,FALSE),"Check"),"")</f>
        <v/>
      </c>
      <c r="N11" s="195"/>
      <c r="O11" s="196"/>
      <c r="P11" s="197"/>
      <c r="Q11" s="183"/>
      <c r="R11" s="184"/>
      <c r="S11" s="185"/>
      <c r="T11" s="183"/>
      <c r="U11" s="184"/>
      <c r="V11" s="185"/>
      <c r="W11" s="183"/>
      <c r="X11" s="184"/>
      <c r="Y11" s="185"/>
      <c r="Z11" s="183"/>
      <c r="AA11" s="184"/>
      <c r="AB11" s="185"/>
      <c r="AC11" s="186"/>
      <c r="AD11" s="187">
        <f t="shared" si="1"/>
        <v>0</v>
      </c>
      <c r="AE11" s="183"/>
      <c r="AF11" s="184"/>
      <c r="AG11" s="185"/>
      <c r="AH11" s="183"/>
      <c r="AI11" s="184"/>
      <c r="AJ11" s="185"/>
      <c r="AK11" s="183"/>
      <c r="AL11" s="184"/>
      <c r="AM11" s="185"/>
      <c r="AN11" s="183"/>
      <c r="AO11" s="184"/>
      <c r="AP11" s="185"/>
      <c r="AQ11" s="186"/>
      <c r="AR11" s="188">
        <f t="shared" si="2"/>
        <v>0</v>
      </c>
      <c r="AS11" s="187">
        <f t="shared" si="3"/>
        <v>0</v>
      </c>
      <c r="AT11" s="183"/>
      <c r="AU11" s="184"/>
      <c r="AV11" s="185"/>
      <c r="AW11" s="183"/>
      <c r="AX11" s="184"/>
      <c r="AY11" s="185"/>
      <c r="AZ11" s="183"/>
      <c r="BA11" s="184"/>
      <c r="BB11" s="185"/>
      <c r="BC11" s="183"/>
      <c r="BD11" s="184"/>
      <c r="BE11" s="185"/>
      <c r="BF11" s="186"/>
      <c r="BG11" s="188">
        <f t="shared" si="4"/>
        <v>0</v>
      </c>
      <c r="BH11" s="187">
        <f t="shared" si="5"/>
        <v>0</v>
      </c>
      <c r="BI11" s="183"/>
      <c r="BJ11" s="184"/>
      <c r="BK11" s="185"/>
      <c r="BL11" s="183"/>
      <c r="BM11" s="184"/>
      <c r="BN11" s="185"/>
      <c r="BO11" s="183"/>
      <c r="BP11" s="184"/>
      <c r="BQ11" s="185"/>
      <c r="BR11" s="183"/>
      <c r="BS11" s="184"/>
      <c r="BT11" s="185"/>
      <c r="BU11" s="186"/>
      <c r="BV11" s="188">
        <f t="shared" si="6"/>
        <v>0</v>
      </c>
      <c r="BW11" s="187">
        <f t="shared" si="7"/>
        <v>0</v>
      </c>
      <c r="BX11" s="183"/>
      <c r="BY11" s="184"/>
      <c r="BZ11" s="185"/>
      <c r="CA11" s="183"/>
      <c r="CB11" s="184"/>
      <c r="CC11" s="185"/>
      <c r="CD11" s="183"/>
      <c r="CE11" s="184"/>
      <c r="CF11" s="185"/>
      <c r="CG11" s="183"/>
      <c r="CH11" s="184"/>
      <c r="CI11" s="185"/>
      <c r="CJ11" s="186"/>
      <c r="CK11" s="188">
        <f t="shared" si="8"/>
        <v>0</v>
      </c>
      <c r="CL11" s="187">
        <f t="shared" si="9"/>
        <v>0</v>
      </c>
      <c r="CM11" s="183"/>
      <c r="CN11" s="184"/>
      <c r="CO11" s="185"/>
      <c r="CP11" s="183"/>
      <c r="CQ11" s="184"/>
      <c r="CR11" s="185"/>
      <c r="CS11" s="183"/>
      <c r="CT11" s="184"/>
      <c r="CU11" s="185"/>
      <c r="CV11" s="183"/>
      <c r="CW11" s="184"/>
      <c r="CX11" s="185"/>
      <c r="CY11" s="186"/>
      <c r="CZ11" s="188">
        <f t="shared" si="10"/>
        <v>0</v>
      </c>
      <c r="DA11" s="187">
        <f t="shared" si="11"/>
        <v>0</v>
      </c>
      <c r="DB11" s="183"/>
      <c r="DC11" s="184"/>
      <c r="DD11" s="185"/>
      <c r="DE11" s="183"/>
      <c r="DF11" s="184"/>
      <c r="DG11" s="185"/>
      <c r="DH11" s="183"/>
      <c r="DI11" s="184"/>
      <c r="DJ11" s="185"/>
      <c r="DK11" s="183"/>
      <c r="DL11" s="184"/>
      <c r="DM11" s="185"/>
      <c r="DN11" s="186"/>
      <c r="DO11" s="188">
        <f t="shared" si="12"/>
        <v>0</v>
      </c>
      <c r="DP11" s="187">
        <f t="shared" si="13"/>
        <v>0</v>
      </c>
      <c r="DQ11" s="183"/>
      <c r="DR11" s="184"/>
      <c r="DS11" s="185"/>
      <c r="DT11" s="183"/>
      <c r="DU11" s="184"/>
      <c r="DV11" s="185"/>
      <c r="DW11" s="183"/>
      <c r="DX11" s="184"/>
      <c r="DY11" s="185"/>
      <c r="DZ11" s="183"/>
      <c r="EA11" s="184"/>
      <c r="EB11" s="185"/>
      <c r="EC11" s="186"/>
      <c r="ED11" s="188">
        <f t="shared" si="14"/>
        <v>0</v>
      </c>
      <c r="EE11" s="187">
        <f t="shared" si="15"/>
        <v>0</v>
      </c>
    </row>
    <row r="12" spans="1:135" ht="15.75" customHeight="1">
      <c r="A12" s="189" t="str">
        <f>IFERROR(VLOOKUP(L12,'Base dados Exercicios'!$C$4:$J$305,3,FALSE),"")</f>
        <v/>
      </c>
      <c r="B12" s="190" t="str">
        <f>IFERROR(VLOOKUP(L12,'Base dados Exercicios'!$C$4:$J$305,4,FALSE),"")</f>
        <v/>
      </c>
      <c r="C12" s="191" t="str">
        <f>IFERROR(VLOOKUP(L12,'Base dados Exercicios'!$C$4:$J$305,5,FALSE),"")</f>
        <v/>
      </c>
      <c r="D12" s="191" t="str">
        <f>IFERROR(VLOOKUP(L12,'Base dados Exercicios'!$C$4:$J$305,6,FALSE),"")</f>
        <v/>
      </c>
      <c r="E12" s="191" t="str">
        <f>IFERROR(VLOOKUP(L12,'Base dados Exercicios'!$C$4:$J$305,7,FALSE),"")</f>
        <v/>
      </c>
      <c r="F12" s="192" t="str">
        <f>IFERROR(VLOOKUP(L12,'Base dados Exercicios'!$C$4:$J$305,8,FALSE),"")</f>
        <v/>
      </c>
      <c r="G12" s="175"/>
      <c r="H12" s="193" t="str">
        <f>'Base dados Exercicios'!L12</f>
        <v>Quadriceps</v>
      </c>
      <c r="I12" s="177">
        <f t="shared" si="0"/>
        <v>0</v>
      </c>
      <c r="K12" s="436"/>
      <c r="L12" s="194"/>
      <c r="M12" s="179" t="str">
        <f>IF(L12&lt;&gt;"", HYPERLINK(VLOOKUP(L12,'Base dados Exercicios'!$C$4:$D$83,2,FALSE),"Check"),"")</f>
        <v/>
      </c>
      <c r="N12" s="195"/>
      <c r="O12" s="196"/>
      <c r="P12" s="197"/>
      <c r="Q12" s="183"/>
      <c r="R12" s="184"/>
      <c r="S12" s="185"/>
      <c r="T12" s="183"/>
      <c r="U12" s="184"/>
      <c r="V12" s="185"/>
      <c r="W12" s="183"/>
      <c r="X12" s="184"/>
      <c r="Y12" s="185"/>
      <c r="Z12" s="183"/>
      <c r="AA12" s="184"/>
      <c r="AB12" s="185"/>
      <c r="AC12" s="186"/>
      <c r="AD12" s="187">
        <f t="shared" si="1"/>
        <v>0</v>
      </c>
      <c r="AE12" s="183"/>
      <c r="AF12" s="184"/>
      <c r="AG12" s="185"/>
      <c r="AH12" s="183"/>
      <c r="AI12" s="184"/>
      <c r="AJ12" s="185"/>
      <c r="AK12" s="183"/>
      <c r="AL12" s="184"/>
      <c r="AM12" s="185"/>
      <c r="AN12" s="183"/>
      <c r="AO12" s="184"/>
      <c r="AP12" s="185"/>
      <c r="AQ12" s="186"/>
      <c r="AR12" s="188">
        <f t="shared" si="2"/>
        <v>0</v>
      </c>
      <c r="AS12" s="187">
        <f t="shared" si="3"/>
        <v>0</v>
      </c>
      <c r="AT12" s="183"/>
      <c r="AU12" s="184"/>
      <c r="AV12" s="185"/>
      <c r="AW12" s="183"/>
      <c r="AX12" s="184"/>
      <c r="AY12" s="185"/>
      <c r="AZ12" s="183"/>
      <c r="BA12" s="184"/>
      <c r="BB12" s="185"/>
      <c r="BC12" s="183"/>
      <c r="BD12" s="184"/>
      <c r="BE12" s="185"/>
      <c r="BF12" s="186"/>
      <c r="BG12" s="188">
        <f t="shared" si="4"/>
        <v>0</v>
      </c>
      <c r="BH12" s="187">
        <f t="shared" si="5"/>
        <v>0</v>
      </c>
      <c r="BI12" s="183"/>
      <c r="BJ12" s="184"/>
      <c r="BK12" s="185"/>
      <c r="BL12" s="183"/>
      <c r="BM12" s="184"/>
      <c r="BN12" s="185"/>
      <c r="BO12" s="183"/>
      <c r="BP12" s="184"/>
      <c r="BQ12" s="185"/>
      <c r="BR12" s="183"/>
      <c r="BS12" s="184"/>
      <c r="BT12" s="185"/>
      <c r="BU12" s="186"/>
      <c r="BV12" s="188">
        <f t="shared" si="6"/>
        <v>0</v>
      </c>
      <c r="BW12" s="187">
        <f t="shared" si="7"/>
        <v>0</v>
      </c>
      <c r="BX12" s="183"/>
      <c r="BY12" s="184"/>
      <c r="BZ12" s="185"/>
      <c r="CA12" s="183"/>
      <c r="CB12" s="184"/>
      <c r="CC12" s="185"/>
      <c r="CD12" s="183"/>
      <c r="CE12" s="184"/>
      <c r="CF12" s="185"/>
      <c r="CG12" s="183"/>
      <c r="CH12" s="184"/>
      <c r="CI12" s="185"/>
      <c r="CJ12" s="186"/>
      <c r="CK12" s="188">
        <f t="shared" si="8"/>
        <v>0</v>
      </c>
      <c r="CL12" s="187">
        <f t="shared" si="9"/>
        <v>0</v>
      </c>
      <c r="CM12" s="183"/>
      <c r="CN12" s="184"/>
      <c r="CO12" s="185"/>
      <c r="CP12" s="183"/>
      <c r="CQ12" s="184"/>
      <c r="CR12" s="185"/>
      <c r="CS12" s="183"/>
      <c r="CT12" s="184"/>
      <c r="CU12" s="185"/>
      <c r="CV12" s="183"/>
      <c r="CW12" s="184"/>
      <c r="CX12" s="185"/>
      <c r="CY12" s="186"/>
      <c r="CZ12" s="188">
        <f t="shared" si="10"/>
        <v>0</v>
      </c>
      <c r="DA12" s="187">
        <f t="shared" si="11"/>
        <v>0</v>
      </c>
      <c r="DB12" s="183"/>
      <c r="DC12" s="184"/>
      <c r="DD12" s="185"/>
      <c r="DE12" s="183"/>
      <c r="DF12" s="184"/>
      <c r="DG12" s="185"/>
      <c r="DH12" s="183"/>
      <c r="DI12" s="184"/>
      <c r="DJ12" s="185"/>
      <c r="DK12" s="183"/>
      <c r="DL12" s="184"/>
      <c r="DM12" s="185"/>
      <c r="DN12" s="186"/>
      <c r="DO12" s="188">
        <f t="shared" si="12"/>
        <v>0</v>
      </c>
      <c r="DP12" s="187">
        <f t="shared" si="13"/>
        <v>0</v>
      </c>
      <c r="DQ12" s="183"/>
      <c r="DR12" s="184"/>
      <c r="DS12" s="185"/>
      <c r="DT12" s="183"/>
      <c r="DU12" s="184"/>
      <c r="DV12" s="185"/>
      <c r="DW12" s="183"/>
      <c r="DX12" s="184"/>
      <c r="DY12" s="185"/>
      <c r="DZ12" s="183"/>
      <c r="EA12" s="184"/>
      <c r="EB12" s="185"/>
      <c r="EC12" s="186"/>
      <c r="ED12" s="188">
        <f t="shared" si="14"/>
        <v>0</v>
      </c>
      <c r="EE12" s="187">
        <f t="shared" si="15"/>
        <v>0</v>
      </c>
    </row>
    <row r="13" spans="1:135" ht="15.75" customHeight="1">
      <c r="A13" s="198" t="str">
        <f>IFERROR(VLOOKUP(L13,'Base dados Exercicios'!$C$4:$J$305,3,FALSE),"")</f>
        <v/>
      </c>
      <c r="B13" s="199" t="str">
        <f>IFERROR(VLOOKUP(L13,'Base dados Exercicios'!$C$4:$J$305,4,FALSE),"")</f>
        <v/>
      </c>
      <c r="C13" s="200" t="str">
        <f>IFERROR(VLOOKUP(L13,'Base dados Exercicios'!$C$4:$J$305,5,FALSE),"")</f>
        <v/>
      </c>
      <c r="D13" s="200" t="str">
        <f>IFERROR(VLOOKUP(L13,'Base dados Exercicios'!$C$4:$J$305,6,FALSE),"")</f>
        <v/>
      </c>
      <c r="E13" s="200" t="str">
        <f>IFERROR(VLOOKUP(L13,'Base dados Exercicios'!$C$4:$J$305,7,FALSE),"")</f>
        <v/>
      </c>
      <c r="F13" s="201" t="str">
        <f>IFERROR(VLOOKUP(L13,'Base dados Exercicios'!$C$4:$J$305,8,FALSE),"")</f>
        <v/>
      </c>
      <c r="G13" s="175"/>
      <c r="H13" s="193" t="str">
        <f>'Base dados Exercicios'!L13</f>
        <v>Posterior de coxa</v>
      </c>
      <c r="I13" s="177">
        <f t="shared" si="0"/>
        <v>0</v>
      </c>
      <c r="K13" s="437"/>
      <c r="L13" s="194"/>
      <c r="M13" s="179" t="str">
        <f>IF(L13&lt;&gt;"", HYPERLINK(VLOOKUP(L13,'Base dados Exercicios'!$C$4:$D$83,2,FALSE),"Check"),"")</f>
        <v/>
      </c>
      <c r="N13" s="202"/>
      <c r="O13" s="203"/>
      <c r="P13" s="204"/>
      <c r="Q13" s="205" t="s">
        <v>154</v>
      </c>
      <c r="R13" s="206"/>
      <c r="S13" s="206"/>
      <c r="T13" s="206"/>
      <c r="U13" s="206"/>
      <c r="V13" s="206"/>
      <c r="W13" s="206"/>
      <c r="X13" s="206"/>
      <c r="Y13" s="206"/>
      <c r="Z13" s="206"/>
      <c r="AA13" s="206"/>
      <c r="AB13" s="206"/>
      <c r="AC13" s="206"/>
      <c r="AD13" s="207"/>
      <c r="AE13" s="205" t="s">
        <v>154</v>
      </c>
      <c r="AF13" s="206"/>
      <c r="AG13" s="206"/>
      <c r="AH13" s="206"/>
      <c r="AI13" s="206"/>
      <c r="AJ13" s="206"/>
      <c r="AK13" s="206"/>
      <c r="AL13" s="206"/>
      <c r="AM13" s="206"/>
      <c r="AN13" s="206"/>
      <c r="AO13" s="206"/>
      <c r="AP13" s="206"/>
      <c r="AQ13" s="206"/>
      <c r="AR13" s="206"/>
      <c r="AS13" s="207"/>
      <c r="AT13" s="205" t="s">
        <v>154</v>
      </c>
      <c r="AU13" s="206"/>
      <c r="AV13" s="206"/>
      <c r="AW13" s="206"/>
      <c r="AX13" s="206"/>
      <c r="AY13" s="206"/>
      <c r="AZ13" s="206"/>
      <c r="BA13" s="206"/>
      <c r="BB13" s="206"/>
      <c r="BC13" s="206"/>
      <c r="BD13" s="206"/>
      <c r="BE13" s="206"/>
      <c r="BF13" s="206"/>
      <c r="BG13" s="206"/>
      <c r="BH13" s="207"/>
      <c r="BI13" s="205" t="s">
        <v>154</v>
      </c>
      <c r="BJ13" s="206"/>
      <c r="BK13" s="206"/>
      <c r="BL13" s="206"/>
      <c r="BM13" s="206"/>
      <c r="BN13" s="206"/>
      <c r="BO13" s="206"/>
      <c r="BP13" s="206"/>
      <c r="BQ13" s="206"/>
      <c r="BR13" s="206"/>
      <c r="BS13" s="206"/>
      <c r="BT13" s="206"/>
      <c r="BU13" s="206"/>
      <c r="BV13" s="206"/>
      <c r="BW13" s="207"/>
      <c r="BX13" s="205" t="s">
        <v>154</v>
      </c>
      <c r="BY13" s="206"/>
      <c r="BZ13" s="206"/>
      <c r="CA13" s="206"/>
      <c r="CB13" s="206"/>
      <c r="CC13" s="206"/>
      <c r="CD13" s="206"/>
      <c r="CE13" s="206"/>
      <c r="CF13" s="206"/>
      <c r="CG13" s="206"/>
      <c r="CH13" s="206"/>
      <c r="CI13" s="206"/>
      <c r="CJ13" s="206"/>
      <c r="CK13" s="206"/>
      <c r="CL13" s="207"/>
      <c r="CM13" s="205" t="s">
        <v>154</v>
      </c>
      <c r="CN13" s="206"/>
      <c r="CO13" s="206"/>
      <c r="CP13" s="206"/>
      <c r="CQ13" s="206"/>
      <c r="CR13" s="206"/>
      <c r="CS13" s="206"/>
      <c r="CT13" s="206"/>
      <c r="CU13" s="206"/>
      <c r="CV13" s="206"/>
      <c r="CW13" s="206"/>
      <c r="CX13" s="206"/>
      <c r="CY13" s="206"/>
      <c r="CZ13" s="206"/>
      <c r="DA13" s="207"/>
      <c r="DB13" s="205" t="s">
        <v>154</v>
      </c>
      <c r="DC13" s="206"/>
      <c r="DD13" s="206"/>
      <c r="DE13" s="206"/>
      <c r="DF13" s="206"/>
      <c r="DG13" s="206"/>
      <c r="DH13" s="206"/>
      <c r="DI13" s="206"/>
      <c r="DJ13" s="206"/>
      <c r="DK13" s="206"/>
      <c r="DL13" s="206"/>
      <c r="DM13" s="206"/>
      <c r="DN13" s="206"/>
      <c r="DO13" s="206"/>
      <c r="DP13" s="207"/>
      <c r="DQ13" s="205" t="s">
        <v>154</v>
      </c>
      <c r="DR13" s="206"/>
      <c r="DS13" s="206"/>
      <c r="DT13" s="206"/>
      <c r="DU13" s="206"/>
      <c r="DV13" s="206"/>
      <c r="DW13" s="206"/>
      <c r="DX13" s="206"/>
      <c r="DY13" s="206"/>
      <c r="DZ13" s="206"/>
      <c r="EA13" s="206"/>
      <c r="EB13" s="206"/>
      <c r="EC13" s="206"/>
      <c r="ED13" s="206"/>
      <c r="EE13" s="207"/>
    </row>
    <row r="14" spans="1:135" ht="15.75" customHeight="1">
      <c r="A14" s="171" t="str">
        <f>IFERROR(VLOOKUP(L14,'Base dados Exercicios'!$C$4:$J$305,3,FALSE),"")</f>
        <v/>
      </c>
      <c r="B14" s="172" t="str">
        <f>IFERROR(VLOOKUP(L14,'Base dados Exercicios'!$C$4:$J$305,4,FALSE),"")</f>
        <v/>
      </c>
      <c r="C14" s="173" t="str">
        <f>IFERROR(VLOOKUP(L14,'Base dados Exercicios'!$C$4:$J$305,5,FALSE),"")</f>
        <v/>
      </c>
      <c r="D14" s="173" t="str">
        <f>IFERROR(VLOOKUP(L14,'Base dados Exercicios'!$C$4:$J$305,6,FALSE),"")</f>
        <v/>
      </c>
      <c r="E14" s="173" t="str">
        <f>IFERROR(VLOOKUP(L14,'Base dados Exercicios'!$C$4:$J$305,7,FALSE),"")</f>
        <v/>
      </c>
      <c r="F14" s="174" t="str">
        <f>IFERROR(VLOOKUP(L14,'Base dados Exercicios'!$C$4:$J$305,8,FALSE),"")</f>
        <v/>
      </c>
      <c r="G14" s="175"/>
      <c r="H14" s="193" t="str">
        <f>'Base dados Exercicios'!L14</f>
        <v>Glúteo</v>
      </c>
      <c r="I14" s="177">
        <f t="shared" si="0"/>
        <v>0</v>
      </c>
      <c r="K14" s="435">
        <v>2</v>
      </c>
      <c r="L14" s="178"/>
      <c r="M14" s="208" t="str">
        <f>IF(L14&lt;&gt;"", HYPERLINK(VLOOKUP(L14,'Base dados Exercicios'!$C$4:$D$83,2,FALSE),"Check"),"")</f>
        <v/>
      </c>
      <c r="N14" s="195"/>
      <c r="O14" s="196"/>
      <c r="P14" s="182"/>
      <c r="Q14" s="183"/>
      <c r="R14" s="184"/>
      <c r="S14" s="185"/>
      <c r="T14" s="183"/>
      <c r="U14" s="184"/>
      <c r="V14" s="185"/>
      <c r="W14" s="183"/>
      <c r="X14" s="184"/>
      <c r="Y14" s="185"/>
      <c r="Z14" s="183"/>
      <c r="AA14" s="184"/>
      <c r="AB14" s="185"/>
      <c r="AC14" s="186"/>
      <c r="AD14" s="187">
        <f t="shared" ref="AD14:AD22" si="16">(R14*S14)+(U14*V14)+(X14*Y14)+(AA14*AB14)</f>
        <v>0</v>
      </c>
      <c r="AE14" s="183"/>
      <c r="AF14" s="184"/>
      <c r="AG14" s="185"/>
      <c r="AH14" s="183"/>
      <c r="AI14" s="184"/>
      <c r="AJ14" s="185"/>
      <c r="AK14" s="183"/>
      <c r="AL14" s="184"/>
      <c r="AM14" s="185"/>
      <c r="AN14" s="183"/>
      <c r="AO14" s="184"/>
      <c r="AP14" s="185"/>
      <c r="AQ14" s="186"/>
      <c r="AR14" s="188">
        <f t="shared" ref="AR14:AR22" si="17">(AF14*AG14)+(AI14*AJ14)+(AL14*AM14)+(AO14*AP14)</f>
        <v>0</v>
      </c>
      <c r="AS14" s="187">
        <f t="shared" ref="AS14:AS22" si="18">AR14-AD14</f>
        <v>0</v>
      </c>
      <c r="AT14" s="183"/>
      <c r="AU14" s="184"/>
      <c r="AV14" s="185"/>
      <c r="AW14" s="183"/>
      <c r="AX14" s="184"/>
      <c r="AY14" s="185"/>
      <c r="AZ14" s="183"/>
      <c r="BA14" s="184"/>
      <c r="BB14" s="185"/>
      <c r="BC14" s="183"/>
      <c r="BD14" s="184"/>
      <c r="BE14" s="185"/>
      <c r="BF14" s="186"/>
      <c r="BG14" s="188">
        <f t="shared" ref="BG14:BG22" si="19">(AU14*AV14)+(AX14*AY14)+(BA14*BB14)+(BD14*BE14)</f>
        <v>0</v>
      </c>
      <c r="BH14" s="187">
        <f t="shared" ref="BH14:BH22" si="20">BG14-AR14</f>
        <v>0</v>
      </c>
      <c r="BI14" s="183"/>
      <c r="BJ14" s="184"/>
      <c r="BK14" s="185"/>
      <c r="BL14" s="183"/>
      <c r="BM14" s="184"/>
      <c r="BN14" s="185"/>
      <c r="BO14" s="183"/>
      <c r="BP14" s="184"/>
      <c r="BQ14" s="185"/>
      <c r="BR14" s="183"/>
      <c r="BS14" s="184"/>
      <c r="BT14" s="185"/>
      <c r="BU14" s="186"/>
      <c r="BV14" s="188">
        <f t="shared" ref="BV14:BV22" si="21">(BJ14*BK14)+(BM14*BN14)+(BP14*BQ14)+(BS14*BT14)</f>
        <v>0</v>
      </c>
      <c r="BW14" s="187">
        <f t="shared" ref="BW14:BW22" si="22">BV14-BG14</f>
        <v>0</v>
      </c>
      <c r="BX14" s="183"/>
      <c r="BY14" s="184"/>
      <c r="BZ14" s="185"/>
      <c r="CA14" s="183"/>
      <c r="CB14" s="184"/>
      <c r="CC14" s="185"/>
      <c r="CD14" s="183"/>
      <c r="CE14" s="184"/>
      <c r="CF14" s="185"/>
      <c r="CG14" s="183"/>
      <c r="CH14" s="184"/>
      <c r="CI14" s="185"/>
      <c r="CJ14" s="186"/>
      <c r="CK14" s="188">
        <f t="shared" ref="CK14:CK22" si="23">(BY14*BZ14)+(CB14*CC14)+(CE14*CF14)+(CH14*CI14)</f>
        <v>0</v>
      </c>
      <c r="CL14" s="187">
        <f t="shared" ref="CL14:CL22" si="24">CK14-BV14</f>
        <v>0</v>
      </c>
      <c r="CM14" s="183"/>
      <c r="CN14" s="184"/>
      <c r="CO14" s="185"/>
      <c r="CP14" s="183"/>
      <c r="CQ14" s="184"/>
      <c r="CR14" s="185"/>
      <c r="CS14" s="183"/>
      <c r="CT14" s="184"/>
      <c r="CU14" s="185"/>
      <c r="CV14" s="183"/>
      <c r="CW14" s="184"/>
      <c r="CX14" s="185"/>
      <c r="CY14" s="186"/>
      <c r="CZ14" s="188">
        <f t="shared" ref="CZ14:CZ22" si="25">(CN14*CO14)+(CQ14*CR14)+(CT14*CU14)+(CW14*CX14)</f>
        <v>0</v>
      </c>
      <c r="DA14" s="187">
        <f t="shared" ref="DA14:DA22" si="26">CZ14-CK14</f>
        <v>0</v>
      </c>
      <c r="DB14" s="183"/>
      <c r="DC14" s="184"/>
      <c r="DD14" s="185"/>
      <c r="DE14" s="183"/>
      <c r="DF14" s="184"/>
      <c r="DG14" s="185"/>
      <c r="DH14" s="183"/>
      <c r="DI14" s="184"/>
      <c r="DJ14" s="185"/>
      <c r="DK14" s="183"/>
      <c r="DL14" s="184"/>
      <c r="DM14" s="185"/>
      <c r="DN14" s="186"/>
      <c r="DO14" s="188">
        <f t="shared" ref="DO14:DO22" si="27">(DC14*DD14)+(DF14*DG14)+(DI14*DJ14)+(DL14*DM14)</f>
        <v>0</v>
      </c>
      <c r="DP14" s="187">
        <f t="shared" ref="DP14:DP22" si="28">DO14-CZ14</f>
        <v>0</v>
      </c>
      <c r="DQ14" s="183"/>
      <c r="DR14" s="184"/>
      <c r="DS14" s="185"/>
      <c r="DT14" s="183"/>
      <c r="DU14" s="184"/>
      <c r="DV14" s="185"/>
      <c r="DW14" s="183"/>
      <c r="DX14" s="184"/>
      <c r="DY14" s="185"/>
      <c r="DZ14" s="183"/>
      <c r="EA14" s="184"/>
      <c r="EB14" s="185"/>
      <c r="EC14" s="186"/>
      <c r="ED14" s="188">
        <f t="shared" ref="ED14:ED22" si="29">(DR14*DS14)+(DU14*DV14)+(DX14*DY14)+(EA14*EB14)</f>
        <v>0</v>
      </c>
      <c r="EE14" s="187">
        <f t="shared" ref="EE14:EE22" si="30">ED14-DO14</f>
        <v>0</v>
      </c>
    </row>
    <row r="15" spans="1:135" ht="15.75" customHeight="1">
      <c r="A15" s="189" t="str">
        <f>IFERROR(VLOOKUP(L15,'Base dados Exercicios'!$C$4:$J$305,3,FALSE),"")</f>
        <v/>
      </c>
      <c r="B15" s="190" t="str">
        <f>IFERROR(VLOOKUP(L15,'Base dados Exercicios'!$C$4:$J$305,4,FALSE),"")</f>
        <v/>
      </c>
      <c r="C15" s="191" t="str">
        <f>IFERROR(VLOOKUP(L15,'Base dados Exercicios'!$C$4:$J$305,5,FALSE),"")</f>
        <v/>
      </c>
      <c r="D15" s="191" t="str">
        <f>IFERROR(VLOOKUP(L15,'Base dados Exercicios'!$C$4:$J$305,6,FALSE),"")</f>
        <v/>
      </c>
      <c r="E15" s="191" t="str">
        <f>IFERROR(VLOOKUP(L15,'Base dados Exercicios'!$C$4:$J$305,7,FALSE),"")</f>
        <v/>
      </c>
      <c r="F15" s="192" t="str">
        <f>IFERROR(VLOOKUP(L15,'Base dados Exercicios'!$C$4:$J$305,8,FALSE),"")</f>
        <v/>
      </c>
      <c r="G15" s="175"/>
      <c r="H15" s="193" t="str">
        <f>'Base dados Exercicios'!L15</f>
        <v>Lombares</v>
      </c>
      <c r="I15" s="177">
        <f t="shared" si="0"/>
        <v>0</v>
      </c>
      <c r="K15" s="436"/>
      <c r="L15" s="194"/>
      <c r="M15" s="179" t="str">
        <f>IF(L15&lt;&gt;"", HYPERLINK(VLOOKUP(L15,'Base dados Exercicios'!$C$4:$D$83,2,FALSE),"Check"),"")</f>
        <v/>
      </c>
      <c r="N15" s="195"/>
      <c r="O15" s="196"/>
      <c r="P15" s="197"/>
      <c r="Q15" s="183"/>
      <c r="R15" s="184"/>
      <c r="S15" s="185"/>
      <c r="T15" s="183"/>
      <c r="U15" s="184"/>
      <c r="V15" s="185"/>
      <c r="W15" s="183"/>
      <c r="X15" s="184"/>
      <c r="Y15" s="185"/>
      <c r="Z15" s="183"/>
      <c r="AA15" s="184"/>
      <c r="AB15" s="185"/>
      <c r="AC15" s="186"/>
      <c r="AD15" s="187">
        <f t="shared" si="16"/>
        <v>0</v>
      </c>
      <c r="AE15" s="183"/>
      <c r="AF15" s="184"/>
      <c r="AG15" s="185"/>
      <c r="AH15" s="183"/>
      <c r="AI15" s="184"/>
      <c r="AJ15" s="185"/>
      <c r="AK15" s="183"/>
      <c r="AL15" s="184"/>
      <c r="AM15" s="185"/>
      <c r="AN15" s="183"/>
      <c r="AO15" s="184"/>
      <c r="AP15" s="185"/>
      <c r="AQ15" s="186"/>
      <c r="AR15" s="188">
        <f t="shared" si="17"/>
        <v>0</v>
      </c>
      <c r="AS15" s="187">
        <f t="shared" si="18"/>
        <v>0</v>
      </c>
      <c r="AT15" s="183"/>
      <c r="AU15" s="184"/>
      <c r="AV15" s="185"/>
      <c r="AW15" s="183"/>
      <c r="AX15" s="184"/>
      <c r="AY15" s="185"/>
      <c r="AZ15" s="183"/>
      <c r="BA15" s="184"/>
      <c r="BB15" s="185"/>
      <c r="BC15" s="183"/>
      <c r="BD15" s="184"/>
      <c r="BE15" s="185"/>
      <c r="BF15" s="186"/>
      <c r="BG15" s="188">
        <f t="shared" si="19"/>
        <v>0</v>
      </c>
      <c r="BH15" s="187">
        <f t="shared" si="20"/>
        <v>0</v>
      </c>
      <c r="BI15" s="183"/>
      <c r="BJ15" s="184"/>
      <c r="BK15" s="185"/>
      <c r="BL15" s="183"/>
      <c r="BM15" s="184"/>
      <c r="BN15" s="185"/>
      <c r="BO15" s="183"/>
      <c r="BP15" s="184"/>
      <c r="BQ15" s="185"/>
      <c r="BR15" s="183"/>
      <c r="BS15" s="184"/>
      <c r="BT15" s="185"/>
      <c r="BU15" s="186"/>
      <c r="BV15" s="188">
        <f t="shared" si="21"/>
        <v>0</v>
      </c>
      <c r="BW15" s="187">
        <f t="shared" si="22"/>
        <v>0</v>
      </c>
      <c r="BX15" s="183"/>
      <c r="BY15" s="184"/>
      <c r="BZ15" s="185"/>
      <c r="CA15" s="183"/>
      <c r="CB15" s="184"/>
      <c r="CC15" s="185"/>
      <c r="CD15" s="183"/>
      <c r="CE15" s="184"/>
      <c r="CF15" s="185"/>
      <c r="CG15" s="183"/>
      <c r="CH15" s="184"/>
      <c r="CI15" s="185"/>
      <c r="CJ15" s="186"/>
      <c r="CK15" s="188">
        <f t="shared" si="23"/>
        <v>0</v>
      </c>
      <c r="CL15" s="187">
        <f t="shared" si="24"/>
        <v>0</v>
      </c>
      <c r="CM15" s="183"/>
      <c r="CN15" s="184"/>
      <c r="CO15" s="185"/>
      <c r="CP15" s="183"/>
      <c r="CQ15" s="184"/>
      <c r="CR15" s="185"/>
      <c r="CS15" s="183"/>
      <c r="CT15" s="184"/>
      <c r="CU15" s="185"/>
      <c r="CV15" s="183"/>
      <c r="CW15" s="184"/>
      <c r="CX15" s="185"/>
      <c r="CY15" s="186"/>
      <c r="CZ15" s="188">
        <f t="shared" si="25"/>
        <v>0</v>
      </c>
      <c r="DA15" s="187">
        <f t="shared" si="26"/>
        <v>0</v>
      </c>
      <c r="DB15" s="183"/>
      <c r="DC15" s="184"/>
      <c r="DD15" s="185"/>
      <c r="DE15" s="183"/>
      <c r="DF15" s="184"/>
      <c r="DG15" s="185"/>
      <c r="DH15" s="183"/>
      <c r="DI15" s="184"/>
      <c r="DJ15" s="185"/>
      <c r="DK15" s="183"/>
      <c r="DL15" s="184"/>
      <c r="DM15" s="185"/>
      <c r="DN15" s="186"/>
      <c r="DO15" s="188">
        <f t="shared" si="27"/>
        <v>0</v>
      </c>
      <c r="DP15" s="187">
        <f t="shared" si="28"/>
        <v>0</v>
      </c>
      <c r="DQ15" s="183"/>
      <c r="DR15" s="184"/>
      <c r="DS15" s="185"/>
      <c r="DT15" s="183"/>
      <c r="DU15" s="184"/>
      <c r="DV15" s="185"/>
      <c r="DW15" s="183"/>
      <c r="DX15" s="184"/>
      <c r="DY15" s="185"/>
      <c r="DZ15" s="183"/>
      <c r="EA15" s="184"/>
      <c r="EB15" s="185"/>
      <c r="EC15" s="186"/>
      <c r="ED15" s="188">
        <f t="shared" si="29"/>
        <v>0</v>
      </c>
      <c r="EE15" s="187">
        <f t="shared" si="30"/>
        <v>0</v>
      </c>
    </row>
    <row r="16" spans="1:135" ht="15.75" customHeight="1">
      <c r="A16" s="189" t="str">
        <f>IFERROR(VLOOKUP(L16,'Base dados Exercicios'!$C$4:$J$305,3,FALSE),"")</f>
        <v/>
      </c>
      <c r="B16" s="190" t="str">
        <f>IFERROR(VLOOKUP(L16,'Base dados Exercicios'!$C$4:$J$305,4,FALSE),"")</f>
        <v/>
      </c>
      <c r="C16" s="191" t="str">
        <f>IFERROR(VLOOKUP(L16,'Base dados Exercicios'!$C$4:$J$305,5,FALSE),"")</f>
        <v/>
      </c>
      <c r="D16" s="191" t="str">
        <f>IFERROR(VLOOKUP(L16,'Base dados Exercicios'!$C$4:$J$305,6,FALSE),"")</f>
        <v/>
      </c>
      <c r="E16" s="191" t="str">
        <f>IFERROR(VLOOKUP(L16,'Base dados Exercicios'!$C$4:$J$305,7,FALSE),"")</f>
        <v/>
      </c>
      <c r="F16" s="192" t="str">
        <f>IFERROR(VLOOKUP(L16,'Base dados Exercicios'!$C$4:$J$305,8,FALSE),"")</f>
        <v/>
      </c>
      <c r="G16" s="175"/>
      <c r="H16" s="209" t="str">
        <f>'Base dados Exercicios'!L16</f>
        <v>Gémeos</v>
      </c>
      <c r="I16" s="210">
        <f t="shared" si="0"/>
        <v>0</v>
      </c>
      <c r="K16" s="436"/>
      <c r="L16" s="194"/>
      <c r="M16" s="179" t="str">
        <f>IF(L16&lt;&gt;"", HYPERLINK(VLOOKUP(L16,'Base dados Exercicios'!$C$4:$D$83,2,FALSE),"Check"),"")</f>
        <v/>
      </c>
      <c r="N16" s="195"/>
      <c r="O16" s="196"/>
      <c r="P16" s="197"/>
      <c r="Q16" s="183"/>
      <c r="R16" s="184"/>
      <c r="S16" s="185"/>
      <c r="T16" s="183"/>
      <c r="U16" s="184"/>
      <c r="V16" s="185"/>
      <c r="W16" s="183"/>
      <c r="X16" s="184"/>
      <c r="Y16" s="185"/>
      <c r="Z16" s="183"/>
      <c r="AA16" s="184"/>
      <c r="AB16" s="185"/>
      <c r="AC16" s="186"/>
      <c r="AD16" s="187">
        <f t="shared" si="16"/>
        <v>0</v>
      </c>
      <c r="AE16" s="183"/>
      <c r="AF16" s="184"/>
      <c r="AG16" s="185"/>
      <c r="AH16" s="183"/>
      <c r="AI16" s="184"/>
      <c r="AJ16" s="185"/>
      <c r="AK16" s="183"/>
      <c r="AL16" s="184"/>
      <c r="AM16" s="185"/>
      <c r="AN16" s="183"/>
      <c r="AO16" s="184"/>
      <c r="AP16" s="185"/>
      <c r="AQ16" s="186"/>
      <c r="AR16" s="188">
        <f t="shared" si="17"/>
        <v>0</v>
      </c>
      <c r="AS16" s="187">
        <f t="shared" si="18"/>
        <v>0</v>
      </c>
      <c r="AT16" s="183"/>
      <c r="AU16" s="184"/>
      <c r="AV16" s="185"/>
      <c r="AW16" s="183"/>
      <c r="AX16" s="184"/>
      <c r="AY16" s="185"/>
      <c r="AZ16" s="183"/>
      <c r="BA16" s="184"/>
      <c r="BB16" s="185"/>
      <c r="BC16" s="183"/>
      <c r="BD16" s="184"/>
      <c r="BE16" s="185"/>
      <c r="BF16" s="186"/>
      <c r="BG16" s="188">
        <f t="shared" si="19"/>
        <v>0</v>
      </c>
      <c r="BH16" s="187">
        <f t="shared" si="20"/>
        <v>0</v>
      </c>
      <c r="BI16" s="183"/>
      <c r="BJ16" s="184"/>
      <c r="BK16" s="185"/>
      <c r="BL16" s="183"/>
      <c r="BM16" s="184"/>
      <c r="BN16" s="185"/>
      <c r="BO16" s="183"/>
      <c r="BP16" s="184"/>
      <c r="BQ16" s="185"/>
      <c r="BR16" s="183"/>
      <c r="BS16" s="184"/>
      <c r="BT16" s="185"/>
      <c r="BU16" s="186"/>
      <c r="BV16" s="188">
        <f t="shared" si="21"/>
        <v>0</v>
      </c>
      <c r="BW16" s="187">
        <f t="shared" si="22"/>
        <v>0</v>
      </c>
      <c r="BX16" s="183"/>
      <c r="BY16" s="184"/>
      <c r="BZ16" s="185"/>
      <c r="CA16" s="183"/>
      <c r="CB16" s="184"/>
      <c r="CC16" s="185"/>
      <c r="CD16" s="183"/>
      <c r="CE16" s="184"/>
      <c r="CF16" s="185"/>
      <c r="CG16" s="183"/>
      <c r="CH16" s="184"/>
      <c r="CI16" s="185"/>
      <c r="CJ16" s="186"/>
      <c r="CK16" s="188">
        <f t="shared" si="23"/>
        <v>0</v>
      </c>
      <c r="CL16" s="187">
        <f t="shared" si="24"/>
        <v>0</v>
      </c>
      <c r="CM16" s="183"/>
      <c r="CN16" s="184"/>
      <c r="CO16" s="185"/>
      <c r="CP16" s="183"/>
      <c r="CQ16" s="184"/>
      <c r="CR16" s="185"/>
      <c r="CS16" s="183"/>
      <c r="CT16" s="184"/>
      <c r="CU16" s="185"/>
      <c r="CV16" s="183"/>
      <c r="CW16" s="184"/>
      <c r="CX16" s="185"/>
      <c r="CY16" s="186"/>
      <c r="CZ16" s="188">
        <f t="shared" si="25"/>
        <v>0</v>
      </c>
      <c r="DA16" s="187">
        <f t="shared" si="26"/>
        <v>0</v>
      </c>
      <c r="DB16" s="183"/>
      <c r="DC16" s="184"/>
      <c r="DD16" s="185"/>
      <c r="DE16" s="183"/>
      <c r="DF16" s="184"/>
      <c r="DG16" s="185"/>
      <c r="DH16" s="183"/>
      <c r="DI16" s="184"/>
      <c r="DJ16" s="185"/>
      <c r="DK16" s="183"/>
      <c r="DL16" s="184"/>
      <c r="DM16" s="185"/>
      <c r="DN16" s="186"/>
      <c r="DO16" s="188">
        <f t="shared" si="27"/>
        <v>0</v>
      </c>
      <c r="DP16" s="187">
        <f t="shared" si="28"/>
        <v>0</v>
      </c>
      <c r="DQ16" s="183"/>
      <c r="DR16" s="184"/>
      <c r="DS16" s="185"/>
      <c r="DT16" s="183"/>
      <c r="DU16" s="184"/>
      <c r="DV16" s="185"/>
      <c r="DW16" s="183"/>
      <c r="DX16" s="184"/>
      <c r="DY16" s="185"/>
      <c r="DZ16" s="183"/>
      <c r="EA16" s="184"/>
      <c r="EB16" s="185"/>
      <c r="EC16" s="186"/>
      <c r="ED16" s="188">
        <f t="shared" si="29"/>
        <v>0</v>
      </c>
      <c r="EE16" s="187">
        <f t="shared" si="30"/>
        <v>0</v>
      </c>
    </row>
    <row r="17" spans="1:135" ht="15.75" customHeight="1">
      <c r="A17" s="189" t="str">
        <f>IFERROR(VLOOKUP(L17,'Base dados Exercicios'!$C$4:$J$305,3,FALSE),"")</f>
        <v/>
      </c>
      <c r="B17" s="190" t="str">
        <f>IFERROR(VLOOKUP(L17,'Base dados Exercicios'!$C$4:$J$305,4,FALSE),"")</f>
        <v/>
      </c>
      <c r="C17" s="191" t="str">
        <f>IFERROR(VLOOKUP(L17,'Base dados Exercicios'!$C$4:$J$305,5,FALSE),"")</f>
        <v/>
      </c>
      <c r="D17" s="191" t="str">
        <f>IFERROR(VLOOKUP(L17,'Base dados Exercicios'!$C$4:$J$305,6,FALSE),"")</f>
        <v/>
      </c>
      <c r="E17" s="191" t="str">
        <f>IFERROR(VLOOKUP(L17,'Base dados Exercicios'!$C$4:$J$305,7,FALSE),"")</f>
        <v/>
      </c>
      <c r="F17" s="192" t="str">
        <f>IFERROR(VLOOKUP(L17,'Base dados Exercicios'!$C$4:$J$305,8,FALSE),"")</f>
        <v/>
      </c>
      <c r="G17" s="175"/>
      <c r="H17" s="175"/>
      <c r="I17" s="175"/>
      <c r="K17" s="436"/>
      <c r="L17" s="194"/>
      <c r="M17" s="179" t="str">
        <f>IF(L17&lt;&gt;"", HYPERLINK(VLOOKUP(L17,'Base dados Exercicios'!$C$4:$D$83,2,FALSE),"Check"),"")</f>
        <v/>
      </c>
      <c r="N17" s="195"/>
      <c r="O17" s="196"/>
      <c r="P17" s="197"/>
      <c r="Q17" s="183"/>
      <c r="R17" s="184"/>
      <c r="S17" s="185"/>
      <c r="T17" s="183"/>
      <c r="U17" s="184"/>
      <c r="V17" s="185"/>
      <c r="W17" s="183"/>
      <c r="X17" s="184"/>
      <c r="Y17" s="185"/>
      <c r="Z17" s="183"/>
      <c r="AA17" s="184"/>
      <c r="AB17" s="185"/>
      <c r="AC17" s="186"/>
      <c r="AD17" s="187">
        <f t="shared" si="16"/>
        <v>0</v>
      </c>
      <c r="AE17" s="183"/>
      <c r="AF17" s="184"/>
      <c r="AG17" s="185"/>
      <c r="AH17" s="183"/>
      <c r="AI17" s="184"/>
      <c r="AJ17" s="185"/>
      <c r="AK17" s="183"/>
      <c r="AL17" s="184"/>
      <c r="AM17" s="185"/>
      <c r="AN17" s="183"/>
      <c r="AO17" s="184"/>
      <c r="AP17" s="185"/>
      <c r="AQ17" s="186"/>
      <c r="AR17" s="188">
        <f t="shared" si="17"/>
        <v>0</v>
      </c>
      <c r="AS17" s="187">
        <f t="shared" si="18"/>
        <v>0</v>
      </c>
      <c r="AT17" s="183"/>
      <c r="AU17" s="184"/>
      <c r="AV17" s="185"/>
      <c r="AW17" s="183"/>
      <c r="AX17" s="184"/>
      <c r="AY17" s="185"/>
      <c r="AZ17" s="183"/>
      <c r="BA17" s="184"/>
      <c r="BB17" s="185"/>
      <c r="BC17" s="183"/>
      <c r="BD17" s="184"/>
      <c r="BE17" s="185"/>
      <c r="BF17" s="186"/>
      <c r="BG17" s="188">
        <f t="shared" si="19"/>
        <v>0</v>
      </c>
      <c r="BH17" s="187">
        <f t="shared" si="20"/>
        <v>0</v>
      </c>
      <c r="BI17" s="183"/>
      <c r="BJ17" s="184"/>
      <c r="BK17" s="185"/>
      <c r="BL17" s="183"/>
      <c r="BM17" s="184"/>
      <c r="BN17" s="185"/>
      <c r="BO17" s="183"/>
      <c r="BP17" s="184"/>
      <c r="BQ17" s="185"/>
      <c r="BR17" s="183"/>
      <c r="BS17" s="184"/>
      <c r="BT17" s="185"/>
      <c r="BU17" s="186"/>
      <c r="BV17" s="188">
        <f t="shared" si="21"/>
        <v>0</v>
      </c>
      <c r="BW17" s="187">
        <f t="shared" si="22"/>
        <v>0</v>
      </c>
      <c r="BX17" s="183"/>
      <c r="BY17" s="184"/>
      <c r="BZ17" s="185"/>
      <c r="CA17" s="183"/>
      <c r="CB17" s="184"/>
      <c r="CC17" s="185"/>
      <c r="CD17" s="183"/>
      <c r="CE17" s="184"/>
      <c r="CF17" s="185"/>
      <c r="CG17" s="183"/>
      <c r="CH17" s="184"/>
      <c r="CI17" s="185"/>
      <c r="CJ17" s="186"/>
      <c r="CK17" s="188">
        <f t="shared" si="23"/>
        <v>0</v>
      </c>
      <c r="CL17" s="187">
        <f t="shared" si="24"/>
        <v>0</v>
      </c>
      <c r="CM17" s="183"/>
      <c r="CN17" s="184"/>
      <c r="CO17" s="185"/>
      <c r="CP17" s="183"/>
      <c r="CQ17" s="184"/>
      <c r="CR17" s="185"/>
      <c r="CS17" s="183"/>
      <c r="CT17" s="184"/>
      <c r="CU17" s="185"/>
      <c r="CV17" s="183"/>
      <c r="CW17" s="184"/>
      <c r="CX17" s="185"/>
      <c r="CY17" s="186"/>
      <c r="CZ17" s="188">
        <f t="shared" si="25"/>
        <v>0</v>
      </c>
      <c r="DA17" s="187">
        <f t="shared" si="26"/>
        <v>0</v>
      </c>
      <c r="DB17" s="183"/>
      <c r="DC17" s="184"/>
      <c r="DD17" s="185"/>
      <c r="DE17" s="183"/>
      <c r="DF17" s="184"/>
      <c r="DG17" s="185"/>
      <c r="DH17" s="183"/>
      <c r="DI17" s="184"/>
      <c r="DJ17" s="185"/>
      <c r="DK17" s="183"/>
      <c r="DL17" s="184"/>
      <c r="DM17" s="185"/>
      <c r="DN17" s="186"/>
      <c r="DO17" s="188">
        <f t="shared" si="27"/>
        <v>0</v>
      </c>
      <c r="DP17" s="187">
        <f t="shared" si="28"/>
        <v>0</v>
      </c>
      <c r="DQ17" s="183"/>
      <c r="DR17" s="184"/>
      <c r="DS17" s="185"/>
      <c r="DT17" s="183"/>
      <c r="DU17" s="184"/>
      <c r="DV17" s="185"/>
      <c r="DW17" s="183"/>
      <c r="DX17" s="184"/>
      <c r="DY17" s="185"/>
      <c r="DZ17" s="183"/>
      <c r="EA17" s="184"/>
      <c r="EB17" s="185"/>
      <c r="EC17" s="186"/>
      <c r="ED17" s="188">
        <f t="shared" si="29"/>
        <v>0</v>
      </c>
      <c r="EE17" s="187">
        <f t="shared" si="30"/>
        <v>0</v>
      </c>
    </row>
    <row r="18" spans="1:135" ht="15.75" customHeight="1">
      <c r="A18" s="189" t="str">
        <f>IFERROR(VLOOKUP(L18,'Base dados Exercicios'!$C$4:$J$305,3,FALSE),"")</f>
        <v/>
      </c>
      <c r="B18" s="190" t="str">
        <f>IFERROR(VLOOKUP(L18,'Base dados Exercicios'!$C$4:$J$305,4,FALSE),"")</f>
        <v/>
      </c>
      <c r="C18" s="191" t="str">
        <f>IFERROR(VLOOKUP(L18,'Base dados Exercicios'!$C$4:$J$305,5,FALSE),"")</f>
        <v/>
      </c>
      <c r="D18" s="191" t="str">
        <f>IFERROR(VLOOKUP(L18,'Base dados Exercicios'!$C$4:$J$305,6,FALSE),"")</f>
        <v/>
      </c>
      <c r="E18" s="191" t="str">
        <f>IFERROR(VLOOKUP(L18,'Base dados Exercicios'!$C$4:$J$305,7,FALSE),"")</f>
        <v/>
      </c>
      <c r="F18" s="192" t="str">
        <f>IFERROR(VLOOKUP(L18,'Base dados Exercicios'!$C$4:$J$305,8,FALSE),"")</f>
        <v/>
      </c>
      <c r="G18" s="175"/>
      <c r="H18" s="445" t="s">
        <v>159</v>
      </c>
      <c r="I18" s="397"/>
      <c r="K18" s="436"/>
      <c r="L18" s="194"/>
      <c r="M18" s="179" t="str">
        <f>IF(L18&lt;&gt;"", HYPERLINK(VLOOKUP(L18,'Base dados Exercicios'!$C$4:$D$83,2,FALSE),"Check"),"")</f>
        <v/>
      </c>
      <c r="N18" s="195"/>
      <c r="O18" s="196"/>
      <c r="P18" s="197"/>
      <c r="Q18" s="183"/>
      <c r="R18" s="184"/>
      <c r="S18" s="185"/>
      <c r="T18" s="183"/>
      <c r="U18" s="184"/>
      <c r="V18" s="185"/>
      <c r="W18" s="183"/>
      <c r="X18" s="184"/>
      <c r="Y18" s="185"/>
      <c r="Z18" s="183"/>
      <c r="AA18" s="184"/>
      <c r="AB18" s="185"/>
      <c r="AC18" s="186"/>
      <c r="AD18" s="187">
        <f t="shared" si="16"/>
        <v>0</v>
      </c>
      <c r="AE18" s="183"/>
      <c r="AF18" s="184"/>
      <c r="AG18" s="185"/>
      <c r="AH18" s="183"/>
      <c r="AI18" s="184"/>
      <c r="AJ18" s="185"/>
      <c r="AK18" s="183"/>
      <c r="AL18" s="184"/>
      <c r="AM18" s="185"/>
      <c r="AN18" s="183"/>
      <c r="AO18" s="184"/>
      <c r="AP18" s="185"/>
      <c r="AQ18" s="186"/>
      <c r="AR18" s="188">
        <f t="shared" si="17"/>
        <v>0</v>
      </c>
      <c r="AS18" s="187">
        <f t="shared" si="18"/>
        <v>0</v>
      </c>
      <c r="AT18" s="183"/>
      <c r="AU18" s="184"/>
      <c r="AV18" s="185"/>
      <c r="AW18" s="183"/>
      <c r="AX18" s="184"/>
      <c r="AY18" s="185"/>
      <c r="AZ18" s="183"/>
      <c r="BA18" s="184"/>
      <c r="BB18" s="185"/>
      <c r="BC18" s="183"/>
      <c r="BD18" s="184"/>
      <c r="BE18" s="185"/>
      <c r="BF18" s="186"/>
      <c r="BG18" s="188">
        <f t="shared" si="19"/>
        <v>0</v>
      </c>
      <c r="BH18" s="187">
        <f t="shared" si="20"/>
        <v>0</v>
      </c>
      <c r="BI18" s="183"/>
      <c r="BJ18" s="184"/>
      <c r="BK18" s="185"/>
      <c r="BL18" s="183"/>
      <c r="BM18" s="184"/>
      <c r="BN18" s="185"/>
      <c r="BO18" s="183"/>
      <c r="BP18" s="184"/>
      <c r="BQ18" s="185"/>
      <c r="BR18" s="183"/>
      <c r="BS18" s="184"/>
      <c r="BT18" s="185"/>
      <c r="BU18" s="186"/>
      <c r="BV18" s="188">
        <f t="shared" si="21"/>
        <v>0</v>
      </c>
      <c r="BW18" s="187">
        <f t="shared" si="22"/>
        <v>0</v>
      </c>
      <c r="BX18" s="183"/>
      <c r="BY18" s="184"/>
      <c r="BZ18" s="185"/>
      <c r="CA18" s="183"/>
      <c r="CB18" s="184"/>
      <c r="CC18" s="185"/>
      <c r="CD18" s="183"/>
      <c r="CE18" s="184"/>
      <c r="CF18" s="185"/>
      <c r="CG18" s="183"/>
      <c r="CH18" s="184"/>
      <c r="CI18" s="185"/>
      <c r="CJ18" s="186"/>
      <c r="CK18" s="188">
        <f t="shared" si="23"/>
        <v>0</v>
      </c>
      <c r="CL18" s="187">
        <f t="shared" si="24"/>
        <v>0</v>
      </c>
      <c r="CM18" s="183"/>
      <c r="CN18" s="184"/>
      <c r="CO18" s="185"/>
      <c r="CP18" s="183"/>
      <c r="CQ18" s="184"/>
      <c r="CR18" s="185"/>
      <c r="CS18" s="183"/>
      <c r="CT18" s="184"/>
      <c r="CU18" s="185"/>
      <c r="CV18" s="183"/>
      <c r="CW18" s="184"/>
      <c r="CX18" s="185"/>
      <c r="CY18" s="186"/>
      <c r="CZ18" s="188">
        <f t="shared" si="25"/>
        <v>0</v>
      </c>
      <c r="DA18" s="187">
        <f t="shared" si="26"/>
        <v>0</v>
      </c>
      <c r="DB18" s="183"/>
      <c r="DC18" s="184"/>
      <c r="DD18" s="185"/>
      <c r="DE18" s="183"/>
      <c r="DF18" s="184"/>
      <c r="DG18" s="185"/>
      <c r="DH18" s="183"/>
      <c r="DI18" s="184"/>
      <c r="DJ18" s="185"/>
      <c r="DK18" s="183"/>
      <c r="DL18" s="184"/>
      <c r="DM18" s="185"/>
      <c r="DN18" s="186"/>
      <c r="DO18" s="188">
        <f t="shared" si="27"/>
        <v>0</v>
      </c>
      <c r="DP18" s="187">
        <f t="shared" si="28"/>
        <v>0</v>
      </c>
      <c r="DQ18" s="183"/>
      <c r="DR18" s="184"/>
      <c r="DS18" s="185"/>
      <c r="DT18" s="183"/>
      <c r="DU18" s="184"/>
      <c r="DV18" s="185"/>
      <c r="DW18" s="183"/>
      <c r="DX18" s="184"/>
      <c r="DY18" s="185"/>
      <c r="DZ18" s="183"/>
      <c r="EA18" s="184"/>
      <c r="EB18" s="185"/>
      <c r="EC18" s="186"/>
      <c r="ED18" s="188">
        <f t="shared" si="29"/>
        <v>0</v>
      </c>
      <c r="EE18" s="187">
        <f t="shared" si="30"/>
        <v>0</v>
      </c>
    </row>
    <row r="19" spans="1:135" ht="15.75" customHeight="1">
      <c r="A19" s="189" t="str">
        <f>IFERROR(VLOOKUP(L19,'Base dados Exercicios'!$C$4:$J$305,3,FALSE),"")</f>
        <v/>
      </c>
      <c r="B19" s="190" t="str">
        <f>IFERROR(VLOOKUP(L19,'Base dados Exercicios'!$C$4:$J$305,4,FALSE),"")</f>
        <v/>
      </c>
      <c r="C19" s="191" t="str">
        <f>IFERROR(VLOOKUP(L19,'Base dados Exercicios'!$C$4:$J$305,5,FALSE),"")</f>
        <v/>
      </c>
      <c r="D19" s="191" t="str">
        <f>IFERROR(VLOOKUP(L19,'Base dados Exercicios'!$C$4:$J$305,6,FALSE),"")</f>
        <v/>
      </c>
      <c r="E19" s="191" t="str">
        <f>IFERROR(VLOOKUP(L19,'Base dados Exercicios'!$C$4:$J$305,7,FALSE),"")</f>
        <v/>
      </c>
      <c r="F19" s="192" t="str">
        <f>IFERROR(VLOOKUP(L19,'Base dados Exercicios'!$C$4:$J$305,8,FALSE),"")</f>
        <v/>
      </c>
      <c r="G19" s="175"/>
      <c r="H19" s="443"/>
      <c r="I19" s="361"/>
      <c r="K19" s="436"/>
      <c r="L19" s="194"/>
      <c r="M19" s="179" t="str">
        <f>IF(L19&lt;&gt;"", HYPERLINK(VLOOKUP(L19,'Base dados Exercicios'!$C$4:$D$83,2,FALSE),"Check"),"")</f>
        <v/>
      </c>
      <c r="N19" s="195"/>
      <c r="O19" s="196"/>
      <c r="P19" s="197"/>
      <c r="Q19" s="183"/>
      <c r="R19" s="184"/>
      <c r="S19" s="185"/>
      <c r="T19" s="183"/>
      <c r="U19" s="184"/>
      <c r="V19" s="185"/>
      <c r="W19" s="183"/>
      <c r="X19" s="184"/>
      <c r="Y19" s="185"/>
      <c r="Z19" s="183"/>
      <c r="AA19" s="184"/>
      <c r="AB19" s="185"/>
      <c r="AC19" s="186"/>
      <c r="AD19" s="187">
        <f t="shared" si="16"/>
        <v>0</v>
      </c>
      <c r="AE19" s="183"/>
      <c r="AF19" s="184"/>
      <c r="AG19" s="185"/>
      <c r="AH19" s="183"/>
      <c r="AI19" s="184"/>
      <c r="AJ19" s="185"/>
      <c r="AK19" s="183"/>
      <c r="AL19" s="184"/>
      <c r="AM19" s="185"/>
      <c r="AN19" s="183"/>
      <c r="AO19" s="184"/>
      <c r="AP19" s="185"/>
      <c r="AQ19" s="186"/>
      <c r="AR19" s="188">
        <f t="shared" si="17"/>
        <v>0</v>
      </c>
      <c r="AS19" s="187">
        <f t="shared" si="18"/>
        <v>0</v>
      </c>
      <c r="AT19" s="183"/>
      <c r="AU19" s="184"/>
      <c r="AV19" s="185"/>
      <c r="AW19" s="183"/>
      <c r="AX19" s="184"/>
      <c r="AY19" s="185"/>
      <c r="AZ19" s="183"/>
      <c r="BA19" s="184"/>
      <c r="BB19" s="185"/>
      <c r="BC19" s="183"/>
      <c r="BD19" s="184"/>
      <c r="BE19" s="185"/>
      <c r="BF19" s="186"/>
      <c r="BG19" s="188">
        <f t="shared" si="19"/>
        <v>0</v>
      </c>
      <c r="BH19" s="187">
        <f t="shared" si="20"/>
        <v>0</v>
      </c>
      <c r="BI19" s="183"/>
      <c r="BJ19" s="184"/>
      <c r="BK19" s="185"/>
      <c r="BL19" s="183"/>
      <c r="BM19" s="184"/>
      <c r="BN19" s="185"/>
      <c r="BO19" s="183"/>
      <c r="BP19" s="184"/>
      <c r="BQ19" s="185"/>
      <c r="BR19" s="183"/>
      <c r="BS19" s="184"/>
      <c r="BT19" s="185"/>
      <c r="BU19" s="186"/>
      <c r="BV19" s="188">
        <f t="shared" si="21"/>
        <v>0</v>
      </c>
      <c r="BW19" s="187">
        <f t="shared" si="22"/>
        <v>0</v>
      </c>
      <c r="BX19" s="183"/>
      <c r="BY19" s="184"/>
      <c r="BZ19" s="185"/>
      <c r="CA19" s="183"/>
      <c r="CB19" s="184"/>
      <c r="CC19" s="185"/>
      <c r="CD19" s="183"/>
      <c r="CE19" s="184"/>
      <c r="CF19" s="185"/>
      <c r="CG19" s="183"/>
      <c r="CH19" s="184"/>
      <c r="CI19" s="185"/>
      <c r="CJ19" s="186"/>
      <c r="CK19" s="188">
        <f t="shared" si="23"/>
        <v>0</v>
      </c>
      <c r="CL19" s="187">
        <f t="shared" si="24"/>
        <v>0</v>
      </c>
      <c r="CM19" s="183"/>
      <c r="CN19" s="184"/>
      <c r="CO19" s="185"/>
      <c r="CP19" s="183"/>
      <c r="CQ19" s="184"/>
      <c r="CR19" s="185"/>
      <c r="CS19" s="183"/>
      <c r="CT19" s="184"/>
      <c r="CU19" s="185"/>
      <c r="CV19" s="183"/>
      <c r="CW19" s="184"/>
      <c r="CX19" s="185"/>
      <c r="CY19" s="186"/>
      <c r="CZ19" s="188">
        <f t="shared" si="25"/>
        <v>0</v>
      </c>
      <c r="DA19" s="187">
        <f t="shared" si="26"/>
        <v>0</v>
      </c>
      <c r="DB19" s="183"/>
      <c r="DC19" s="184"/>
      <c r="DD19" s="185"/>
      <c r="DE19" s="183"/>
      <c r="DF19" s="184"/>
      <c r="DG19" s="185"/>
      <c r="DH19" s="183"/>
      <c r="DI19" s="184"/>
      <c r="DJ19" s="185"/>
      <c r="DK19" s="183"/>
      <c r="DL19" s="184"/>
      <c r="DM19" s="185"/>
      <c r="DN19" s="186"/>
      <c r="DO19" s="188">
        <f t="shared" si="27"/>
        <v>0</v>
      </c>
      <c r="DP19" s="187">
        <f t="shared" si="28"/>
        <v>0</v>
      </c>
      <c r="DQ19" s="183"/>
      <c r="DR19" s="184"/>
      <c r="DS19" s="185"/>
      <c r="DT19" s="183"/>
      <c r="DU19" s="184"/>
      <c r="DV19" s="185"/>
      <c r="DW19" s="183"/>
      <c r="DX19" s="184"/>
      <c r="DY19" s="185"/>
      <c r="DZ19" s="183"/>
      <c r="EA19" s="184"/>
      <c r="EB19" s="185"/>
      <c r="EC19" s="186"/>
      <c r="ED19" s="188">
        <f t="shared" si="29"/>
        <v>0</v>
      </c>
      <c r="EE19" s="187">
        <f t="shared" si="30"/>
        <v>0</v>
      </c>
    </row>
    <row r="20" spans="1:135" ht="15.75" customHeight="1">
      <c r="A20" s="189" t="str">
        <f>IFERROR(VLOOKUP(L20,'Base dados Exercicios'!$C$4:$J$305,3,FALSE),"")</f>
        <v/>
      </c>
      <c r="B20" s="190" t="str">
        <f>IFERROR(VLOOKUP(L20,'Base dados Exercicios'!$C$4:$J$305,4,FALSE),"")</f>
        <v/>
      </c>
      <c r="C20" s="191" t="str">
        <f>IFERROR(VLOOKUP(L20,'Base dados Exercicios'!$C$4:$J$305,5,FALSE),"")</f>
        <v/>
      </c>
      <c r="D20" s="191" t="str">
        <f>IFERROR(VLOOKUP(L20,'Base dados Exercicios'!$C$4:$J$305,6,FALSE),"")</f>
        <v/>
      </c>
      <c r="E20" s="191" t="str">
        <f>IFERROR(VLOOKUP(L20,'Base dados Exercicios'!$C$4:$J$305,7,FALSE),"")</f>
        <v/>
      </c>
      <c r="F20" s="192" t="str">
        <f>IFERROR(VLOOKUP(L20,'Base dados Exercicios'!$C$4:$J$305,8,FALSE),"")</f>
        <v/>
      </c>
      <c r="G20" s="175"/>
      <c r="H20" s="446"/>
      <c r="I20" s="372"/>
      <c r="K20" s="436"/>
      <c r="L20" s="194"/>
      <c r="M20" s="179" t="str">
        <f>IF(L20&lt;&gt;"", HYPERLINK(VLOOKUP(L20,'Base dados Exercicios'!$C$4:$D$83,2,FALSE),"Check"),"")</f>
        <v/>
      </c>
      <c r="N20" s="195"/>
      <c r="O20" s="196"/>
      <c r="P20" s="197"/>
      <c r="Q20" s="183"/>
      <c r="R20" s="184"/>
      <c r="S20" s="185"/>
      <c r="T20" s="183"/>
      <c r="U20" s="184"/>
      <c r="V20" s="185"/>
      <c r="W20" s="183"/>
      <c r="X20" s="184"/>
      <c r="Y20" s="185"/>
      <c r="Z20" s="183"/>
      <c r="AA20" s="184"/>
      <c r="AB20" s="185"/>
      <c r="AC20" s="186"/>
      <c r="AD20" s="187">
        <f t="shared" si="16"/>
        <v>0</v>
      </c>
      <c r="AE20" s="183"/>
      <c r="AF20" s="184"/>
      <c r="AG20" s="185"/>
      <c r="AH20" s="183"/>
      <c r="AI20" s="184"/>
      <c r="AJ20" s="185"/>
      <c r="AK20" s="183"/>
      <c r="AL20" s="184"/>
      <c r="AM20" s="185"/>
      <c r="AN20" s="183"/>
      <c r="AO20" s="184"/>
      <c r="AP20" s="185"/>
      <c r="AQ20" s="186"/>
      <c r="AR20" s="188">
        <f t="shared" si="17"/>
        <v>0</v>
      </c>
      <c r="AS20" s="187">
        <f t="shared" si="18"/>
        <v>0</v>
      </c>
      <c r="AT20" s="183"/>
      <c r="AU20" s="184"/>
      <c r="AV20" s="185"/>
      <c r="AW20" s="183"/>
      <c r="AX20" s="184"/>
      <c r="AY20" s="185"/>
      <c r="AZ20" s="183"/>
      <c r="BA20" s="184"/>
      <c r="BB20" s="185"/>
      <c r="BC20" s="183"/>
      <c r="BD20" s="184"/>
      <c r="BE20" s="185"/>
      <c r="BF20" s="186"/>
      <c r="BG20" s="188">
        <f t="shared" si="19"/>
        <v>0</v>
      </c>
      <c r="BH20" s="187">
        <f t="shared" si="20"/>
        <v>0</v>
      </c>
      <c r="BI20" s="183"/>
      <c r="BJ20" s="184"/>
      <c r="BK20" s="185"/>
      <c r="BL20" s="183"/>
      <c r="BM20" s="184"/>
      <c r="BN20" s="185"/>
      <c r="BO20" s="183"/>
      <c r="BP20" s="184"/>
      <c r="BQ20" s="185"/>
      <c r="BR20" s="183"/>
      <c r="BS20" s="184"/>
      <c r="BT20" s="185"/>
      <c r="BU20" s="186"/>
      <c r="BV20" s="188">
        <f t="shared" si="21"/>
        <v>0</v>
      </c>
      <c r="BW20" s="187">
        <f t="shared" si="22"/>
        <v>0</v>
      </c>
      <c r="BX20" s="183"/>
      <c r="BY20" s="184"/>
      <c r="BZ20" s="185"/>
      <c r="CA20" s="183"/>
      <c r="CB20" s="184"/>
      <c r="CC20" s="185"/>
      <c r="CD20" s="183"/>
      <c r="CE20" s="184"/>
      <c r="CF20" s="185"/>
      <c r="CG20" s="183"/>
      <c r="CH20" s="184"/>
      <c r="CI20" s="185"/>
      <c r="CJ20" s="186"/>
      <c r="CK20" s="188">
        <f t="shared" si="23"/>
        <v>0</v>
      </c>
      <c r="CL20" s="187">
        <f t="shared" si="24"/>
        <v>0</v>
      </c>
      <c r="CM20" s="183"/>
      <c r="CN20" s="184"/>
      <c r="CO20" s="185"/>
      <c r="CP20" s="183"/>
      <c r="CQ20" s="184"/>
      <c r="CR20" s="185"/>
      <c r="CS20" s="183"/>
      <c r="CT20" s="184"/>
      <c r="CU20" s="185"/>
      <c r="CV20" s="183"/>
      <c r="CW20" s="184"/>
      <c r="CX20" s="185"/>
      <c r="CY20" s="186"/>
      <c r="CZ20" s="188">
        <f t="shared" si="25"/>
        <v>0</v>
      </c>
      <c r="DA20" s="187">
        <f t="shared" si="26"/>
        <v>0</v>
      </c>
      <c r="DB20" s="183"/>
      <c r="DC20" s="184"/>
      <c r="DD20" s="185"/>
      <c r="DE20" s="183"/>
      <c r="DF20" s="184"/>
      <c r="DG20" s="185"/>
      <c r="DH20" s="183"/>
      <c r="DI20" s="184"/>
      <c r="DJ20" s="185"/>
      <c r="DK20" s="183"/>
      <c r="DL20" s="184"/>
      <c r="DM20" s="185"/>
      <c r="DN20" s="186"/>
      <c r="DO20" s="188">
        <f t="shared" si="27"/>
        <v>0</v>
      </c>
      <c r="DP20" s="187">
        <f t="shared" si="28"/>
        <v>0</v>
      </c>
      <c r="DQ20" s="183"/>
      <c r="DR20" s="184"/>
      <c r="DS20" s="185"/>
      <c r="DT20" s="183"/>
      <c r="DU20" s="184"/>
      <c r="DV20" s="185"/>
      <c r="DW20" s="183"/>
      <c r="DX20" s="184"/>
      <c r="DY20" s="185"/>
      <c r="DZ20" s="183"/>
      <c r="EA20" s="184"/>
      <c r="EB20" s="185"/>
      <c r="EC20" s="186"/>
      <c r="ED20" s="188">
        <f t="shared" si="29"/>
        <v>0</v>
      </c>
      <c r="EE20" s="187">
        <f t="shared" si="30"/>
        <v>0</v>
      </c>
    </row>
    <row r="21" spans="1:135" ht="15.75" customHeight="1">
      <c r="A21" s="189" t="str">
        <f>IFERROR(VLOOKUP(L21,'Base dados Exercicios'!$C$4:$J$305,3,FALSE),"")</f>
        <v/>
      </c>
      <c r="B21" s="190" t="str">
        <f>IFERROR(VLOOKUP(L21,'Base dados Exercicios'!$C$4:$J$305,4,FALSE),"")</f>
        <v/>
      </c>
      <c r="C21" s="191" t="str">
        <f>IFERROR(VLOOKUP(L21,'Base dados Exercicios'!$C$4:$J$305,5,FALSE),"")</f>
        <v/>
      </c>
      <c r="D21" s="191" t="str">
        <f>IFERROR(VLOOKUP(L21,'Base dados Exercicios'!$C$4:$J$305,6,FALSE),"")</f>
        <v/>
      </c>
      <c r="E21" s="191" t="str">
        <f>IFERROR(VLOOKUP(L21,'Base dados Exercicios'!$C$4:$J$305,7,FALSE),"")</f>
        <v/>
      </c>
      <c r="F21" s="192" t="str">
        <f>IFERROR(VLOOKUP(L21,'Base dados Exercicios'!$C$4:$J$305,8,FALSE),"")</f>
        <v/>
      </c>
      <c r="G21" s="211"/>
      <c r="H21" s="398"/>
      <c r="I21" s="356"/>
      <c r="K21" s="436"/>
      <c r="L21" s="194"/>
      <c r="M21" s="179" t="str">
        <f>IF(L21&lt;&gt;"", HYPERLINK(VLOOKUP(L21,'Base dados Exercicios'!$C$4:$D$83,2,FALSE),"Check"),"")</f>
        <v/>
      </c>
      <c r="N21" s="195"/>
      <c r="O21" s="196"/>
      <c r="P21" s="197"/>
      <c r="Q21" s="183"/>
      <c r="R21" s="184"/>
      <c r="S21" s="185"/>
      <c r="T21" s="183"/>
      <c r="U21" s="184"/>
      <c r="V21" s="185"/>
      <c r="W21" s="183"/>
      <c r="X21" s="184"/>
      <c r="Y21" s="185"/>
      <c r="Z21" s="183"/>
      <c r="AA21" s="184"/>
      <c r="AB21" s="185"/>
      <c r="AC21" s="186"/>
      <c r="AD21" s="187">
        <f t="shared" si="16"/>
        <v>0</v>
      </c>
      <c r="AE21" s="183"/>
      <c r="AF21" s="184"/>
      <c r="AG21" s="185"/>
      <c r="AH21" s="183"/>
      <c r="AI21" s="184"/>
      <c r="AJ21" s="185"/>
      <c r="AK21" s="183"/>
      <c r="AL21" s="184"/>
      <c r="AM21" s="185"/>
      <c r="AN21" s="183"/>
      <c r="AO21" s="184"/>
      <c r="AP21" s="185"/>
      <c r="AQ21" s="186"/>
      <c r="AR21" s="188">
        <f t="shared" si="17"/>
        <v>0</v>
      </c>
      <c r="AS21" s="187">
        <f t="shared" si="18"/>
        <v>0</v>
      </c>
      <c r="AT21" s="183"/>
      <c r="AU21" s="184"/>
      <c r="AV21" s="185"/>
      <c r="AW21" s="183"/>
      <c r="AX21" s="184"/>
      <c r="AY21" s="185"/>
      <c r="AZ21" s="183"/>
      <c r="BA21" s="184"/>
      <c r="BB21" s="185"/>
      <c r="BC21" s="183"/>
      <c r="BD21" s="184"/>
      <c r="BE21" s="185"/>
      <c r="BF21" s="186"/>
      <c r="BG21" s="188">
        <f t="shared" si="19"/>
        <v>0</v>
      </c>
      <c r="BH21" s="187">
        <f t="shared" si="20"/>
        <v>0</v>
      </c>
      <c r="BI21" s="183"/>
      <c r="BJ21" s="184"/>
      <c r="BK21" s="185"/>
      <c r="BL21" s="183"/>
      <c r="BM21" s="184"/>
      <c r="BN21" s="185"/>
      <c r="BO21" s="183"/>
      <c r="BP21" s="184"/>
      <c r="BQ21" s="185"/>
      <c r="BR21" s="183"/>
      <c r="BS21" s="184"/>
      <c r="BT21" s="185"/>
      <c r="BU21" s="186"/>
      <c r="BV21" s="188">
        <f t="shared" si="21"/>
        <v>0</v>
      </c>
      <c r="BW21" s="187">
        <f t="shared" si="22"/>
        <v>0</v>
      </c>
      <c r="BX21" s="183"/>
      <c r="BY21" s="184"/>
      <c r="BZ21" s="185"/>
      <c r="CA21" s="183"/>
      <c r="CB21" s="184"/>
      <c r="CC21" s="185"/>
      <c r="CD21" s="183"/>
      <c r="CE21" s="184"/>
      <c r="CF21" s="185"/>
      <c r="CG21" s="183"/>
      <c r="CH21" s="184"/>
      <c r="CI21" s="185"/>
      <c r="CJ21" s="186"/>
      <c r="CK21" s="188">
        <f t="shared" si="23"/>
        <v>0</v>
      </c>
      <c r="CL21" s="187">
        <f t="shared" si="24"/>
        <v>0</v>
      </c>
      <c r="CM21" s="183"/>
      <c r="CN21" s="184"/>
      <c r="CO21" s="185"/>
      <c r="CP21" s="183"/>
      <c r="CQ21" s="184"/>
      <c r="CR21" s="185"/>
      <c r="CS21" s="183"/>
      <c r="CT21" s="184"/>
      <c r="CU21" s="185"/>
      <c r="CV21" s="183"/>
      <c r="CW21" s="184"/>
      <c r="CX21" s="185"/>
      <c r="CY21" s="186"/>
      <c r="CZ21" s="188">
        <f t="shared" si="25"/>
        <v>0</v>
      </c>
      <c r="DA21" s="187">
        <f t="shared" si="26"/>
        <v>0</v>
      </c>
      <c r="DB21" s="183"/>
      <c r="DC21" s="184"/>
      <c r="DD21" s="185"/>
      <c r="DE21" s="183"/>
      <c r="DF21" s="184"/>
      <c r="DG21" s="185"/>
      <c r="DH21" s="183"/>
      <c r="DI21" s="184"/>
      <c r="DJ21" s="185"/>
      <c r="DK21" s="183"/>
      <c r="DL21" s="184"/>
      <c r="DM21" s="185"/>
      <c r="DN21" s="186"/>
      <c r="DO21" s="188">
        <f t="shared" si="27"/>
        <v>0</v>
      </c>
      <c r="DP21" s="187">
        <f t="shared" si="28"/>
        <v>0</v>
      </c>
      <c r="DQ21" s="183"/>
      <c r="DR21" s="184"/>
      <c r="DS21" s="185"/>
      <c r="DT21" s="183"/>
      <c r="DU21" s="184"/>
      <c r="DV21" s="185"/>
      <c r="DW21" s="183"/>
      <c r="DX21" s="184"/>
      <c r="DY21" s="185"/>
      <c r="DZ21" s="183"/>
      <c r="EA21" s="184"/>
      <c r="EB21" s="185"/>
      <c r="EC21" s="186"/>
      <c r="ED21" s="188">
        <f t="shared" si="29"/>
        <v>0</v>
      </c>
      <c r="EE21" s="187">
        <f t="shared" si="30"/>
        <v>0</v>
      </c>
    </row>
    <row r="22" spans="1:135" ht="15.75" customHeight="1">
      <c r="A22" s="189" t="str">
        <f>IFERROR(VLOOKUP(L22,'Base dados Exercicios'!$C$4:$J$305,3,FALSE),"")</f>
        <v/>
      </c>
      <c r="B22" s="190" t="str">
        <f>IFERROR(VLOOKUP(L22,'Base dados Exercicios'!$C$4:$J$305,4,FALSE),"")</f>
        <v/>
      </c>
      <c r="C22" s="191" t="str">
        <f>IFERROR(VLOOKUP(L22,'Base dados Exercicios'!$C$4:$J$305,5,FALSE),"")</f>
        <v/>
      </c>
      <c r="D22" s="191" t="str">
        <f>IFERROR(VLOOKUP(L22,'Base dados Exercicios'!$C$4:$J$305,6,FALSE),"")</f>
        <v/>
      </c>
      <c r="E22" s="191" t="str">
        <f>IFERROR(VLOOKUP(L22,'Base dados Exercicios'!$C$4:$J$305,7,FALSE),"")</f>
        <v/>
      </c>
      <c r="F22" s="192" t="str">
        <f>IFERROR(VLOOKUP(L22,'Base dados Exercicios'!$C$4:$J$305,8,FALSE),"")</f>
        <v/>
      </c>
      <c r="G22" s="211"/>
      <c r="K22" s="436"/>
      <c r="L22" s="194"/>
      <c r="M22" s="179" t="str">
        <f>IF(L22&lt;&gt;"", HYPERLINK(VLOOKUP(L22,'Base dados Exercicios'!$C$4:$D$83,2,FALSE),"Check"),"")</f>
        <v/>
      </c>
      <c r="N22" s="195"/>
      <c r="O22" s="196"/>
      <c r="P22" s="197"/>
      <c r="Q22" s="183"/>
      <c r="R22" s="184"/>
      <c r="S22" s="185"/>
      <c r="T22" s="183"/>
      <c r="U22" s="184"/>
      <c r="V22" s="185"/>
      <c r="W22" s="183"/>
      <c r="X22" s="184"/>
      <c r="Y22" s="185"/>
      <c r="Z22" s="183"/>
      <c r="AA22" s="184"/>
      <c r="AB22" s="185"/>
      <c r="AC22" s="186"/>
      <c r="AD22" s="187">
        <f t="shared" si="16"/>
        <v>0</v>
      </c>
      <c r="AE22" s="183"/>
      <c r="AF22" s="184"/>
      <c r="AG22" s="185"/>
      <c r="AH22" s="183"/>
      <c r="AI22" s="184"/>
      <c r="AJ22" s="185"/>
      <c r="AK22" s="183"/>
      <c r="AL22" s="184"/>
      <c r="AM22" s="185"/>
      <c r="AN22" s="183"/>
      <c r="AO22" s="184"/>
      <c r="AP22" s="185"/>
      <c r="AQ22" s="186"/>
      <c r="AR22" s="188">
        <f t="shared" si="17"/>
        <v>0</v>
      </c>
      <c r="AS22" s="187">
        <f t="shared" si="18"/>
        <v>0</v>
      </c>
      <c r="AT22" s="183"/>
      <c r="AU22" s="184"/>
      <c r="AV22" s="185"/>
      <c r="AW22" s="183"/>
      <c r="AX22" s="184"/>
      <c r="AY22" s="185"/>
      <c r="AZ22" s="183"/>
      <c r="BA22" s="184"/>
      <c r="BB22" s="185"/>
      <c r="BC22" s="183"/>
      <c r="BD22" s="184"/>
      <c r="BE22" s="185"/>
      <c r="BF22" s="186"/>
      <c r="BG22" s="188">
        <f t="shared" si="19"/>
        <v>0</v>
      </c>
      <c r="BH22" s="187">
        <f t="shared" si="20"/>
        <v>0</v>
      </c>
      <c r="BI22" s="183"/>
      <c r="BJ22" s="184"/>
      <c r="BK22" s="185"/>
      <c r="BL22" s="183"/>
      <c r="BM22" s="184"/>
      <c r="BN22" s="185"/>
      <c r="BO22" s="183"/>
      <c r="BP22" s="184"/>
      <c r="BQ22" s="185"/>
      <c r="BR22" s="183"/>
      <c r="BS22" s="184"/>
      <c r="BT22" s="185"/>
      <c r="BU22" s="186"/>
      <c r="BV22" s="188">
        <f t="shared" si="21"/>
        <v>0</v>
      </c>
      <c r="BW22" s="187">
        <f t="shared" si="22"/>
        <v>0</v>
      </c>
      <c r="BX22" s="183"/>
      <c r="BY22" s="184"/>
      <c r="BZ22" s="185"/>
      <c r="CA22" s="183"/>
      <c r="CB22" s="184"/>
      <c r="CC22" s="185"/>
      <c r="CD22" s="183"/>
      <c r="CE22" s="184"/>
      <c r="CF22" s="185"/>
      <c r="CG22" s="183"/>
      <c r="CH22" s="184"/>
      <c r="CI22" s="185"/>
      <c r="CJ22" s="186"/>
      <c r="CK22" s="188">
        <f t="shared" si="23"/>
        <v>0</v>
      </c>
      <c r="CL22" s="187">
        <f t="shared" si="24"/>
        <v>0</v>
      </c>
      <c r="CM22" s="183"/>
      <c r="CN22" s="184"/>
      <c r="CO22" s="185"/>
      <c r="CP22" s="183"/>
      <c r="CQ22" s="184"/>
      <c r="CR22" s="185"/>
      <c r="CS22" s="183"/>
      <c r="CT22" s="184"/>
      <c r="CU22" s="185"/>
      <c r="CV22" s="183"/>
      <c r="CW22" s="184"/>
      <c r="CX22" s="185"/>
      <c r="CY22" s="186"/>
      <c r="CZ22" s="188">
        <f t="shared" si="25"/>
        <v>0</v>
      </c>
      <c r="DA22" s="187">
        <f t="shared" si="26"/>
        <v>0</v>
      </c>
      <c r="DB22" s="183"/>
      <c r="DC22" s="184"/>
      <c r="DD22" s="185"/>
      <c r="DE22" s="183"/>
      <c r="DF22" s="184"/>
      <c r="DG22" s="185"/>
      <c r="DH22" s="183"/>
      <c r="DI22" s="184"/>
      <c r="DJ22" s="185"/>
      <c r="DK22" s="183"/>
      <c r="DL22" s="184"/>
      <c r="DM22" s="185"/>
      <c r="DN22" s="186"/>
      <c r="DO22" s="188">
        <f t="shared" si="27"/>
        <v>0</v>
      </c>
      <c r="DP22" s="187">
        <f t="shared" si="28"/>
        <v>0</v>
      </c>
      <c r="DQ22" s="183"/>
      <c r="DR22" s="184"/>
      <c r="DS22" s="185"/>
      <c r="DT22" s="183"/>
      <c r="DU22" s="184"/>
      <c r="DV22" s="185"/>
      <c r="DW22" s="183"/>
      <c r="DX22" s="184"/>
      <c r="DY22" s="185"/>
      <c r="DZ22" s="183"/>
      <c r="EA22" s="184"/>
      <c r="EB22" s="185"/>
      <c r="EC22" s="186"/>
      <c r="ED22" s="188">
        <f t="shared" si="29"/>
        <v>0</v>
      </c>
      <c r="EE22" s="187">
        <f t="shared" si="30"/>
        <v>0</v>
      </c>
    </row>
    <row r="23" spans="1:135" ht="15.75" customHeight="1">
      <c r="A23" s="198" t="str">
        <f>IFERROR(VLOOKUP(L23,'Base dados Exercicios'!$C$4:$J$305,3,FALSE),"")</f>
        <v/>
      </c>
      <c r="B23" s="199" t="str">
        <f>IFERROR(VLOOKUP(L23,'Base dados Exercicios'!$C$4:$J$305,4,FALSE),"")</f>
        <v/>
      </c>
      <c r="C23" s="200" t="str">
        <f>IFERROR(VLOOKUP(L23,'Base dados Exercicios'!$C$4:$J$305,5,FALSE),"")</f>
        <v/>
      </c>
      <c r="D23" s="200" t="str">
        <f>IFERROR(VLOOKUP(L23,'Base dados Exercicios'!$C$4:$J$305,6,FALSE),"")</f>
        <v/>
      </c>
      <c r="E23" s="200" t="str">
        <f>IFERROR(VLOOKUP(L23,'Base dados Exercicios'!$C$4:$J$305,7,FALSE),"")</f>
        <v/>
      </c>
      <c r="F23" s="201" t="str">
        <f>IFERROR(VLOOKUP(L23,'Base dados Exercicios'!$C$4:$J$305,8,FALSE),"")</f>
        <v/>
      </c>
      <c r="G23" s="211"/>
      <c r="H23" s="212" t="s">
        <v>162</v>
      </c>
      <c r="I23" s="213"/>
      <c r="K23" s="437"/>
      <c r="L23" s="194"/>
      <c r="M23" s="179" t="str">
        <f>IF(L23&lt;&gt;"", HYPERLINK(VLOOKUP(L23,'Base dados Exercicios'!$C$4:$D$83,2,FALSE),"Check"),"")</f>
        <v/>
      </c>
      <c r="N23" s="202"/>
      <c r="O23" s="203"/>
      <c r="P23" s="204"/>
      <c r="Q23" s="214" t="s">
        <v>154</v>
      </c>
      <c r="R23" s="206"/>
      <c r="S23" s="206"/>
      <c r="T23" s="206"/>
      <c r="U23" s="206"/>
      <c r="V23" s="206"/>
      <c r="W23" s="206"/>
      <c r="X23" s="206"/>
      <c r="Y23" s="206"/>
      <c r="Z23" s="206"/>
      <c r="AA23" s="206"/>
      <c r="AB23" s="206"/>
      <c r="AC23" s="206"/>
      <c r="AD23" s="207"/>
      <c r="AE23" s="214" t="s">
        <v>154</v>
      </c>
      <c r="AF23" s="206"/>
      <c r="AG23" s="206"/>
      <c r="AH23" s="206"/>
      <c r="AI23" s="206"/>
      <c r="AJ23" s="206"/>
      <c r="AK23" s="206"/>
      <c r="AL23" s="206"/>
      <c r="AM23" s="206"/>
      <c r="AN23" s="206"/>
      <c r="AO23" s="206"/>
      <c r="AP23" s="206"/>
      <c r="AQ23" s="206"/>
      <c r="AR23" s="206"/>
      <c r="AS23" s="207"/>
      <c r="AT23" s="214" t="s">
        <v>154</v>
      </c>
      <c r="AU23" s="206"/>
      <c r="AV23" s="206"/>
      <c r="AW23" s="206"/>
      <c r="AX23" s="206"/>
      <c r="AY23" s="206"/>
      <c r="AZ23" s="206"/>
      <c r="BA23" s="206"/>
      <c r="BB23" s="206"/>
      <c r="BC23" s="206"/>
      <c r="BD23" s="206"/>
      <c r="BE23" s="206"/>
      <c r="BF23" s="206"/>
      <c r="BG23" s="206"/>
      <c r="BH23" s="207"/>
      <c r="BI23" s="214" t="s">
        <v>154</v>
      </c>
      <c r="BJ23" s="206"/>
      <c r="BK23" s="206"/>
      <c r="BL23" s="206"/>
      <c r="BM23" s="206"/>
      <c r="BN23" s="206"/>
      <c r="BO23" s="206"/>
      <c r="BP23" s="206"/>
      <c r="BQ23" s="206"/>
      <c r="BR23" s="206"/>
      <c r="BS23" s="206"/>
      <c r="BT23" s="206"/>
      <c r="BU23" s="206"/>
      <c r="BV23" s="206"/>
      <c r="BW23" s="207"/>
      <c r="BX23" s="214" t="s">
        <v>154</v>
      </c>
      <c r="BY23" s="206"/>
      <c r="BZ23" s="206"/>
      <c r="CA23" s="206"/>
      <c r="CB23" s="206"/>
      <c r="CC23" s="206"/>
      <c r="CD23" s="206"/>
      <c r="CE23" s="206"/>
      <c r="CF23" s="206"/>
      <c r="CG23" s="206"/>
      <c r="CH23" s="206"/>
      <c r="CI23" s="206"/>
      <c r="CJ23" s="206"/>
      <c r="CK23" s="206"/>
      <c r="CL23" s="207"/>
      <c r="CM23" s="214" t="s">
        <v>154</v>
      </c>
      <c r="CN23" s="206"/>
      <c r="CO23" s="206"/>
      <c r="CP23" s="206"/>
      <c r="CQ23" s="206"/>
      <c r="CR23" s="206"/>
      <c r="CS23" s="206"/>
      <c r="CT23" s="206"/>
      <c r="CU23" s="206"/>
      <c r="CV23" s="206"/>
      <c r="CW23" s="206"/>
      <c r="CX23" s="206"/>
      <c r="CY23" s="206"/>
      <c r="CZ23" s="206"/>
      <c r="DA23" s="207"/>
      <c r="DB23" s="214" t="s">
        <v>154</v>
      </c>
      <c r="DC23" s="206"/>
      <c r="DD23" s="206"/>
      <c r="DE23" s="206"/>
      <c r="DF23" s="206"/>
      <c r="DG23" s="206"/>
      <c r="DH23" s="206"/>
      <c r="DI23" s="206"/>
      <c r="DJ23" s="206"/>
      <c r="DK23" s="206"/>
      <c r="DL23" s="206"/>
      <c r="DM23" s="206"/>
      <c r="DN23" s="206"/>
      <c r="DO23" s="206"/>
      <c r="DP23" s="207"/>
      <c r="DQ23" s="214" t="s">
        <v>154</v>
      </c>
      <c r="DR23" s="206"/>
      <c r="DS23" s="206"/>
      <c r="DT23" s="206"/>
      <c r="DU23" s="206"/>
      <c r="DV23" s="206"/>
      <c r="DW23" s="206"/>
      <c r="DX23" s="206"/>
      <c r="DY23" s="206"/>
      <c r="DZ23" s="206"/>
      <c r="EA23" s="206"/>
      <c r="EB23" s="206"/>
      <c r="EC23" s="206"/>
      <c r="ED23" s="206"/>
      <c r="EE23" s="207"/>
    </row>
    <row r="24" spans="1:135" ht="15.75" customHeight="1">
      <c r="A24" s="171" t="str">
        <f>IFERROR(VLOOKUP(L24,'Base dados Exercicios'!$C$4:$J$305,3,FALSE),"")</f>
        <v/>
      </c>
      <c r="B24" s="172" t="str">
        <f>IFERROR(VLOOKUP(L24,'Base dados Exercicios'!$C$4:$J$305,4,FALSE),"")</f>
        <v/>
      </c>
      <c r="C24" s="173" t="str">
        <f>IFERROR(VLOOKUP(L24,'Base dados Exercicios'!$C$4:$J$305,5,FALSE),"")</f>
        <v/>
      </c>
      <c r="D24" s="173" t="str">
        <f>IFERROR(VLOOKUP(L24,'Base dados Exercicios'!$C$4:$J$305,6,FALSE),"")</f>
        <v/>
      </c>
      <c r="E24" s="173" t="str">
        <f>IFERROR(VLOOKUP(L24,'Base dados Exercicios'!$C$4:$J$305,7,FALSE),"")</f>
        <v/>
      </c>
      <c r="F24" s="174" t="str">
        <f>IFERROR(VLOOKUP(L24,'Base dados Exercicios'!$C$4:$J$305,8,FALSE),"")</f>
        <v/>
      </c>
      <c r="G24" s="211"/>
      <c r="H24" s="215" t="s">
        <v>163</v>
      </c>
      <c r="I24" s="216"/>
      <c r="K24" s="435">
        <f>I25</f>
        <v>0</v>
      </c>
      <c r="L24" s="178"/>
      <c r="M24" s="208" t="str">
        <f>IF(L24&lt;&gt;"", HYPERLINK(VLOOKUP(L24,'Base dados Exercicios'!$C$4:$D$83,2,FALSE),"Check"),"")</f>
        <v/>
      </c>
      <c r="N24" s="180"/>
      <c r="O24" s="181"/>
      <c r="P24" s="182"/>
      <c r="Q24" s="183"/>
      <c r="R24" s="184"/>
      <c r="S24" s="185"/>
      <c r="T24" s="183"/>
      <c r="U24" s="184"/>
      <c r="V24" s="185"/>
      <c r="W24" s="183"/>
      <c r="X24" s="184"/>
      <c r="Y24" s="185"/>
      <c r="Z24" s="183"/>
      <c r="AA24" s="184"/>
      <c r="AB24" s="185"/>
      <c r="AC24" s="186"/>
      <c r="AD24" s="187">
        <f t="shared" ref="AD24:AD32" si="31">(R24*S24)+(U24*V24)+(X24*Y24)+(AA24*AB24)</f>
        <v>0</v>
      </c>
      <c r="AE24" s="183"/>
      <c r="AF24" s="184"/>
      <c r="AG24" s="185"/>
      <c r="AH24" s="183"/>
      <c r="AI24" s="184"/>
      <c r="AJ24" s="185"/>
      <c r="AK24" s="183"/>
      <c r="AL24" s="184"/>
      <c r="AM24" s="185"/>
      <c r="AN24" s="183"/>
      <c r="AO24" s="184"/>
      <c r="AP24" s="185"/>
      <c r="AQ24" s="186"/>
      <c r="AR24" s="188">
        <f t="shared" ref="AR24:AR32" si="32">(AF24*AG24)+(AI24*AJ24)+(AL24*AM24)+(AO24*AP24)</f>
        <v>0</v>
      </c>
      <c r="AS24" s="187">
        <f t="shared" ref="AS24:AS32" si="33">AR24-AD24</f>
        <v>0</v>
      </c>
      <c r="AT24" s="183"/>
      <c r="AU24" s="184"/>
      <c r="AV24" s="185"/>
      <c r="AW24" s="183"/>
      <c r="AX24" s="184"/>
      <c r="AY24" s="185"/>
      <c r="AZ24" s="183"/>
      <c r="BA24" s="184"/>
      <c r="BB24" s="185"/>
      <c r="BC24" s="183"/>
      <c r="BD24" s="184"/>
      <c r="BE24" s="185"/>
      <c r="BF24" s="186"/>
      <c r="BG24" s="188">
        <f t="shared" ref="BG24:BG32" si="34">(AU24*AV24)+(AX24*AY24)+(BA24*BB24)+(BD24*BE24)</f>
        <v>0</v>
      </c>
      <c r="BH24" s="187">
        <f t="shared" ref="BH24:BH32" si="35">BG24-AR24</f>
        <v>0</v>
      </c>
      <c r="BI24" s="183"/>
      <c r="BJ24" s="184"/>
      <c r="BK24" s="185"/>
      <c r="BL24" s="183"/>
      <c r="BM24" s="184"/>
      <c r="BN24" s="185"/>
      <c r="BO24" s="183"/>
      <c r="BP24" s="184"/>
      <c r="BQ24" s="185"/>
      <c r="BR24" s="183"/>
      <c r="BS24" s="184"/>
      <c r="BT24" s="185"/>
      <c r="BU24" s="186"/>
      <c r="BV24" s="188">
        <f t="shared" ref="BV24:BV32" si="36">(BJ24*BK24)+(BM24*BN24)+(BP24*BQ24)+(BS24*BT24)</f>
        <v>0</v>
      </c>
      <c r="BW24" s="187">
        <f t="shared" ref="BW24:BW32" si="37">BV24-BG24</f>
        <v>0</v>
      </c>
      <c r="BX24" s="183"/>
      <c r="BY24" s="184"/>
      <c r="BZ24" s="185"/>
      <c r="CA24" s="183"/>
      <c r="CB24" s="184"/>
      <c r="CC24" s="185"/>
      <c r="CD24" s="183"/>
      <c r="CE24" s="184"/>
      <c r="CF24" s="185"/>
      <c r="CG24" s="183"/>
      <c r="CH24" s="184"/>
      <c r="CI24" s="185"/>
      <c r="CJ24" s="186"/>
      <c r="CK24" s="188">
        <f t="shared" ref="CK24:CK32" si="38">(BY24*BZ24)+(CB24*CC24)+(CE24*CF24)+(CH24*CI24)</f>
        <v>0</v>
      </c>
      <c r="CL24" s="187">
        <f t="shared" ref="CL24:CL32" si="39">CK24-BV24</f>
        <v>0</v>
      </c>
      <c r="CM24" s="183"/>
      <c r="CN24" s="184"/>
      <c r="CO24" s="185"/>
      <c r="CP24" s="183"/>
      <c r="CQ24" s="184"/>
      <c r="CR24" s="185"/>
      <c r="CS24" s="183"/>
      <c r="CT24" s="184"/>
      <c r="CU24" s="185"/>
      <c r="CV24" s="183"/>
      <c r="CW24" s="184"/>
      <c r="CX24" s="185"/>
      <c r="CY24" s="186"/>
      <c r="CZ24" s="188">
        <f t="shared" ref="CZ24:CZ32" si="40">(CN24*CO24)+(CQ24*CR24)+(CT24*CU24)+(CW24*CX24)</f>
        <v>0</v>
      </c>
      <c r="DA24" s="187">
        <f t="shared" ref="DA24:DA32" si="41">CZ24-CK24</f>
        <v>0</v>
      </c>
      <c r="DB24" s="183"/>
      <c r="DC24" s="184"/>
      <c r="DD24" s="185"/>
      <c r="DE24" s="183"/>
      <c r="DF24" s="184"/>
      <c r="DG24" s="185"/>
      <c r="DH24" s="183"/>
      <c r="DI24" s="184"/>
      <c r="DJ24" s="185"/>
      <c r="DK24" s="183"/>
      <c r="DL24" s="184"/>
      <c r="DM24" s="185"/>
      <c r="DN24" s="186"/>
      <c r="DO24" s="188">
        <f t="shared" ref="DO24:DO32" si="42">(DC24*DD24)+(DF24*DG24)+(DI24*DJ24)+(DL24*DM24)</f>
        <v>0</v>
      </c>
      <c r="DP24" s="187">
        <f t="shared" ref="DP24:DP32" si="43">DO24-CZ24</f>
        <v>0</v>
      </c>
      <c r="DQ24" s="183"/>
      <c r="DR24" s="184"/>
      <c r="DS24" s="185"/>
      <c r="DT24" s="183"/>
      <c r="DU24" s="184"/>
      <c r="DV24" s="185"/>
      <c r="DW24" s="183"/>
      <c r="DX24" s="184"/>
      <c r="DY24" s="185"/>
      <c r="DZ24" s="183"/>
      <c r="EA24" s="184"/>
      <c r="EB24" s="185"/>
      <c r="EC24" s="186"/>
      <c r="ED24" s="188">
        <f t="shared" ref="ED24:ED32" si="44">(DR24*DS24)+(DU24*DV24)+(DX24*DY24)+(EA24*EB24)</f>
        <v>0</v>
      </c>
      <c r="EE24" s="187">
        <f t="shared" ref="EE24:EE32" si="45">ED24-DO24</f>
        <v>0</v>
      </c>
    </row>
    <row r="25" spans="1:135" ht="15.75" customHeight="1">
      <c r="A25" s="189" t="str">
        <f>IFERROR(VLOOKUP(L25,'Base dados Exercicios'!$C$4:$J$305,3,FALSE),"")</f>
        <v/>
      </c>
      <c r="B25" s="190" t="str">
        <f>IFERROR(VLOOKUP(L25,'Base dados Exercicios'!$C$4:$J$305,4,FALSE),"")</f>
        <v/>
      </c>
      <c r="C25" s="191" t="str">
        <f>IFERROR(VLOOKUP(L25,'Base dados Exercicios'!$C$4:$J$305,5,FALSE),"")</f>
        <v/>
      </c>
      <c r="D25" s="191" t="str">
        <f>IFERROR(VLOOKUP(L25,'Base dados Exercicios'!$C$4:$J$305,6,FALSE),"")</f>
        <v/>
      </c>
      <c r="E25" s="191" t="str">
        <f>IFERROR(VLOOKUP(L25,'Base dados Exercicios'!$C$4:$J$305,7,FALSE),"")</f>
        <v/>
      </c>
      <c r="F25" s="192" t="str">
        <f>IFERROR(VLOOKUP(L25,'Base dados Exercicios'!$C$4:$J$305,8,FALSE),"")</f>
        <v/>
      </c>
      <c r="G25" s="211"/>
      <c r="H25" s="215" t="s">
        <v>164</v>
      </c>
      <c r="I25" s="216"/>
      <c r="K25" s="436"/>
      <c r="L25" s="194"/>
      <c r="M25" s="179" t="str">
        <f>IF(L25&lt;&gt;"", HYPERLINK(VLOOKUP(L25,'Base dados Exercicios'!$C$4:$D$83,2,FALSE),"Check"),"")</f>
        <v/>
      </c>
      <c r="N25" s="195"/>
      <c r="O25" s="196"/>
      <c r="P25" s="197"/>
      <c r="Q25" s="183"/>
      <c r="R25" s="184"/>
      <c r="S25" s="185"/>
      <c r="T25" s="183"/>
      <c r="U25" s="184"/>
      <c r="V25" s="185"/>
      <c r="W25" s="183"/>
      <c r="X25" s="184"/>
      <c r="Y25" s="185"/>
      <c r="Z25" s="183"/>
      <c r="AA25" s="184"/>
      <c r="AB25" s="185"/>
      <c r="AC25" s="186"/>
      <c r="AD25" s="187">
        <f t="shared" si="31"/>
        <v>0</v>
      </c>
      <c r="AE25" s="183"/>
      <c r="AF25" s="184"/>
      <c r="AG25" s="185"/>
      <c r="AH25" s="183"/>
      <c r="AI25" s="184"/>
      <c r="AJ25" s="185"/>
      <c r="AK25" s="183"/>
      <c r="AL25" s="184"/>
      <c r="AM25" s="185"/>
      <c r="AN25" s="183"/>
      <c r="AO25" s="184"/>
      <c r="AP25" s="185"/>
      <c r="AQ25" s="186"/>
      <c r="AR25" s="188">
        <f t="shared" si="32"/>
        <v>0</v>
      </c>
      <c r="AS25" s="187">
        <f t="shared" si="33"/>
        <v>0</v>
      </c>
      <c r="AT25" s="183"/>
      <c r="AU25" s="184"/>
      <c r="AV25" s="185"/>
      <c r="AW25" s="183"/>
      <c r="AX25" s="184"/>
      <c r="AY25" s="185"/>
      <c r="AZ25" s="183"/>
      <c r="BA25" s="184"/>
      <c r="BB25" s="185"/>
      <c r="BC25" s="183"/>
      <c r="BD25" s="184"/>
      <c r="BE25" s="185"/>
      <c r="BF25" s="186"/>
      <c r="BG25" s="188">
        <f t="shared" si="34"/>
        <v>0</v>
      </c>
      <c r="BH25" s="187">
        <f t="shared" si="35"/>
        <v>0</v>
      </c>
      <c r="BI25" s="183"/>
      <c r="BJ25" s="184"/>
      <c r="BK25" s="185"/>
      <c r="BL25" s="183"/>
      <c r="BM25" s="184"/>
      <c r="BN25" s="185"/>
      <c r="BO25" s="183"/>
      <c r="BP25" s="184"/>
      <c r="BQ25" s="185"/>
      <c r="BR25" s="183"/>
      <c r="BS25" s="184"/>
      <c r="BT25" s="185"/>
      <c r="BU25" s="186"/>
      <c r="BV25" s="188">
        <f t="shared" si="36"/>
        <v>0</v>
      </c>
      <c r="BW25" s="187">
        <f t="shared" si="37"/>
        <v>0</v>
      </c>
      <c r="BX25" s="183"/>
      <c r="BY25" s="184"/>
      <c r="BZ25" s="185"/>
      <c r="CA25" s="183"/>
      <c r="CB25" s="184"/>
      <c r="CC25" s="185"/>
      <c r="CD25" s="183"/>
      <c r="CE25" s="184"/>
      <c r="CF25" s="185"/>
      <c r="CG25" s="183"/>
      <c r="CH25" s="184"/>
      <c r="CI25" s="185"/>
      <c r="CJ25" s="186"/>
      <c r="CK25" s="188">
        <f t="shared" si="38"/>
        <v>0</v>
      </c>
      <c r="CL25" s="187">
        <f t="shared" si="39"/>
        <v>0</v>
      </c>
      <c r="CM25" s="183"/>
      <c r="CN25" s="184"/>
      <c r="CO25" s="185"/>
      <c r="CP25" s="183"/>
      <c r="CQ25" s="184"/>
      <c r="CR25" s="185"/>
      <c r="CS25" s="183"/>
      <c r="CT25" s="184"/>
      <c r="CU25" s="185"/>
      <c r="CV25" s="183"/>
      <c r="CW25" s="184"/>
      <c r="CX25" s="185"/>
      <c r="CY25" s="186"/>
      <c r="CZ25" s="188">
        <f t="shared" si="40"/>
        <v>0</v>
      </c>
      <c r="DA25" s="187">
        <f t="shared" si="41"/>
        <v>0</v>
      </c>
      <c r="DB25" s="183"/>
      <c r="DC25" s="184"/>
      <c r="DD25" s="185"/>
      <c r="DE25" s="183"/>
      <c r="DF25" s="184"/>
      <c r="DG25" s="185"/>
      <c r="DH25" s="183"/>
      <c r="DI25" s="184"/>
      <c r="DJ25" s="185"/>
      <c r="DK25" s="183"/>
      <c r="DL25" s="184"/>
      <c r="DM25" s="185"/>
      <c r="DN25" s="186"/>
      <c r="DO25" s="188">
        <f t="shared" si="42"/>
        <v>0</v>
      </c>
      <c r="DP25" s="187">
        <f t="shared" si="43"/>
        <v>0</v>
      </c>
      <c r="DQ25" s="183"/>
      <c r="DR25" s="184"/>
      <c r="DS25" s="185"/>
      <c r="DT25" s="183"/>
      <c r="DU25" s="184"/>
      <c r="DV25" s="185"/>
      <c r="DW25" s="183"/>
      <c r="DX25" s="184"/>
      <c r="DY25" s="185"/>
      <c r="DZ25" s="183"/>
      <c r="EA25" s="184"/>
      <c r="EB25" s="185"/>
      <c r="EC25" s="186"/>
      <c r="ED25" s="188">
        <f t="shared" si="44"/>
        <v>0</v>
      </c>
      <c r="EE25" s="187">
        <f t="shared" si="45"/>
        <v>0</v>
      </c>
    </row>
    <row r="26" spans="1:135" ht="15.75" customHeight="1">
      <c r="A26" s="189" t="str">
        <f>IFERROR(VLOOKUP(L26,'Base dados Exercicios'!$C$4:$J$305,3,FALSE),"")</f>
        <v/>
      </c>
      <c r="B26" s="190" t="str">
        <f>IFERROR(VLOOKUP(L26,'Base dados Exercicios'!$C$4:$J$305,4,FALSE),"")</f>
        <v/>
      </c>
      <c r="C26" s="191" t="str">
        <f>IFERROR(VLOOKUP(L26,'Base dados Exercicios'!$C$4:$J$305,5,FALSE),"")</f>
        <v/>
      </c>
      <c r="D26" s="191" t="str">
        <f>IFERROR(VLOOKUP(L26,'Base dados Exercicios'!$C$4:$J$305,6,FALSE),"")</f>
        <v/>
      </c>
      <c r="E26" s="191" t="str">
        <f>IFERROR(VLOOKUP(L26,'Base dados Exercicios'!$C$4:$J$305,7,FALSE),"")</f>
        <v/>
      </c>
      <c r="F26" s="192" t="str">
        <f>IFERROR(VLOOKUP(L26,'Base dados Exercicios'!$C$4:$J$305,8,FALSE),"")</f>
        <v/>
      </c>
      <c r="G26" s="211"/>
      <c r="H26" s="215" t="s">
        <v>165</v>
      </c>
      <c r="I26" s="216"/>
      <c r="K26" s="436"/>
      <c r="L26" s="194"/>
      <c r="M26" s="179" t="str">
        <f>IF(L26&lt;&gt;"", HYPERLINK(VLOOKUP(L26,'Base dados Exercicios'!$C$4:$D$83,2,FALSE),"Check"),"")</f>
        <v/>
      </c>
      <c r="N26" s="195"/>
      <c r="O26" s="196"/>
      <c r="P26" s="197"/>
      <c r="Q26" s="183"/>
      <c r="R26" s="184"/>
      <c r="S26" s="185"/>
      <c r="T26" s="183"/>
      <c r="U26" s="184"/>
      <c r="V26" s="185"/>
      <c r="W26" s="183"/>
      <c r="X26" s="184"/>
      <c r="Y26" s="185"/>
      <c r="Z26" s="183"/>
      <c r="AA26" s="184"/>
      <c r="AB26" s="185"/>
      <c r="AC26" s="186"/>
      <c r="AD26" s="187">
        <f t="shared" si="31"/>
        <v>0</v>
      </c>
      <c r="AE26" s="183"/>
      <c r="AF26" s="184"/>
      <c r="AG26" s="185"/>
      <c r="AH26" s="183"/>
      <c r="AI26" s="184"/>
      <c r="AJ26" s="185"/>
      <c r="AK26" s="183"/>
      <c r="AL26" s="184"/>
      <c r="AM26" s="185"/>
      <c r="AN26" s="183"/>
      <c r="AO26" s="184"/>
      <c r="AP26" s="185"/>
      <c r="AQ26" s="186"/>
      <c r="AR26" s="188">
        <f t="shared" si="32"/>
        <v>0</v>
      </c>
      <c r="AS26" s="187">
        <f t="shared" si="33"/>
        <v>0</v>
      </c>
      <c r="AT26" s="183"/>
      <c r="AU26" s="184"/>
      <c r="AV26" s="185"/>
      <c r="AW26" s="183"/>
      <c r="AX26" s="184"/>
      <c r="AY26" s="185"/>
      <c r="AZ26" s="183"/>
      <c r="BA26" s="184"/>
      <c r="BB26" s="185"/>
      <c r="BC26" s="183"/>
      <c r="BD26" s="184"/>
      <c r="BE26" s="185"/>
      <c r="BF26" s="186"/>
      <c r="BG26" s="188">
        <f t="shared" si="34"/>
        <v>0</v>
      </c>
      <c r="BH26" s="187">
        <f t="shared" si="35"/>
        <v>0</v>
      </c>
      <c r="BI26" s="183"/>
      <c r="BJ26" s="184"/>
      <c r="BK26" s="185"/>
      <c r="BL26" s="183"/>
      <c r="BM26" s="184"/>
      <c r="BN26" s="185"/>
      <c r="BO26" s="183"/>
      <c r="BP26" s="184"/>
      <c r="BQ26" s="185"/>
      <c r="BR26" s="183"/>
      <c r="BS26" s="184"/>
      <c r="BT26" s="185"/>
      <c r="BU26" s="186"/>
      <c r="BV26" s="188">
        <f t="shared" si="36"/>
        <v>0</v>
      </c>
      <c r="BW26" s="187">
        <f t="shared" si="37"/>
        <v>0</v>
      </c>
      <c r="BX26" s="183"/>
      <c r="BY26" s="184"/>
      <c r="BZ26" s="185"/>
      <c r="CA26" s="183"/>
      <c r="CB26" s="184"/>
      <c r="CC26" s="185"/>
      <c r="CD26" s="183"/>
      <c r="CE26" s="184"/>
      <c r="CF26" s="185"/>
      <c r="CG26" s="183"/>
      <c r="CH26" s="184"/>
      <c r="CI26" s="185"/>
      <c r="CJ26" s="186"/>
      <c r="CK26" s="188">
        <f t="shared" si="38"/>
        <v>0</v>
      </c>
      <c r="CL26" s="187">
        <f t="shared" si="39"/>
        <v>0</v>
      </c>
      <c r="CM26" s="183"/>
      <c r="CN26" s="184"/>
      <c r="CO26" s="185"/>
      <c r="CP26" s="183"/>
      <c r="CQ26" s="184"/>
      <c r="CR26" s="185"/>
      <c r="CS26" s="183"/>
      <c r="CT26" s="184"/>
      <c r="CU26" s="185"/>
      <c r="CV26" s="183"/>
      <c r="CW26" s="184"/>
      <c r="CX26" s="185"/>
      <c r="CY26" s="186"/>
      <c r="CZ26" s="188">
        <f t="shared" si="40"/>
        <v>0</v>
      </c>
      <c r="DA26" s="187">
        <f t="shared" si="41"/>
        <v>0</v>
      </c>
      <c r="DB26" s="183"/>
      <c r="DC26" s="184"/>
      <c r="DD26" s="185"/>
      <c r="DE26" s="183"/>
      <c r="DF26" s="184"/>
      <c r="DG26" s="185"/>
      <c r="DH26" s="183"/>
      <c r="DI26" s="184"/>
      <c r="DJ26" s="185"/>
      <c r="DK26" s="183"/>
      <c r="DL26" s="184"/>
      <c r="DM26" s="185"/>
      <c r="DN26" s="186"/>
      <c r="DO26" s="188">
        <f t="shared" si="42"/>
        <v>0</v>
      </c>
      <c r="DP26" s="187">
        <f t="shared" si="43"/>
        <v>0</v>
      </c>
      <c r="DQ26" s="183"/>
      <c r="DR26" s="184"/>
      <c r="DS26" s="185"/>
      <c r="DT26" s="183"/>
      <c r="DU26" s="184"/>
      <c r="DV26" s="185"/>
      <c r="DW26" s="183"/>
      <c r="DX26" s="184"/>
      <c r="DY26" s="185"/>
      <c r="DZ26" s="183"/>
      <c r="EA26" s="184"/>
      <c r="EB26" s="185"/>
      <c r="EC26" s="186"/>
      <c r="ED26" s="188">
        <f t="shared" si="44"/>
        <v>0</v>
      </c>
      <c r="EE26" s="187">
        <f t="shared" si="45"/>
        <v>0</v>
      </c>
    </row>
    <row r="27" spans="1:135" ht="15.75" customHeight="1">
      <c r="A27" s="189" t="str">
        <f>IFERROR(VLOOKUP(L27,'Base dados Exercicios'!$C$4:$J$305,3,FALSE),"")</f>
        <v/>
      </c>
      <c r="B27" s="190" t="str">
        <f>IFERROR(VLOOKUP(L27,'Base dados Exercicios'!$C$4:$J$305,4,FALSE),"")</f>
        <v/>
      </c>
      <c r="C27" s="191" t="str">
        <f>IFERROR(VLOOKUP(L27,'Base dados Exercicios'!$C$4:$J$305,5,FALSE),"")</f>
        <v/>
      </c>
      <c r="D27" s="191" t="str">
        <f>IFERROR(VLOOKUP(L27,'Base dados Exercicios'!$C$4:$J$305,6,FALSE),"")</f>
        <v/>
      </c>
      <c r="E27" s="191" t="str">
        <f>IFERROR(VLOOKUP(L27,'Base dados Exercicios'!$C$4:$J$305,7,FALSE),"")</f>
        <v/>
      </c>
      <c r="F27" s="192" t="str">
        <f>IFERROR(VLOOKUP(L27,'Base dados Exercicios'!$C$4:$J$305,8,FALSE),"")</f>
        <v/>
      </c>
      <c r="G27" s="211"/>
      <c r="H27" s="215" t="s">
        <v>166</v>
      </c>
      <c r="I27" s="216"/>
      <c r="K27" s="436"/>
      <c r="L27" s="194"/>
      <c r="M27" s="179" t="str">
        <f>IF(L27&lt;&gt;"", HYPERLINK(VLOOKUP(L27,'Base dados Exercicios'!$C$4:$D$83,2,FALSE),"Check"),"")</f>
        <v/>
      </c>
      <c r="N27" s="195"/>
      <c r="O27" s="196"/>
      <c r="P27" s="197"/>
      <c r="Q27" s="183"/>
      <c r="R27" s="184"/>
      <c r="S27" s="185"/>
      <c r="T27" s="183"/>
      <c r="U27" s="184"/>
      <c r="V27" s="185"/>
      <c r="W27" s="183"/>
      <c r="X27" s="184"/>
      <c r="Y27" s="185"/>
      <c r="Z27" s="183"/>
      <c r="AA27" s="184"/>
      <c r="AB27" s="185"/>
      <c r="AC27" s="186"/>
      <c r="AD27" s="187">
        <f t="shared" si="31"/>
        <v>0</v>
      </c>
      <c r="AE27" s="183"/>
      <c r="AF27" s="184"/>
      <c r="AG27" s="185"/>
      <c r="AH27" s="183"/>
      <c r="AI27" s="184"/>
      <c r="AJ27" s="185"/>
      <c r="AK27" s="183"/>
      <c r="AL27" s="184"/>
      <c r="AM27" s="185"/>
      <c r="AN27" s="183"/>
      <c r="AO27" s="184"/>
      <c r="AP27" s="185"/>
      <c r="AQ27" s="186"/>
      <c r="AR27" s="188">
        <f t="shared" si="32"/>
        <v>0</v>
      </c>
      <c r="AS27" s="187">
        <f t="shared" si="33"/>
        <v>0</v>
      </c>
      <c r="AT27" s="183"/>
      <c r="AU27" s="184"/>
      <c r="AV27" s="185"/>
      <c r="AW27" s="183"/>
      <c r="AX27" s="184"/>
      <c r="AY27" s="185"/>
      <c r="AZ27" s="183"/>
      <c r="BA27" s="184"/>
      <c r="BB27" s="185"/>
      <c r="BC27" s="183"/>
      <c r="BD27" s="184"/>
      <c r="BE27" s="185"/>
      <c r="BF27" s="186"/>
      <c r="BG27" s="188">
        <f t="shared" si="34"/>
        <v>0</v>
      </c>
      <c r="BH27" s="187">
        <f t="shared" si="35"/>
        <v>0</v>
      </c>
      <c r="BI27" s="183"/>
      <c r="BJ27" s="184"/>
      <c r="BK27" s="185"/>
      <c r="BL27" s="183"/>
      <c r="BM27" s="184"/>
      <c r="BN27" s="185"/>
      <c r="BO27" s="183"/>
      <c r="BP27" s="184"/>
      <c r="BQ27" s="185"/>
      <c r="BR27" s="183"/>
      <c r="BS27" s="184"/>
      <c r="BT27" s="185"/>
      <c r="BU27" s="186"/>
      <c r="BV27" s="188">
        <f t="shared" si="36"/>
        <v>0</v>
      </c>
      <c r="BW27" s="187">
        <f t="shared" si="37"/>
        <v>0</v>
      </c>
      <c r="BX27" s="183"/>
      <c r="BY27" s="184"/>
      <c r="BZ27" s="185"/>
      <c r="CA27" s="183"/>
      <c r="CB27" s="184"/>
      <c r="CC27" s="185"/>
      <c r="CD27" s="183"/>
      <c r="CE27" s="184"/>
      <c r="CF27" s="185"/>
      <c r="CG27" s="183"/>
      <c r="CH27" s="184"/>
      <c r="CI27" s="185"/>
      <c r="CJ27" s="186"/>
      <c r="CK27" s="188">
        <f t="shared" si="38"/>
        <v>0</v>
      </c>
      <c r="CL27" s="187">
        <f t="shared" si="39"/>
        <v>0</v>
      </c>
      <c r="CM27" s="183"/>
      <c r="CN27" s="184"/>
      <c r="CO27" s="185"/>
      <c r="CP27" s="183"/>
      <c r="CQ27" s="184"/>
      <c r="CR27" s="185"/>
      <c r="CS27" s="183"/>
      <c r="CT27" s="184"/>
      <c r="CU27" s="185"/>
      <c r="CV27" s="183"/>
      <c r="CW27" s="184"/>
      <c r="CX27" s="185"/>
      <c r="CY27" s="186"/>
      <c r="CZ27" s="188">
        <f t="shared" si="40"/>
        <v>0</v>
      </c>
      <c r="DA27" s="187">
        <f t="shared" si="41"/>
        <v>0</v>
      </c>
      <c r="DB27" s="183"/>
      <c r="DC27" s="184"/>
      <c r="DD27" s="185"/>
      <c r="DE27" s="183"/>
      <c r="DF27" s="184"/>
      <c r="DG27" s="185"/>
      <c r="DH27" s="183"/>
      <c r="DI27" s="184"/>
      <c r="DJ27" s="185"/>
      <c r="DK27" s="183"/>
      <c r="DL27" s="184"/>
      <c r="DM27" s="185"/>
      <c r="DN27" s="186"/>
      <c r="DO27" s="188">
        <f t="shared" si="42"/>
        <v>0</v>
      </c>
      <c r="DP27" s="187">
        <f t="shared" si="43"/>
        <v>0</v>
      </c>
      <c r="DQ27" s="183"/>
      <c r="DR27" s="184"/>
      <c r="DS27" s="185"/>
      <c r="DT27" s="183"/>
      <c r="DU27" s="184"/>
      <c r="DV27" s="185"/>
      <c r="DW27" s="183"/>
      <c r="DX27" s="184"/>
      <c r="DY27" s="185"/>
      <c r="DZ27" s="183"/>
      <c r="EA27" s="184"/>
      <c r="EB27" s="185"/>
      <c r="EC27" s="186"/>
      <c r="ED27" s="188">
        <f t="shared" si="44"/>
        <v>0</v>
      </c>
      <c r="EE27" s="187">
        <f t="shared" si="45"/>
        <v>0</v>
      </c>
    </row>
    <row r="28" spans="1:135" ht="15.75" customHeight="1">
      <c r="A28" s="189" t="str">
        <f>IFERROR(VLOOKUP(L28,'Base dados Exercicios'!$C$4:$J$305,3,FALSE),"")</f>
        <v/>
      </c>
      <c r="B28" s="190" t="str">
        <f>IFERROR(VLOOKUP(L28,'Base dados Exercicios'!$C$4:$J$305,4,FALSE),"")</f>
        <v/>
      </c>
      <c r="C28" s="191" t="str">
        <f>IFERROR(VLOOKUP(L28,'Base dados Exercicios'!$C$4:$J$305,5,FALSE),"")</f>
        <v/>
      </c>
      <c r="D28" s="191" t="str">
        <f>IFERROR(VLOOKUP(L28,'Base dados Exercicios'!$C$4:$J$305,6,FALSE),"")</f>
        <v/>
      </c>
      <c r="E28" s="191" t="str">
        <f>IFERROR(VLOOKUP(L28,'Base dados Exercicios'!$C$4:$J$305,7,FALSE),"")</f>
        <v/>
      </c>
      <c r="F28" s="192" t="str">
        <f>IFERROR(VLOOKUP(L28,'Base dados Exercicios'!$C$4:$J$305,8,FALSE),"")</f>
        <v/>
      </c>
      <c r="G28" s="175"/>
      <c r="H28" s="215" t="s">
        <v>167</v>
      </c>
      <c r="I28" s="216"/>
      <c r="K28" s="436"/>
      <c r="L28" s="194"/>
      <c r="M28" s="179" t="str">
        <f>IF(L28&lt;&gt;"", HYPERLINK(VLOOKUP(L28,'Base dados Exercicios'!$C$4:$D$83,2,FALSE),"Check"),"")</f>
        <v/>
      </c>
      <c r="N28" s="195"/>
      <c r="O28" s="196"/>
      <c r="P28" s="197"/>
      <c r="Q28" s="183"/>
      <c r="R28" s="184"/>
      <c r="S28" s="185"/>
      <c r="T28" s="183"/>
      <c r="U28" s="184"/>
      <c r="V28" s="185"/>
      <c r="W28" s="183"/>
      <c r="X28" s="184"/>
      <c r="Y28" s="185"/>
      <c r="Z28" s="183"/>
      <c r="AA28" s="184"/>
      <c r="AB28" s="185"/>
      <c r="AC28" s="186"/>
      <c r="AD28" s="187">
        <f t="shared" si="31"/>
        <v>0</v>
      </c>
      <c r="AE28" s="183"/>
      <c r="AF28" s="184"/>
      <c r="AG28" s="185"/>
      <c r="AH28" s="183"/>
      <c r="AI28" s="184"/>
      <c r="AJ28" s="185"/>
      <c r="AK28" s="183"/>
      <c r="AL28" s="184"/>
      <c r="AM28" s="185"/>
      <c r="AN28" s="183"/>
      <c r="AO28" s="184"/>
      <c r="AP28" s="185"/>
      <c r="AQ28" s="186"/>
      <c r="AR28" s="188">
        <f t="shared" si="32"/>
        <v>0</v>
      </c>
      <c r="AS28" s="187">
        <f t="shared" si="33"/>
        <v>0</v>
      </c>
      <c r="AT28" s="183"/>
      <c r="AU28" s="184"/>
      <c r="AV28" s="185"/>
      <c r="AW28" s="183"/>
      <c r="AX28" s="184"/>
      <c r="AY28" s="185"/>
      <c r="AZ28" s="183"/>
      <c r="BA28" s="184"/>
      <c r="BB28" s="185"/>
      <c r="BC28" s="183"/>
      <c r="BD28" s="184"/>
      <c r="BE28" s="185"/>
      <c r="BF28" s="186"/>
      <c r="BG28" s="188">
        <f t="shared" si="34"/>
        <v>0</v>
      </c>
      <c r="BH28" s="187">
        <f t="shared" si="35"/>
        <v>0</v>
      </c>
      <c r="BI28" s="183"/>
      <c r="BJ28" s="184"/>
      <c r="BK28" s="185"/>
      <c r="BL28" s="183"/>
      <c r="BM28" s="184"/>
      <c r="BN28" s="185"/>
      <c r="BO28" s="183"/>
      <c r="BP28" s="184"/>
      <c r="BQ28" s="185"/>
      <c r="BR28" s="183"/>
      <c r="BS28" s="184"/>
      <c r="BT28" s="185"/>
      <c r="BU28" s="186"/>
      <c r="BV28" s="188">
        <f t="shared" si="36"/>
        <v>0</v>
      </c>
      <c r="BW28" s="187">
        <f t="shared" si="37"/>
        <v>0</v>
      </c>
      <c r="BX28" s="183"/>
      <c r="BY28" s="184"/>
      <c r="BZ28" s="185"/>
      <c r="CA28" s="183"/>
      <c r="CB28" s="184"/>
      <c r="CC28" s="185"/>
      <c r="CD28" s="183"/>
      <c r="CE28" s="184"/>
      <c r="CF28" s="185"/>
      <c r="CG28" s="183"/>
      <c r="CH28" s="184"/>
      <c r="CI28" s="185"/>
      <c r="CJ28" s="186"/>
      <c r="CK28" s="188">
        <f t="shared" si="38"/>
        <v>0</v>
      </c>
      <c r="CL28" s="187">
        <f t="shared" si="39"/>
        <v>0</v>
      </c>
      <c r="CM28" s="183"/>
      <c r="CN28" s="184"/>
      <c r="CO28" s="185"/>
      <c r="CP28" s="183"/>
      <c r="CQ28" s="184"/>
      <c r="CR28" s="185"/>
      <c r="CS28" s="183"/>
      <c r="CT28" s="184"/>
      <c r="CU28" s="185"/>
      <c r="CV28" s="183"/>
      <c r="CW28" s="184"/>
      <c r="CX28" s="185"/>
      <c r="CY28" s="186"/>
      <c r="CZ28" s="188">
        <f t="shared" si="40"/>
        <v>0</v>
      </c>
      <c r="DA28" s="187">
        <f t="shared" si="41"/>
        <v>0</v>
      </c>
      <c r="DB28" s="183"/>
      <c r="DC28" s="184"/>
      <c r="DD28" s="185"/>
      <c r="DE28" s="183"/>
      <c r="DF28" s="184"/>
      <c r="DG28" s="185"/>
      <c r="DH28" s="183"/>
      <c r="DI28" s="184"/>
      <c r="DJ28" s="185"/>
      <c r="DK28" s="183"/>
      <c r="DL28" s="184"/>
      <c r="DM28" s="185"/>
      <c r="DN28" s="186"/>
      <c r="DO28" s="188">
        <f t="shared" si="42"/>
        <v>0</v>
      </c>
      <c r="DP28" s="187">
        <f t="shared" si="43"/>
        <v>0</v>
      </c>
      <c r="DQ28" s="183"/>
      <c r="DR28" s="184"/>
      <c r="DS28" s="185"/>
      <c r="DT28" s="183"/>
      <c r="DU28" s="184"/>
      <c r="DV28" s="185"/>
      <c r="DW28" s="183"/>
      <c r="DX28" s="184"/>
      <c r="DY28" s="185"/>
      <c r="DZ28" s="183"/>
      <c r="EA28" s="184"/>
      <c r="EB28" s="185"/>
      <c r="EC28" s="186"/>
      <c r="ED28" s="188">
        <f t="shared" si="44"/>
        <v>0</v>
      </c>
      <c r="EE28" s="187">
        <f t="shared" si="45"/>
        <v>0</v>
      </c>
    </row>
    <row r="29" spans="1:135" ht="15.75" customHeight="1">
      <c r="A29" s="189" t="str">
        <f>IFERROR(VLOOKUP(L29,'Base dados Exercicios'!$C$4:$J$305,3,FALSE),"")</f>
        <v/>
      </c>
      <c r="B29" s="190" t="str">
        <f>IFERROR(VLOOKUP(L29,'Base dados Exercicios'!$C$4:$J$305,4,FALSE),"")</f>
        <v/>
      </c>
      <c r="C29" s="191" t="str">
        <f>IFERROR(VLOOKUP(L29,'Base dados Exercicios'!$C$4:$J$305,5,FALSE),"")</f>
        <v/>
      </c>
      <c r="D29" s="191" t="str">
        <f>IFERROR(VLOOKUP(L29,'Base dados Exercicios'!$C$4:$J$305,6,FALSE),"")</f>
        <v/>
      </c>
      <c r="E29" s="191" t="str">
        <f>IFERROR(VLOOKUP(L29,'Base dados Exercicios'!$C$4:$J$305,7,FALSE),"")</f>
        <v/>
      </c>
      <c r="F29" s="192" t="str">
        <f>IFERROR(VLOOKUP(L29,'Base dados Exercicios'!$C$4:$J$305,8,FALSE),"")</f>
        <v/>
      </c>
      <c r="G29" s="175"/>
      <c r="H29" s="217" t="s">
        <v>168</v>
      </c>
      <c r="I29" s="218"/>
      <c r="K29" s="436"/>
      <c r="L29" s="194"/>
      <c r="M29" s="179" t="str">
        <f>IF(L29&lt;&gt;"", HYPERLINK(VLOOKUP(L29,'Base dados Exercicios'!$C$4:$D$83,2,FALSE),"Check"),"")</f>
        <v/>
      </c>
      <c r="N29" s="195"/>
      <c r="O29" s="196"/>
      <c r="P29" s="197"/>
      <c r="Q29" s="183"/>
      <c r="R29" s="184"/>
      <c r="S29" s="185"/>
      <c r="T29" s="183"/>
      <c r="U29" s="184"/>
      <c r="V29" s="185"/>
      <c r="W29" s="183"/>
      <c r="X29" s="184"/>
      <c r="Y29" s="185"/>
      <c r="Z29" s="183"/>
      <c r="AA29" s="184"/>
      <c r="AB29" s="185"/>
      <c r="AC29" s="186"/>
      <c r="AD29" s="187">
        <f t="shared" si="31"/>
        <v>0</v>
      </c>
      <c r="AE29" s="183"/>
      <c r="AF29" s="184"/>
      <c r="AG29" s="185"/>
      <c r="AH29" s="183"/>
      <c r="AI29" s="184"/>
      <c r="AJ29" s="185"/>
      <c r="AK29" s="183"/>
      <c r="AL29" s="184"/>
      <c r="AM29" s="185"/>
      <c r="AN29" s="183"/>
      <c r="AO29" s="184"/>
      <c r="AP29" s="185"/>
      <c r="AQ29" s="186"/>
      <c r="AR29" s="188">
        <f t="shared" si="32"/>
        <v>0</v>
      </c>
      <c r="AS29" s="187">
        <f t="shared" si="33"/>
        <v>0</v>
      </c>
      <c r="AT29" s="183"/>
      <c r="AU29" s="184"/>
      <c r="AV29" s="185"/>
      <c r="AW29" s="183"/>
      <c r="AX29" s="184"/>
      <c r="AY29" s="185"/>
      <c r="AZ29" s="183"/>
      <c r="BA29" s="184"/>
      <c r="BB29" s="185"/>
      <c r="BC29" s="183"/>
      <c r="BD29" s="184"/>
      <c r="BE29" s="185"/>
      <c r="BF29" s="186"/>
      <c r="BG29" s="188">
        <f t="shared" si="34"/>
        <v>0</v>
      </c>
      <c r="BH29" s="187">
        <f t="shared" si="35"/>
        <v>0</v>
      </c>
      <c r="BI29" s="183"/>
      <c r="BJ29" s="184"/>
      <c r="BK29" s="185"/>
      <c r="BL29" s="183"/>
      <c r="BM29" s="184"/>
      <c r="BN29" s="185"/>
      <c r="BO29" s="183"/>
      <c r="BP29" s="184"/>
      <c r="BQ29" s="185"/>
      <c r="BR29" s="183"/>
      <c r="BS29" s="184"/>
      <c r="BT29" s="185"/>
      <c r="BU29" s="186"/>
      <c r="BV29" s="188">
        <f t="shared" si="36"/>
        <v>0</v>
      </c>
      <c r="BW29" s="187">
        <f t="shared" si="37"/>
        <v>0</v>
      </c>
      <c r="BX29" s="183"/>
      <c r="BY29" s="184"/>
      <c r="BZ29" s="185"/>
      <c r="CA29" s="183"/>
      <c r="CB29" s="184"/>
      <c r="CC29" s="185"/>
      <c r="CD29" s="183"/>
      <c r="CE29" s="184"/>
      <c r="CF29" s="185"/>
      <c r="CG29" s="183"/>
      <c r="CH29" s="184"/>
      <c r="CI29" s="185"/>
      <c r="CJ29" s="186"/>
      <c r="CK29" s="188">
        <f t="shared" si="38"/>
        <v>0</v>
      </c>
      <c r="CL29" s="187">
        <f t="shared" si="39"/>
        <v>0</v>
      </c>
      <c r="CM29" s="183"/>
      <c r="CN29" s="184"/>
      <c r="CO29" s="185"/>
      <c r="CP29" s="183"/>
      <c r="CQ29" s="184"/>
      <c r="CR29" s="185"/>
      <c r="CS29" s="183"/>
      <c r="CT29" s="184"/>
      <c r="CU29" s="185"/>
      <c r="CV29" s="183"/>
      <c r="CW29" s="184"/>
      <c r="CX29" s="185"/>
      <c r="CY29" s="186"/>
      <c r="CZ29" s="188">
        <f t="shared" si="40"/>
        <v>0</v>
      </c>
      <c r="DA29" s="187">
        <f t="shared" si="41"/>
        <v>0</v>
      </c>
      <c r="DB29" s="183"/>
      <c r="DC29" s="184"/>
      <c r="DD29" s="185"/>
      <c r="DE29" s="183"/>
      <c r="DF29" s="184"/>
      <c r="DG29" s="185"/>
      <c r="DH29" s="183"/>
      <c r="DI29" s="184"/>
      <c r="DJ29" s="185"/>
      <c r="DK29" s="183"/>
      <c r="DL29" s="184"/>
      <c r="DM29" s="185"/>
      <c r="DN29" s="186"/>
      <c r="DO29" s="188">
        <f t="shared" si="42"/>
        <v>0</v>
      </c>
      <c r="DP29" s="187">
        <f t="shared" si="43"/>
        <v>0</v>
      </c>
      <c r="DQ29" s="183"/>
      <c r="DR29" s="184"/>
      <c r="DS29" s="185"/>
      <c r="DT29" s="183"/>
      <c r="DU29" s="184"/>
      <c r="DV29" s="185"/>
      <c r="DW29" s="183"/>
      <c r="DX29" s="184"/>
      <c r="DY29" s="185"/>
      <c r="DZ29" s="183"/>
      <c r="EA29" s="184"/>
      <c r="EB29" s="185"/>
      <c r="EC29" s="186"/>
      <c r="ED29" s="188">
        <f t="shared" si="44"/>
        <v>0</v>
      </c>
      <c r="EE29" s="187">
        <f t="shared" si="45"/>
        <v>0</v>
      </c>
    </row>
    <row r="30" spans="1:135" ht="15.75" customHeight="1">
      <c r="A30" s="189" t="str">
        <f>IFERROR(VLOOKUP(L30,'Base dados Exercicios'!$C$4:$J$305,3,FALSE),"")</f>
        <v/>
      </c>
      <c r="B30" s="190" t="str">
        <f>IFERROR(VLOOKUP(L30,'Base dados Exercicios'!$C$4:$J$305,4,FALSE),"")</f>
        <v/>
      </c>
      <c r="C30" s="191" t="str">
        <f>IFERROR(VLOOKUP(L30,'Base dados Exercicios'!$C$4:$J$305,5,FALSE),"")</f>
        <v/>
      </c>
      <c r="D30" s="191" t="str">
        <f>IFERROR(VLOOKUP(L30,'Base dados Exercicios'!$C$4:$J$305,6,FALSE),"")</f>
        <v/>
      </c>
      <c r="E30" s="191" t="str">
        <f>IFERROR(VLOOKUP(L30,'Base dados Exercicios'!$C$4:$J$305,7,FALSE),"")</f>
        <v/>
      </c>
      <c r="F30" s="192" t="str">
        <f>IFERROR(VLOOKUP(L30,'Base dados Exercicios'!$C$4:$J$305,8,FALSE),"")</f>
        <v/>
      </c>
      <c r="G30" s="175"/>
      <c r="H30" s="211"/>
      <c r="I30" s="211"/>
      <c r="K30" s="436"/>
      <c r="L30" s="194"/>
      <c r="M30" s="179" t="str">
        <f>IF(L30&lt;&gt;"", HYPERLINK(VLOOKUP(L30,'Base dados Exercicios'!$C$4:$D$83,2,FALSE),"Check"),"")</f>
        <v/>
      </c>
      <c r="N30" s="195"/>
      <c r="O30" s="196"/>
      <c r="P30" s="197"/>
      <c r="Q30" s="183"/>
      <c r="R30" s="184"/>
      <c r="S30" s="185"/>
      <c r="T30" s="183"/>
      <c r="U30" s="184"/>
      <c r="V30" s="185"/>
      <c r="W30" s="183"/>
      <c r="X30" s="184"/>
      <c r="Y30" s="185"/>
      <c r="Z30" s="183"/>
      <c r="AA30" s="184"/>
      <c r="AB30" s="185"/>
      <c r="AC30" s="186"/>
      <c r="AD30" s="187">
        <f t="shared" si="31"/>
        <v>0</v>
      </c>
      <c r="AE30" s="183"/>
      <c r="AF30" s="184"/>
      <c r="AG30" s="185"/>
      <c r="AH30" s="183"/>
      <c r="AI30" s="184"/>
      <c r="AJ30" s="185"/>
      <c r="AK30" s="183"/>
      <c r="AL30" s="184"/>
      <c r="AM30" s="185"/>
      <c r="AN30" s="183"/>
      <c r="AO30" s="184"/>
      <c r="AP30" s="185"/>
      <c r="AQ30" s="186"/>
      <c r="AR30" s="188">
        <f t="shared" si="32"/>
        <v>0</v>
      </c>
      <c r="AS30" s="187">
        <f t="shared" si="33"/>
        <v>0</v>
      </c>
      <c r="AT30" s="183"/>
      <c r="AU30" s="184"/>
      <c r="AV30" s="185"/>
      <c r="AW30" s="183"/>
      <c r="AX30" s="184"/>
      <c r="AY30" s="185"/>
      <c r="AZ30" s="183"/>
      <c r="BA30" s="184"/>
      <c r="BB30" s="185"/>
      <c r="BC30" s="183"/>
      <c r="BD30" s="184"/>
      <c r="BE30" s="185"/>
      <c r="BF30" s="186"/>
      <c r="BG30" s="188">
        <f t="shared" si="34"/>
        <v>0</v>
      </c>
      <c r="BH30" s="187">
        <f t="shared" si="35"/>
        <v>0</v>
      </c>
      <c r="BI30" s="183"/>
      <c r="BJ30" s="184"/>
      <c r="BK30" s="185"/>
      <c r="BL30" s="183"/>
      <c r="BM30" s="184"/>
      <c r="BN30" s="185"/>
      <c r="BO30" s="183"/>
      <c r="BP30" s="184"/>
      <c r="BQ30" s="185"/>
      <c r="BR30" s="183"/>
      <c r="BS30" s="184"/>
      <c r="BT30" s="185"/>
      <c r="BU30" s="186"/>
      <c r="BV30" s="188">
        <f t="shared" si="36"/>
        <v>0</v>
      </c>
      <c r="BW30" s="187">
        <f t="shared" si="37"/>
        <v>0</v>
      </c>
      <c r="BX30" s="183"/>
      <c r="BY30" s="184"/>
      <c r="BZ30" s="185"/>
      <c r="CA30" s="183"/>
      <c r="CB30" s="184"/>
      <c r="CC30" s="185"/>
      <c r="CD30" s="183"/>
      <c r="CE30" s="184"/>
      <c r="CF30" s="185"/>
      <c r="CG30" s="183"/>
      <c r="CH30" s="184"/>
      <c r="CI30" s="185"/>
      <c r="CJ30" s="186"/>
      <c r="CK30" s="188">
        <f t="shared" si="38"/>
        <v>0</v>
      </c>
      <c r="CL30" s="187">
        <f t="shared" si="39"/>
        <v>0</v>
      </c>
      <c r="CM30" s="183"/>
      <c r="CN30" s="184"/>
      <c r="CO30" s="185"/>
      <c r="CP30" s="183"/>
      <c r="CQ30" s="184"/>
      <c r="CR30" s="185"/>
      <c r="CS30" s="183"/>
      <c r="CT30" s="184"/>
      <c r="CU30" s="185"/>
      <c r="CV30" s="183"/>
      <c r="CW30" s="184"/>
      <c r="CX30" s="185"/>
      <c r="CY30" s="186"/>
      <c r="CZ30" s="188">
        <f t="shared" si="40"/>
        <v>0</v>
      </c>
      <c r="DA30" s="187">
        <f t="shared" si="41"/>
        <v>0</v>
      </c>
      <c r="DB30" s="183"/>
      <c r="DC30" s="184"/>
      <c r="DD30" s="185"/>
      <c r="DE30" s="183"/>
      <c r="DF30" s="184"/>
      <c r="DG30" s="185"/>
      <c r="DH30" s="183"/>
      <c r="DI30" s="184"/>
      <c r="DJ30" s="185"/>
      <c r="DK30" s="183"/>
      <c r="DL30" s="184"/>
      <c r="DM30" s="185"/>
      <c r="DN30" s="186"/>
      <c r="DO30" s="188">
        <f t="shared" si="42"/>
        <v>0</v>
      </c>
      <c r="DP30" s="187">
        <f t="shared" si="43"/>
        <v>0</v>
      </c>
      <c r="DQ30" s="183"/>
      <c r="DR30" s="184"/>
      <c r="DS30" s="185"/>
      <c r="DT30" s="183"/>
      <c r="DU30" s="184"/>
      <c r="DV30" s="185"/>
      <c r="DW30" s="183"/>
      <c r="DX30" s="184"/>
      <c r="DY30" s="185"/>
      <c r="DZ30" s="183"/>
      <c r="EA30" s="184"/>
      <c r="EB30" s="185"/>
      <c r="EC30" s="186"/>
      <c r="ED30" s="188">
        <f t="shared" si="44"/>
        <v>0</v>
      </c>
      <c r="EE30" s="187">
        <f t="shared" si="45"/>
        <v>0</v>
      </c>
    </row>
    <row r="31" spans="1:135" ht="15.75" customHeight="1">
      <c r="A31" s="189" t="str">
        <f>IFERROR(VLOOKUP(L31,'Base dados Exercicios'!$C$4:$J$305,3,FALSE),"")</f>
        <v/>
      </c>
      <c r="B31" s="190" t="str">
        <f>IFERROR(VLOOKUP(L31,'Base dados Exercicios'!$C$4:$J$305,4,FALSE),"")</f>
        <v/>
      </c>
      <c r="C31" s="191" t="str">
        <f>IFERROR(VLOOKUP(L31,'Base dados Exercicios'!$C$4:$J$305,5,FALSE),"")</f>
        <v/>
      </c>
      <c r="D31" s="191" t="str">
        <f>IFERROR(VLOOKUP(L31,'Base dados Exercicios'!$C$4:$J$305,6,FALSE),"")</f>
        <v/>
      </c>
      <c r="E31" s="191" t="str">
        <f>IFERROR(VLOOKUP(L31,'Base dados Exercicios'!$C$4:$J$305,7,FALSE),"")</f>
        <v/>
      </c>
      <c r="F31" s="192" t="str">
        <f>IFERROR(VLOOKUP(L31,'Base dados Exercicios'!$C$4:$J$305,8,FALSE),"")</f>
        <v/>
      </c>
      <c r="G31" s="175"/>
      <c r="H31" s="438" t="s">
        <v>169</v>
      </c>
      <c r="I31" s="439"/>
      <c r="K31" s="436"/>
      <c r="L31" s="194"/>
      <c r="M31" s="179" t="str">
        <f>IF(L31&lt;&gt;"", HYPERLINK(VLOOKUP(L31,'Base dados Exercicios'!$C$4:$D$83,2,FALSE),"Check"),"")</f>
        <v/>
      </c>
      <c r="N31" s="195"/>
      <c r="O31" s="196"/>
      <c r="P31" s="197"/>
      <c r="Q31" s="183"/>
      <c r="R31" s="184"/>
      <c r="S31" s="185"/>
      <c r="T31" s="183"/>
      <c r="U31" s="184"/>
      <c r="V31" s="185"/>
      <c r="W31" s="183"/>
      <c r="X31" s="184"/>
      <c r="Y31" s="185"/>
      <c r="Z31" s="183"/>
      <c r="AA31" s="184"/>
      <c r="AB31" s="185"/>
      <c r="AC31" s="186"/>
      <c r="AD31" s="187">
        <f t="shared" si="31"/>
        <v>0</v>
      </c>
      <c r="AE31" s="183"/>
      <c r="AF31" s="184"/>
      <c r="AG31" s="185"/>
      <c r="AH31" s="183"/>
      <c r="AI31" s="184"/>
      <c r="AJ31" s="185"/>
      <c r="AK31" s="183"/>
      <c r="AL31" s="184"/>
      <c r="AM31" s="185"/>
      <c r="AN31" s="183"/>
      <c r="AO31" s="184"/>
      <c r="AP31" s="185"/>
      <c r="AQ31" s="186"/>
      <c r="AR31" s="188">
        <f t="shared" si="32"/>
        <v>0</v>
      </c>
      <c r="AS31" s="187">
        <f t="shared" si="33"/>
        <v>0</v>
      </c>
      <c r="AT31" s="183"/>
      <c r="AU31" s="184"/>
      <c r="AV31" s="185"/>
      <c r="AW31" s="183"/>
      <c r="AX31" s="184"/>
      <c r="AY31" s="185"/>
      <c r="AZ31" s="183"/>
      <c r="BA31" s="184"/>
      <c r="BB31" s="185"/>
      <c r="BC31" s="183"/>
      <c r="BD31" s="184"/>
      <c r="BE31" s="185"/>
      <c r="BF31" s="186"/>
      <c r="BG31" s="188">
        <f t="shared" si="34"/>
        <v>0</v>
      </c>
      <c r="BH31" s="187">
        <f t="shared" si="35"/>
        <v>0</v>
      </c>
      <c r="BI31" s="183"/>
      <c r="BJ31" s="184"/>
      <c r="BK31" s="185"/>
      <c r="BL31" s="183"/>
      <c r="BM31" s="184"/>
      <c r="BN31" s="185"/>
      <c r="BO31" s="183"/>
      <c r="BP31" s="184"/>
      <c r="BQ31" s="185"/>
      <c r="BR31" s="183"/>
      <c r="BS31" s="184"/>
      <c r="BT31" s="185"/>
      <c r="BU31" s="186"/>
      <c r="BV31" s="188">
        <f t="shared" si="36"/>
        <v>0</v>
      </c>
      <c r="BW31" s="187">
        <f t="shared" si="37"/>
        <v>0</v>
      </c>
      <c r="BX31" s="183"/>
      <c r="BY31" s="184"/>
      <c r="BZ31" s="185"/>
      <c r="CA31" s="183"/>
      <c r="CB31" s="184"/>
      <c r="CC31" s="185"/>
      <c r="CD31" s="183"/>
      <c r="CE31" s="184"/>
      <c r="CF31" s="185"/>
      <c r="CG31" s="183"/>
      <c r="CH31" s="184"/>
      <c r="CI31" s="185"/>
      <c r="CJ31" s="186"/>
      <c r="CK31" s="188">
        <f t="shared" si="38"/>
        <v>0</v>
      </c>
      <c r="CL31" s="187">
        <f t="shared" si="39"/>
        <v>0</v>
      </c>
      <c r="CM31" s="183"/>
      <c r="CN31" s="184"/>
      <c r="CO31" s="185"/>
      <c r="CP31" s="183"/>
      <c r="CQ31" s="184"/>
      <c r="CR31" s="185"/>
      <c r="CS31" s="183"/>
      <c r="CT31" s="184"/>
      <c r="CU31" s="185"/>
      <c r="CV31" s="183"/>
      <c r="CW31" s="184"/>
      <c r="CX31" s="185"/>
      <c r="CY31" s="186"/>
      <c r="CZ31" s="188">
        <f t="shared" si="40"/>
        <v>0</v>
      </c>
      <c r="DA31" s="187">
        <f t="shared" si="41"/>
        <v>0</v>
      </c>
      <c r="DB31" s="183"/>
      <c r="DC31" s="184"/>
      <c r="DD31" s="185"/>
      <c r="DE31" s="183"/>
      <c r="DF31" s="184"/>
      <c r="DG31" s="185"/>
      <c r="DH31" s="183"/>
      <c r="DI31" s="184"/>
      <c r="DJ31" s="185"/>
      <c r="DK31" s="183"/>
      <c r="DL31" s="184"/>
      <c r="DM31" s="185"/>
      <c r="DN31" s="186"/>
      <c r="DO31" s="188">
        <f t="shared" si="42"/>
        <v>0</v>
      </c>
      <c r="DP31" s="187">
        <f t="shared" si="43"/>
        <v>0</v>
      </c>
      <c r="DQ31" s="183"/>
      <c r="DR31" s="184"/>
      <c r="DS31" s="185"/>
      <c r="DT31" s="183"/>
      <c r="DU31" s="184"/>
      <c r="DV31" s="185"/>
      <c r="DW31" s="183"/>
      <c r="DX31" s="184"/>
      <c r="DY31" s="185"/>
      <c r="DZ31" s="183"/>
      <c r="EA31" s="184"/>
      <c r="EB31" s="185"/>
      <c r="EC31" s="186"/>
      <c r="ED31" s="188">
        <f t="shared" si="44"/>
        <v>0</v>
      </c>
      <c r="EE31" s="187">
        <f t="shared" si="45"/>
        <v>0</v>
      </c>
    </row>
    <row r="32" spans="1:135" ht="15.75" customHeight="1">
      <c r="A32" s="189" t="str">
        <f>IFERROR(VLOOKUP(L32,'Base dados Exercicios'!$C$4:$J$305,3,FALSE),"")</f>
        <v/>
      </c>
      <c r="B32" s="190" t="str">
        <f>IFERROR(VLOOKUP(L32,'Base dados Exercicios'!$C$4:$J$305,4,FALSE),"")</f>
        <v/>
      </c>
      <c r="C32" s="191" t="str">
        <f>IFERROR(VLOOKUP(L32,'Base dados Exercicios'!$C$4:$J$305,5,FALSE),"")</f>
        <v/>
      </c>
      <c r="D32" s="191" t="str">
        <f>IFERROR(VLOOKUP(L32,'Base dados Exercicios'!$C$4:$J$305,6,FALSE),"")</f>
        <v/>
      </c>
      <c r="E32" s="191" t="str">
        <f>IFERROR(VLOOKUP(L32,'Base dados Exercicios'!$C$4:$J$305,7,FALSE),"")</f>
        <v/>
      </c>
      <c r="F32" s="192" t="str">
        <f>IFERROR(VLOOKUP(L32,'Base dados Exercicios'!$C$4:$J$305,8,FALSE),"")</f>
        <v/>
      </c>
      <c r="G32" s="175"/>
      <c r="H32" s="440" t="s">
        <v>170</v>
      </c>
      <c r="I32" s="441"/>
      <c r="K32" s="436"/>
      <c r="L32" s="194"/>
      <c r="M32" s="179" t="str">
        <f>IF(L32&lt;&gt;"", HYPERLINK(VLOOKUP(L32,'Base dados Exercicios'!$C$4:$D$83,2,FALSE),"Check"),"")</f>
        <v/>
      </c>
      <c r="N32" s="195"/>
      <c r="O32" s="196"/>
      <c r="P32" s="197"/>
      <c r="Q32" s="183"/>
      <c r="R32" s="184"/>
      <c r="S32" s="185"/>
      <c r="T32" s="183"/>
      <c r="U32" s="184"/>
      <c r="V32" s="185"/>
      <c r="W32" s="183"/>
      <c r="X32" s="184"/>
      <c r="Y32" s="185"/>
      <c r="Z32" s="183"/>
      <c r="AA32" s="184"/>
      <c r="AB32" s="185"/>
      <c r="AC32" s="186"/>
      <c r="AD32" s="187">
        <f t="shared" si="31"/>
        <v>0</v>
      </c>
      <c r="AE32" s="183"/>
      <c r="AF32" s="184"/>
      <c r="AG32" s="185"/>
      <c r="AH32" s="183"/>
      <c r="AI32" s="184"/>
      <c r="AJ32" s="185"/>
      <c r="AK32" s="183"/>
      <c r="AL32" s="184"/>
      <c r="AM32" s="185"/>
      <c r="AN32" s="183"/>
      <c r="AO32" s="184"/>
      <c r="AP32" s="185"/>
      <c r="AQ32" s="186"/>
      <c r="AR32" s="188">
        <f t="shared" si="32"/>
        <v>0</v>
      </c>
      <c r="AS32" s="187">
        <f t="shared" si="33"/>
        <v>0</v>
      </c>
      <c r="AT32" s="183"/>
      <c r="AU32" s="184"/>
      <c r="AV32" s="185"/>
      <c r="AW32" s="183"/>
      <c r="AX32" s="184"/>
      <c r="AY32" s="185"/>
      <c r="AZ32" s="183"/>
      <c r="BA32" s="184"/>
      <c r="BB32" s="185"/>
      <c r="BC32" s="183"/>
      <c r="BD32" s="184"/>
      <c r="BE32" s="185"/>
      <c r="BF32" s="186"/>
      <c r="BG32" s="188">
        <f t="shared" si="34"/>
        <v>0</v>
      </c>
      <c r="BH32" s="187">
        <f t="shared" si="35"/>
        <v>0</v>
      </c>
      <c r="BI32" s="183"/>
      <c r="BJ32" s="184"/>
      <c r="BK32" s="185"/>
      <c r="BL32" s="183"/>
      <c r="BM32" s="184"/>
      <c r="BN32" s="185"/>
      <c r="BO32" s="183"/>
      <c r="BP32" s="184"/>
      <c r="BQ32" s="185"/>
      <c r="BR32" s="183"/>
      <c r="BS32" s="184"/>
      <c r="BT32" s="185"/>
      <c r="BU32" s="186"/>
      <c r="BV32" s="188">
        <f t="shared" si="36"/>
        <v>0</v>
      </c>
      <c r="BW32" s="187">
        <f t="shared" si="37"/>
        <v>0</v>
      </c>
      <c r="BX32" s="183"/>
      <c r="BY32" s="184"/>
      <c r="BZ32" s="185"/>
      <c r="CA32" s="183"/>
      <c r="CB32" s="184"/>
      <c r="CC32" s="185"/>
      <c r="CD32" s="183"/>
      <c r="CE32" s="184"/>
      <c r="CF32" s="185"/>
      <c r="CG32" s="183"/>
      <c r="CH32" s="184"/>
      <c r="CI32" s="185"/>
      <c r="CJ32" s="186"/>
      <c r="CK32" s="188">
        <f t="shared" si="38"/>
        <v>0</v>
      </c>
      <c r="CL32" s="187">
        <f t="shared" si="39"/>
        <v>0</v>
      </c>
      <c r="CM32" s="183"/>
      <c r="CN32" s="184"/>
      <c r="CO32" s="185"/>
      <c r="CP32" s="183"/>
      <c r="CQ32" s="184"/>
      <c r="CR32" s="185"/>
      <c r="CS32" s="183"/>
      <c r="CT32" s="184"/>
      <c r="CU32" s="185"/>
      <c r="CV32" s="183"/>
      <c r="CW32" s="184"/>
      <c r="CX32" s="185"/>
      <c r="CY32" s="186"/>
      <c r="CZ32" s="188">
        <f t="shared" si="40"/>
        <v>0</v>
      </c>
      <c r="DA32" s="187">
        <f t="shared" si="41"/>
        <v>0</v>
      </c>
      <c r="DB32" s="183"/>
      <c r="DC32" s="184"/>
      <c r="DD32" s="185"/>
      <c r="DE32" s="183"/>
      <c r="DF32" s="184"/>
      <c r="DG32" s="185"/>
      <c r="DH32" s="183"/>
      <c r="DI32" s="184"/>
      <c r="DJ32" s="185"/>
      <c r="DK32" s="183"/>
      <c r="DL32" s="184"/>
      <c r="DM32" s="185"/>
      <c r="DN32" s="186"/>
      <c r="DO32" s="188">
        <f t="shared" si="42"/>
        <v>0</v>
      </c>
      <c r="DP32" s="187">
        <f t="shared" si="43"/>
        <v>0</v>
      </c>
      <c r="DQ32" s="183"/>
      <c r="DR32" s="184"/>
      <c r="DS32" s="185"/>
      <c r="DT32" s="183"/>
      <c r="DU32" s="184"/>
      <c r="DV32" s="185"/>
      <c r="DW32" s="183"/>
      <c r="DX32" s="184"/>
      <c r="DY32" s="185"/>
      <c r="DZ32" s="183"/>
      <c r="EA32" s="184"/>
      <c r="EB32" s="185"/>
      <c r="EC32" s="186"/>
      <c r="ED32" s="188">
        <f t="shared" si="44"/>
        <v>0</v>
      </c>
      <c r="EE32" s="187">
        <f t="shared" si="45"/>
        <v>0</v>
      </c>
    </row>
    <row r="33" spans="1:135" ht="15.75" customHeight="1">
      <c r="A33" s="198" t="str">
        <f>IFERROR(VLOOKUP(L33,'Base dados Exercicios'!$C$4:$J$305,3,FALSE),"")</f>
        <v/>
      </c>
      <c r="B33" s="199" t="str">
        <f>IFERROR(VLOOKUP(L33,'Base dados Exercicios'!$C$4:$J$305,4,FALSE),"")</f>
        <v/>
      </c>
      <c r="C33" s="200" t="str">
        <f>IFERROR(VLOOKUP(L33,'Base dados Exercicios'!$C$4:$J$305,5,FALSE),"")</f>
        <v/>
      </c>
      <c r="D33" s="200" t="str">
        <f>IFERROR(VLOOKUP(L33,'Base dados Exercicios'!$C$4:$J$305,6,FALSE),"")</f>
        <v/>
      </c>
      <c r="E33" s="200" t="str">
        <f>IFERROR(VLOOKUP(L33,'Base dados Exercicios'!$C$4:$J$305,7,FALSE),"")</f>
        <v/>
      </c>
      <c r="F33" s="201" t="str">
        <f>IFERROR(VLOOKUP(L33,'Base dados Exercicios'!$C$4:$J$305,8,FALSE),"")</f>
        <v/>
      </c>
      <c r="G33" s="175"/>
      <c r="H33" s="442"/>
      <c r="I33" s="372"/>
      <c r="K33" s="437"/>
      <c r="L33" s="194"/>
      <c r="M33" s="179" t="str">
        <f>IF(L33&lt;&gt;"", HYPERLINK(VLOOKUP(L33,'Base dados Exercicios'!$C$4:$D$83,2,FALSE),"Check"),"")</f>
        <v/>
      </c>
      <c r="N33" s="202"/>
      <c r="O33" s="203"/>
      <c r="P33" s="204"/>
      <c r="Q33" s="214" t="s">
        <v>154</v>
      </c>
      <c r="R33" s="206"/>
      <c r="S33" s="206"/>
      <c r="T33" s="206"/>
      <c r="U33" s="206"/>
      <c r="V33" s="206"/>
      <c r="W33" s="206"/>
      <c r="X33" s="206"/>
      <c r="Y33" s="206"/>
      <c r="Z33" s="206"/>
      <c r="AA33" s="206"/>
      <c r="AB33" s="206"/>
      <c r="AC33" s="206"/>
      <c r="AD33" s="207"/>
      <c r="AE33" s="214" t="s">
        <v>154</v>
      </c>
      <c r="AF33" s="206"/>
      <c r="AG33" s="206"/>
      <c r="AH33" s="206"/>
      <c r="AI33" s="206"/>
      <c r="AJ33" s="206"/>
      <c r="AK33" s="206"/>
      <c r="AL33" s="206"/>
      <c r="AM33" s="206"/>
      <c r="AN33" s="206"/>
      <c r="AO33" s="206"/>
      <c r="AP33" s="206"/>
      <c r="AQ33" s="206"/>
      <c r="AR33" s="206"/>
      <c r="AS33" s="207"/>
      <c r="AT33" s="214" t="s">
        <v>154</v>
      </c>
      <c r="AU33" s="206"/>
      <c r="AV33" s="206"/>
      <c r="AW33" s="206"/>
      <c r="AX33" s="206"/>
      <c r="AY33" s="206"/>
      <c r="AZ33" s="206"/>
      <c r="BA33" s="206"/>
      <c r="BB33" s="206"/>
      <c r="BC33" s="206"/>
      <c r="BD33" s="206"/>
      <c r="BE33" s="206"/>
      <c r="BF33" s="206"/>
      <c r="BG33" s="206"/>
      <c r="BH33" s="207"/>
      <c r="BI33" s="214" t="s">
        <v>154</v>
      </c>
      <c r="BJ33" s="206"/>
      <c r="BK33" s="206"/>
      <c r="BL33" s="206"/>
      <c r="BM33" s="206"/>
      <c r="BN33" s="206"/>
      <c r="BO33" s="206"/>
      <c r="BP33" s="206"/>
      <c r="BQ33" s="206"/>
      <c r="BR33" s="206"/>
      <c r="BS33" s="206"/>
      <c r="BT33" s="206"/>
      <c r="BU33" s="206"/>
      <c r="BV33" s="206"/>
      <c r="BW33" s="207"/>
      <c r="BX33" s="214" t="s">
        <v>154</v>
      </c>
      <c r="BY33" s="206"/>
      <c r="BZ33" s="206"/>
      <c r="CA33" s="206"/>
      <c r="CB33" s="206"/>
      <c r="CC33" s="206"/>
      <c r="CD33" s="206"/>
      <c r="CE33" s="206"/>
      <c r="CF33" s="206"/>
      <c r="CG33" s="206"/>
      <c r="CH33" s="206"/>
      <c r="CI33" s="206"/>
      <c r="CJ33" s="206"/>
      <c r="CK33" s="206"/>
      <c r="CL33" s="207"/>
      <c r="CM33" s="214" t="s">
        <v>154</v>
      </c>
      <c r="CN33" s="206"/>
      <c r="CO33" s="206"/>
      <c r="CP33" s="206"/>
      <c r="CQ33" s="206"/>
      <c r="CR33" s="206"/>
      <c r="CS33" s="206"/>
      <c r="CT33" s="206"/>
      <c r="CU33" s="206"/>
      <c r="CV33" s="206"/>
      <c r="CW33" s="206"/>
      <c r="CX33" s="206"/>
      <c r="CY33" s="206"/>
      <c r="CZ33" s="206"/>
      <c r="DA33" s="207"/>
      <c r="DB33" s="214" t="s">
        <v>154</v>
      </c>
      <c r="DC33" s="206"/>
      <c r="DD33" s="206"/>
      <c r="DE33" s="206"/>
      <c r="DF33" s="206"/>
      <c r="DG33" s="206"/>
      <c r="DH33" s="206"/>
      <c r="DI33" s="206"/>
      <c r="DJ33" s="206"/>
      <c r="DK33" s="206"/>
      <c r="DL33" s="206"/>
      <c r="DM33" s="206"/>
      <c r="DN33" s="206"/>
      <c r="DO33" s="206"/>
      <c r="DP33" s="207"/>
      <c r="DQ33" s="214" t="s">
        <v>154</v>
      </c>
      <c r="DR33" s="206"/>
      <c r="DS33" s="206"/>
      <c r="DT33" s="206"/>
      <c r="DU33" s="206"/>
      <c r="DV33" s="206"/>
      <c r="DW33" s="206"/>
      <c r="DX33" s="206"/>
      <c r="DY33" s="206"/>
      <c r="DZ33" s="206"/>
      <c r="EA33" s="206"/>
      <c r="EB33" s="206"/>
      <c r="EC33" s="206"/>
      <c r="ED33" s="206"/>
      <c r="EE33" s="207"/>
    </row>
    <row r="34" spans="1:135" ht="15.75" customHeight="1">
      <c r="A34" s="171" t="str">
        <f>IFERROR(VLOOKUP(L34,'Base dados Exercicios'!$C$4:$J$305,3,FALSE),"")</f>
        <v/>
      </c>
      <c r="B34" s="172" t="str">
        <f>IFERROR(VLOOKUP(L34,'Base dados Exercicios'!$C$4:$J$305,4,FALSE),"")</f>
        <v/>
      </c>
      <c r="C34" s="173" t="str">
        <f>IFERROR(VLOOKUP(L34,'Base dados Exercicios'!$C$4:$J$305,5,FALSE),"")</f>
        <v/>
      </c>
      <c r="D34" s="173" t="str">
        <f>IFERROR(VLOOKUP(L34,'Base dados Exercicios'!$C$4:$J$305,6,FALSE),"")</f>
        <v/>
      </c>
      <c r="E34" s="173" t="str">
        <f>IFERROR(VLOOKUP(L34,'Base dados Exercicios'!$C$4:$J$305,7,FALSE),"")</f>
        <v/>
      </c>
      <c r="F34" s="174" t="str">
        <f>IFERROR(VLOOKUP(L34,'Base dados Exercicios'!$C$4:$J$305,8,FALSE),"")</f>
        <v/>
      </c>
      <c r="G34" s="175"/>
      <c r="H34" s="442"/>
      <c r="I34" s="372"/>
      <c r="K34" s="435">
        <f>I26</f>
        <v>0</v>
      </c>
      <c r="L34" s="178"/>
      <c r="M34" s="208" t="str">
        <f>IF(L34&lt;&gt;"", HYPERLINK(VLOOKUP(L34,'Base dados Exercicios'!$C$4:$D$83,2,FALSE),"Check"),"")</f>
        <v/>
      </c>
      <c r="N34" s="180"/>
      <c r="O34" s="181"/>
      <c r="P34" s="182"/>
      <c r="Q34" s="183"/>
      <c r="R34" s="184"/>
      <c r="S34" s="185"/>
      <c r="T34" s="183"/>
      <c r="U34" s="184"/>
      <c r="V34" s="185"/>
      <c r="W34" s="183"/>
      <c r="X34" s="184"/>
      <c r="Y34" s="185"/>
      <c r="Z34" s="183"/>
      <c r="AA34" s="184"/>
      <c r="AB34" s="185"/>
      <c r="AC34" s="186"/>
      <c r="AD34" s="187">
        <f t="shared" ref="AD34:AD42" si="46">(R34*S34)+(U34*V34)+(X34*Y34)+(AA34*AB34)</f>
        <v>0</v>
      </c>
      <c r="AE34" s="183"/>
      <c r="AF34" s="184"/>
      <c r="AG34" s="185"/>
      <c r="AH34" s="183"/>
      <c r="AI34" s="184"/>
      <c r="AJ34" s="185"/>
      <c r="AK34" s="183"/>
      <c r="AL34" s="184"/>
      <c r="AM34" s="185"/>
      <c r="AN34" s="183"/>
      <c r="AO34" s="184"/>
      <c r="AP34" s="185"/>
      <c r="AQ34" s="186"/>
      <c r="AR34" s="188">
        <f t="shared" ref="AR34:AR42" si="47">(AF34*AG34)+(AI34*AJ34)+(AL34*AM34)+(AO34*AP34)</f>
        <v>0</v>
      </c>
      <c r="AS34" s="187">
        <f t="shared" ref="AS34:AS42" si="48">AR34-AD34</f>
        <v>0</v>
      </c>
      <c r="AT34" s="183"/>
      <c r="AU34" s="184"/>
      <c r="AV34" s="185"/>
      <c r="AW34" s="183"/>
      <c r="AX34" s="184"/>
      <c r="AY34" s="185"/>
      <c r="AZ34" s="183"/>
      <c r="BA34" s="184"/>
      <c r="BB34" s="185"/>
      <c r="BC34" s="183"/>
      <c r="BD34" s="184"/>
      <c r="BE34" s="185"/>
      <c r="BF34" s="186"/>
      <c r="BG34" s="188">
        <f t="shared" ref="BG34:BG42" si="49">(AU34*AV34)+(AX34*AY34)+(BA34*BB34)+(BD34*BE34)</f>
        <v>0</v>
      </c>
      <c r="BH34" s="187">
        <f t="shared" ref="BH34:BH42" si="50">BG34-AR34</f>
        <v>0</v>
      </c>
      <c r="BI34" s="183"/>
      <c r="BJ34" s="184"/>
      <c r="BK34" s="185"/>
      <c r="BL34" s="183"/>
      <c r="BM34" s="184"/>
      <c r="BN34" s="185"/>
      <c r="BO34" s="183"/>
      <c r="BP34" s="184"/>
      <c r="BQ34" s="185"/>
      <c r="BR34" s="183"/>
      <c r="BS34" s="184"/>
      <c r="BT34" s="185"/>
      <c r="BU34" s="186"/>
      <c r="BV34" s="188">
        <f t="shared" ref="BV34:BV42" si="51">(BJ34*BK34)+(BM34*BN34)+(BP34*BQ34)+(BS34*BT34)</f>
        <v>0</v>
      </c>
      <c r="BW34" s="187">
        <f t="shared" ref="BW34:BW42" si="52">BV34-BG34</f>
        <v>0</v>
      </c>
      <c r="BX34" s="183"/>
      <c r="BY34" s="184"/>
      <c r="BZ34" s="185"/>
      <c r="CA34" s="183"/>
      <c r="CB34" s="184"/>
      <c r="CC34" s="185"/>
      <c r="CD34" s="183"/>
      <c r="CE34" s="184"/>
      <c r="CF34" s="185"/>
      <c r="CG34" s="183"/>
      <c r="CH34" s="184"/>
      <c r="CI34" s="185"/>
      <c r="CJ34" s="186"/>
      <c r="CK34" s="188">
        <f t="shared" ref="CK34:CK42" si="53">(BY34*BZ34)+(CB34*CC34)+(CE34*CF34)+(CH34*CI34)</f>
        <v>0</v>
      </c>
      <c r="CL34" s="187">
        <f t="shared" ref="CL34:CL42" si="54">CK34-BV34</f>
        <v>0</v>
      </c>
      <c r="CM34" s="183"/>
      <c r="CN34" s="184"/>
      <c r="CO34" s="185"/>
      <c r="CP34" s="183"/>
      <c r="CQ34" s="184"/>
      <c r="CR34" s="185"/>
      <c r="CS34" s="183"/>
      <c r="CT34" s="184"/>
      <c r="CU34" s="185"/>
      <c r="CV34" s="183"/>
      <c r="CW34" s="184"/>
      <c r="CX34" s="185"/>
      <c r="CY34" s="186"/>
      <c r="CZ34" s="188">
        <f t="shared" ref="CZ34:CZ42" si="55">(CN34*CO34)+(CQ34*CR34)+(CT34*CU34)+(CW34*CX34)</f>
        <v>0</v>
      </c>
      <c r="DA34" s="187">
        <f t="shared" ref="DA34:DA42" si="56">CZ34-CK34</f>
        <v>0</v>
      </c>
      <c r="DB34" s="183"/>
      <c r="DC34" s="184"/>
      <c r="DD34" s="185"/>
      <c r="DE34" s="183"/>
      <c r="DF34" s="184"/>
      <c r="DG34" s="185"/>
      <c r="DH34" s="183"/>
      <c r="DI34" s="184"/>
      <c r="DJ34" s="185"/>
      <c r="DK34" s="183"/>
      <c r="DL34" s="184"/>
      <c r="DM34" s="185"/>
      <c r="DN34" s="186"/>
      <c r="DO34" s="188">
        <f t="shared" ref="DO34:DO42" si="57">(DC34*DD34)+(DF34*DG34)+(DI34*DJ34)+(DL34*DM34)</f>
        <v>0</v>
      </c>
      <c r="DP34" s="187">
        <f t="shared" ref="DP34:DP42" si="58">DO34-CZ34</f>
        <v>0</v>
      </c>
      <c r="DQ34" s="183"/>
      <c r="DR34" s="184"/>
      <c r="DS34" s="185"/>
      <c r="DT34" s="183"/>
      <c r="DU34" s="184"/>
      <c r="DV34" s="185"/>
      <c r="DW34" s="183"/>
      <c r="DX34" s="184"/>
      <c r="DY34" s="185"/>
      <c r="DZ34" s="183"/>
      <c r="EA34" s="184"/>
      <c r="EB34" s="185"/>
      <c r="EC34" s="186"/>
      <c r="ED34" s="188">
        <f t="shared" ref="ED34:ED42" si="59">(DR34*DS34)+(DU34*DV34)+(DX34*DY34)+(EA34*EB34)</f>
        <v>0</v>
      </c>
      <c r="EE34" s="187">
        <f t="shared" ref="EE34:EE42" si="60">ED34-DO34</f>
        <v>0</v>
      </c>
    </row>
    <row r="35" spans="1:135" ht="15.75" customHeight="1">
      <c r="A35" s="189" t="str">
        <f>IFERROR(VLOOKUP(L35,'Base dados Exercicios'!$C$4:$J$305,3,FALSE),"")</f>
        <v/>
      </c>
      <c r="B35" s="190" t="str">
        <f>IFERROR(VLOOKUP(L35,'Base dados Exercicios'!$C$4:$J$305,4,FALSE),"")</f>
        <v/>
      </c>
      <c r="C35" s="191" t="str">
        <f>IFERROR(VLOOKUP(L35,'Base dados Exercicios'!$C$4:$J$305,5,FALSE),"")</f>
        <v/>
      </c>
      <c r="D35" s="191" t="str">
        <f>IFERROR(VLOOKUP(L35,'Base dados Exercicios'!$C$4:$J$305,6,FALSE),"")</f>
        <v/>
      </c>
      <c r="E35" s="191" t="str">
        <f>IFERROR(VLOOKUP(L35,'Base dados Exercicios'!$C$4:$J$305,7,FALSE),"")</f>
        <v/>
      </c>
      <c r="F35" s="192" t="str">
        <f>IFERROR(VLOOKUP(L35,'Base dados Exercicios'!$C$4:$J$305,8,FALSE),"")</f>
        <v/>
      </c>
      <c r="G35" s="175"/>
      <c r="H35" s="442"/>
      <c r="I35" s="372"/>
      <c r="K35" s="436"/>
      <c r="L35" s="194"/>
      <c r="M35" s="179" t="str">
        <f>IF(L35&lt;&gt;"", HYPERLINK(VLOOKUP(L35,'Base dados Exercicios'!$C$4:$D$83,2,FALSE),"Check"),"")</f>
        <v/>
      </c>
      <c r="N35" s="195"/>
      <c r="O35" s="196"/>
      <c r="P35" s="197"/>
      <c r="Q35" s="183"/>
      <c r="R35" s="184"/>
      <c r="S35" s="185"/>
      <c r="T35" s="183"/>
      <c r="U35" s="184"/>
      <c r="V35" s="185"/>
      <c r="W35" s="183"/>
      <c r="X35" s="184"/>
      <c r="Y35" s="185"/>
      <c r="Z35" s="183"/>
      <c r="AA35" s="184"/>
      <c r="AB35" s="185"/>
      <c r="AC35" s="186"/>
      <c r="AD35" s="187">
        <f t="shared" si="46"/>
        <v>0</v>
      </c>
      <c r="AE35" s="183"/>
      <c r="AF35" s="184"/>
      <c r="AG35" s="185"/>
      <c r="AH35" s="183"/>
      <c r="AI35" s="184"/>
      <c r="AJ35" s="185"/>
      <c r="AK35" s="183"/>
      <c r="AL35" s="184"/>
      <c r="AM35" s="185"/>
      <c r="AN35" s="183"/>
      <c r="AO35" s="184"/>
      <c r="AP35" s="185"/>
      <c r="AQ35" s="186"/>
      <c r="AR35" s="188">
        <f t="shared" si="47"/>
        <v>0</v>
      </c>
      <c r="AS35" s="187">
        <f t="shared" si="48"/>
        <v>0</v>
      </c>
      <c r="AT35" s="183"/>
      <c r="AU35" s="184"/>
      <c r="AV35" s="185"/>
      <c r="AW35" s="183"/>
      <c r="AX35" s="184"/>
      <c r="AY35" s="185"/>
      <c r="AZ35" s="183"/>
      <c r="BA35" s="184"/>
      <c r="BB35" s="185"/>
      <c r="BC35" s="183"/>
      <c r="BD35" s="184"/>
      <c r="BE35" s="185"/>
      <c r="BF35" s="186"/>
      <c r="BG35" s="188">
        <f t="shared" si="49"/>
        <v>0</v>
      </c>
      <c r="BH35" s="187">
        <f t="shared" si="50"/>
        <v>0</v>
      </c>
      <c r="BI35" s="183"/>
      <c r="BJ35" s="184"/>
      <c r="BK35" s="185"/>
      <c r="BL35" s="183"/>
      <c r="BM35" s="184"/>
      <c r="BN35" s="185"/>
      <c r="BO35" s="183"/>
      <c r="BP35" s="184"/>
      <c r="BQ35" s="185"/>
      <c r="BR35" s="183"/>
      <c r="BS35" s="184"/>
      <c r="BT35" s="185"/>
      <c r="BU35" s="186"/>
      <c r="BV35" s="188">
        <f t="shared" si="51"/>
        <v>0</v>
      </c>
      <c r="BW35" s="187">
        <f t="shared" si="52"/>
        <v>0</v>
      </c>
      <c r="BX35" s="183"/>
      <c r="BY35" s="184"/>
      <c r="BZ35" s="185"/>
      <c r="CA35" s="183"/>
      <c r="CB35" s="184"/>
      <c r="CC35" s="185"/>
      <c r="CD35" s="183"/>
      <c r="CE35" s="184"/>
      <c r="CF35" s="185"/>
      <c r="CG35" s="183"/>
      <c r="CH35" s="184"/>
      <c r="CI35" s="185"/>
      <c r="CJ35" s="186"/>
      <c r="CK35" s="188">
        <f t="shared" si="53"/>
        <v>0</v>
      </c>
      <c r="CL35" s="187">
        <f t="shared" si="54"/>
        <v>0</v>
      </c>
      <c r="CM35" s="183"/>
      <c r="CN35" s="184"/>
      <c r="CO35" s="185"/>
      <c r="CP35" s="183"/>
      <c r="CQ35" s="184"/>
      <c r="CR35" s="185"/>
      <c r="CS35" s="183"/>
      <c r="CT35" s="184"/>
      <c r="CU35" s="185"/>
      <c r="CV35" s="183"/>
      <c r="CW35" s="184"/>
      <c r="CX35" s="185"/>
      <c r="CY35" s="186"/>
      <c r="CZ35" s="188">
        <f t="shared" si="55"/>
        <v>0</v>
      </c>
      <c r="DA35" s="187">
        <f t="shared" si="56"/>
        <v>0</v>
      </c>
      <c r="DB35" s="183"/>
      <c r="DC35" s="184"/>
      <c r="DD35" s="185"/>
      <c r="DE35" s="183"/>
      <c r="DF35" s="184"/>
      <c r="DG35" s="185"/>
      <c r="DH35" s="183"/>
      <c r="DI35" s="184"/>
      <c r="DJ35" s="185"/>
      <c r="DK35" s="183"/>
      <c r="DL35" s="184"/>
      <c r="DM35" s="185"/>
      <c r="DN35" s="186"/>
      <c r="DO35" s="188">
        <f t="shared" si="57"/>
        <v>0</v>
      </c>
      <c r="DP35" s="187">
        <f t="shared" si="58"/>
        <v>0</v>
      </c>
      <c r="DQ35" s="183"/>
      <c r="DR35" s="184"/>
      <c r="DS35" s="185"/>
      <c r="DT35" s="183"/>
      <c r="DU35" s="184"/>
      <c r="DV35" s="185"/>
      <c r="DW35" s="183"/>
      <c r="DX35" s="184"/>
      <c r="DY35" s="185"/>
      <c r="DZ35" s="183"/>
      <c r="EA35" s="184"/>
      <c r="EB35" s="185"/>
      <c r="EC35" s="186"/>
      <c r="ED35" s="188">
        <f t="shared" si="59"/>
        <v>0</v>
      </c>
      <c r="EE35" s="187">
        <f t="shared" si="60"/>
        <v>0</v>
      </c>
    </row>
    <row r="36" spans="1:135" ht="15.75" customHeight="1">
      <c r="A36" s="189" t="str">
        <f>IFERROR(VLOOKUP(L36,'Base dados Exercicios'!$C$4:$J$305,3,FALSE),"")</f>
        <v/>
      </c>
      <c r="B36" s="190" t="str">
        <f>IFERROR(VLOOKUP(L36,'Base dados Exercicios'!$C$4:$J$305,4,FALSE),"")</f>
        <v/>
      </c>
      <c r="C36" s="191" t="str">
        <f>IFERROR(VLOOKUP(L36,'Base dados Exercicios'!$C$4:$J$305,5,FALSE),"")</f>
        <v/>
      </c>
      <c r="D36" s="191" t="str">
        <f>IFERROR(VLOOKUP(L36,'Base dados Exercicios'!$C$4:$J$305,6,FALSE),"")</f>
        <v/>
      </c>
      <c r="E36" s="191" t="str">
        <f>IFERROR(VLOOKUP(L36,'Base dados Exercicios'!$C$4:$J$305,7,FALSE),"")</f>
        <v/>
      </c>
      <c r="F36" s="192" t="str">
        <f>IFERROR(VLOOKUP(L36,'Base dados Exercicios'!$C$4:$J$305,8,FALSE),"")</f>
        <v/>
      </c>
      <c r="G36" s="175"/>
      <c r="H36" s="442"/>
      <c r="I36" s="372"/>
      <c r="K36" s="436"/>
      <c r="L36" s="194"/>
      <c r="M36" s="179" t="str">
        <f>IF(L36&lt;&gt;"", HYPERLINK(VLOOKUP(L36,'Base dados Exercicios'!$C$4:$D$83,2,FALSE),"Check"),"")</f>
        <v/>
      </c>
      <c r="N36" s="195"/>
      <c r="O36" s="196"/>
      <c r="P36" s="197"/>
      <c r="Q36" s="183"/>
      <c r="R36" s="184"/>
      <c r="S36" s="185"/>
      <c r="T36" s="183"/>
      <c r="U36" s="184"/>
      <c r="V36" s="185"/>
      <c r="W36" s="183"/>
      <c r="X36" s="184"/>
      <c r="Y36" s="185"/>
      <c r="Z36" s="183"/>
      <c r="AA36" s="184"/>
      <c r="AB36" s="185"/>
      <c r="AC36" s="186"/>
      <c r="AD36" s="187">
        <f t="shared" si="46"/>
        <v>0</v>
      </c>
      <c r="AE36" s="183"/>
      <c r="AF36" s="184"/>
      <c r="AG36" s="185"/>
      <c r="AH36" s="183"/>
      <c r="AI36" s="184"/>
      <c r="AJ36" s="185"/>
      <c r="AK36" s="183"/>
      <c r="AL36" s="184"/>
      <c r="AM36" s="185"/>
      <c r="AN36" s="183"/>
      <c r="AO36" s="184"/>
      <c r="AP36" s="185"/>
      <c r="AQ36" s="186"/>
      <c r="AR36" s="188">
        <f t="shared" si="47"/>
        <v>0</v>
      </c>
      <c r="AS36" s="187">
        <f t="shared" si="48"/>
        <v>0</v>
      </c>
      <c r="AT36" s="183"/>
      <c r="AU36" s="184"/>
      <c r="AV36" s="185"/>
      <c r="AW36" s="183"/>
      <c r="AX36" s="184"/>
      <c r="AY36" s="185"/>
      <c r="AZ36" s="183"/>
      <c r="BA36" s="184"/>
      <c r="BB36" s="185"/>
      <c r="BC36" s="183"/>
      <c r="BD36" s="184"/>
      <c r="BE36" s="185"/>
      <c r="BF36" s="186"/>
      <c r="BG36" s="188">
        <f t="shared" si="49"/>
        <v>0</v>
      </c>
      <c r="BH36" s="187">
        <f t="shared" si="50"/>
        <v>0</v>
      </c>
      <c r="BI36" s="183"/>
      <c r="BJ36" s="184"/>
      <c r="BK36" s="185"/>
      <c r="BL36" s="183"/>
      <c r="BM36" s="184"/>
      <c r="BN36" s="185"/>
      <c r="BO36" s="183"/>
      <c r="BP36" s="184"/>
      <c r="BQ36" s="185"/>
      <c r="BR36" s="183"/>
      <c r="BS36" s="184"/>
      <c r="BT36" s="185"/>
      <c r="BU36" s="186"/>
      <c r="BV36" s="188">
        <f t="shared" si="51"/>
        <v>0</v>
      </c>
      <c r="BW36" s="187">
        <f t="shared" si="52"/>
        <v>0</v>
      </c>
      <c r="BX36" s="183"/>
      <c r="BY36" s="184"/>
      <c r="BZ36" s="185"/>
      <c r="CA36" s="183"/>
      <c r="CB36" s="184"/>
      <c r="CC36" s="185"/>
      <c r="CD36" s="183"/>
      <c r="CE36" s="184"/>
      <c r="CF36" s="185"/>
      <c r="CG36" s="183"/>
      <c r="CH36" s="184"/>
      <c r="CI36" s="185"/>
      <c r="CJ36" s="186"/>
      <c r="CK36" s="188">
        <f t="shared" si="53"/>
        <v>0</v>
      </c>
      <c r="CL36" s="187">
        <f t="shared" si="54"/>
        <v>0</v>
      </c>
      <c r="CM36" s="183"/>
      <c r="CN36" s="184"/>
      <c r="CO36" s="185"/>
      <c r="CP36" s="183"/>
      <c r="CQ36" s="184"/>
      <c r="CR36" s="185"/>
      <c r="CS36" s="183"/>
      <c r="CT36" s="184"/>
      <c r="CU36" s="185"/>
      <c r="CV36" s="183"/>
      <c r="CW36" s="184"/>
      <c r="CX36" s="185"/>
      <c r="CY36" s="186"/>
      <c r="CZ36" s="188">
        <f t="shared" si="55"/>
        <v>0</v>
      </c>
      <c r="DA36" s="187">
        <f t="shared" si="56"/>
        <v>0</v>
      </c>
      <c r="DB36" s="183"/>
      <c r="DC36" s="184"/>
      <c r="DD36" s="185"/>
      <c r="DE36" s="183"/>
      <c r="DF36" s="184"/>
      <c r="DG36" s="185"/>
      <c r="DH36" s="183"/>
      <c r="DI36" s="184"/>
      <c r="DJ36" s="185"/>
      <c r="DK36" s="183"/>
      <c r="DL36" s="184"/>
      <c r="DM36" s="185"/>
      <c r="DN36" s="186"/>
      <c r="DO36" s="188">
        <f t="shared" si="57"/>
        <v>0</v>
      </c>
      <c r="DP36" s="187">
        <f t="shared" si="58"/>
        <v>0</v>
      </c>
      <c r="DQ36" s="183"/>
      <c r="DR36" s="184"/>
      <c r="DS36" s="185"/>
      <c r="DT36" s="183"/>
      <c r="DU36" s="184"/>
      <c r="DV36" s="185"/>
      <c r="DW36" s="183"/>
      <c r="DX36" s="184"/>
      <c r="DY36" s="185"/>
      <c r="DZ36" s="183"/>
      <c r="EA36" s="184"/>
      <c r="EB36" s="185"/>
      <c r="EC36" s="186"/>
      <c r="ED36" s="188">
        <f t="shared" si="59"/>
        <v>0</v>
      </c>
      <c r="EE36" s="187">
        <f t="shared" si="60"/>
        <v>0</v>
      </c>
    </row>
    <row r="37" spans="1:135" ht="15.75" customHeight="1">
      <c r="A37" s="189" t="str">
        <f>IFERROR(VLOOKUP(L37,'Base dados Exercicios'!$C$4:$J$305,3,FALSE),"")</f>
        <v/>
      </c>
      <c r="B37" s="190" t="str">
        <f>IFERROR(VLOOKUP(L37,'Base dados Exercicios'!$C$4:$J$305,4,FALSE),"")</f>
        <v/>
      </c>
      <c r="C37" s="191" t="str">
        <f>IFERROR(VLOOKUP(L37,'Base dados Exercicios'!$C$4:$J$305,5,FALSE),"")</f>
        <v/>
      </c>
      <c r="D37" s="191" t="str">
        <f>IFERROR(VLOOKUP(L37,'Base dados Exercicios'!$C$4:$J$305,6,FALSE),"")</f>
        <v/>
      </c>
      <c r="E37" s="191" t="str">
        <f>IFERROR(VLOOKUP(L37,'Base dados Exercicios'!$C$4:$J$305,7,FALSE),"")</f>
        <v/>
      </c>
      <c r="F37" s="192" t="str">
        <f>IFERROR(VLOOKUP(L37,'Base dados Exercicios'!$C$4:$J$305,8,FALSE),"")</f>
        <v/>
      </c>
      <c r="G37" s="175"/>
      <c r="H37" s="443"/>
      <c r="I37" s="361"/>
      <c r="K37" s="436"/>
      <c r="L37" s="194"/>
      <c r="M37" s="179" t="str">
        <f>IF(L37&lt;&gt;"", HYPERLINK(VLOOKUP(L37,'Base dados Exercicios'!$C$4:$D$83,2,FALSE),"Check"),"")</f>
        <v/>
      </c>
      <c r="N37" s="195"/>
      <c r="O37" s="219"/>
      <c r="P37" s="197"/>
      <c r="Q37" s="183"/>
      <c r="R37" s="184"/>
      <c r="S37" s="185"/>
      <c r="T37" s="183"/>
      <c r="U37" s="184"/>
      <c r="V37" s="185"/>
      <c r="W37" s="183"/>
      <c r="X37" s="184"/>
      <c r="Y37" s="185"/>
      <c r="Z37" s="183"/>
      <c r="AA37" s="184"/>
      <c r="AB37" s="185"/>
      <c r="AC37" s="186"/>
      <c r="AD37" s="187">
        <f t="shared" si="46"/>
        <v>0</v>
      </c>
      <c r="AE37" s="183"/>
      <c r="AF37" s="184"/>
      <c r="AG37" s="185"/>
      <c r="AH37" s="183"/>
      <c r="AI37" s="184"/>
      <c r="AJ37" s="185"/>
      <c r="AK37" s="183"/>
      <c r="AL37" s="184"/>
      <c r="AM37" s="185"/>
      <c r="AN37" s="183"/>
      <c r="AO37" s="184"/>
      <c r="AP37" s="185"/>
      <c r="AQ37" s="186"/>
      <c r="AR37" s="188">
        <f t="shared" si="47"/>
        <v>0</v>
      </c>
      <c r="AS37" s="187">
        <f t="shared" si="48"/>
        <v>0</v>
      </c>
      <c r="AT37" s="183"/>
      <c r="AU37" s="184"/>
      <c r="AV37" s="185"/>
      <c r="AW37" s="183"/>
      <c r="AX37" s="184"/>
      <c r="AY37" s="185"/>
      <c r="AZ37" s="183"/>
      <c r="BA37" s="184"/>
      <c r="BB37" s="185"/>
      <c r="BC37" s="183"/>
      <c r="BD37" s="184"/>
      <c r="BE37" s="185"/>
      <c r="BF37" s="186"/>
      <c r="BG37" s="188">
        <f t="shared" si="49"/>
        <v>0</v>
      </c>
      <c r="BH37" s="187">
        <f t="shared" si="50"/>
        <v>0</v>
      </c>
      <c r="BI37" s="183"/>
      <c r="BJ37" s="184"/>
      <c r="BK37" s="185"/>
      <c r="BL37" s="183"/>
      <c r="BM37" s="184"/>
      <c r="BN37" s="185"/>
      <c r="BO37" s="183"/>
      <c r="BP37" s="184"/>
      <c r="BQ37" s="185"/>
      <c r="BR37" s="183"/>
      <c r="BS37" s="184"/>
      <c r="BT37" s="185"/>
      <c r="BU37" s="186"/>
      <c r="BV37" s="188">
        <f t="shared" si="51"/>
        <v>0</v>
      </c>
      <c r="BW37" s="187">
        <f t="shared" si="52"/>
        <v>0</v>
      </c>
      <c r="BX37" s="183"/>
      <c r="BY37" s="184"/>
      <c r="BZ37" s="185"/>
      <c r="CA37" s="183"/>
      <c r="CB37" s="184"/>
      <c r="CC37" s="185"/>
      <c r="CD37" s="183"/>
      <c r="CE37" s="184"/>
      <c r="CF37" s="185"/>
      <c r="CG37" s="183"/>
      <c r="CH37" s="184"/>
      <c r="CI37" s="185"/>
      <c r="CJ37" s="186"/>
      <c r="CK37" s="188">
        <f t="shared" si="53"/>
        <v>0</v>
      </c>
      <c r="CL37" s="187">
        <f t="shared" si="54"/>
        <v>0</v>
      </c>
      <c r="CM37" s="183"/>
      <c r="CN37" s="184"/>
      <c r="CO37" s="185"/>
      <c r="CP37" s="183"/>
      <c r="CQ37" s="184"/>
      <c r="CR37" s="185"/>
      <c r="CS37" s="183"/>
      <c r="CT37" s="184"/>
      <c r="CU37" s="185"/>
      <c r="CV37" s="183"/>
      <c r="CW37" s="184"/>
      <c r="CX37" s="185"/>
      <c r="CY37" s="186"/>
      <c r="CZ37" s="188">
        <f t="shared" si="55"/>
        <v>0</v>
      </c>
      <c r="DA37" s="187">
        <f t="shared" si="56"/>
        <v>0</v>
      </c>
      <c r="DB37" s="183"/>
      <c r="DC37" s="184"/>
      <c r="DD37" s="185"/>
      <c r="DE37" s="183"/>
      <c r="DF37" s="184"/>
      <c r="DG37" s="185"/>
      <c r="DH37" s="183"/>
      <c r="DI37" s="184"/>
      <c r="DJ37" s="185"/>
      <c r="DK37" s="183"/>
      <c r="DL37" s="184"/>
      <c r="DM37" s="185"/>
      <c r="DN37" s="186"/>
      <c r="DO37" s="188">
        <f t="shared" si="57"/>
        <v>0</v>
      </c>
      <c r="DP37" s="187">
        <f t="shared" si="58"/>
        <v>0</v>
      </c>
      <c r="DQ37" s="183"/>
      <c r="DR37" s="184"/>
      <c r="DS37" s="185"/>
      <c r="DT37" s="183"/>
      <c r="DU37" s="184"/>
      <c r="DV37" s="185"/>
      <c r="DW37" s="183"/>
      <c r="DX37" s="184"/>
      <c r="DY37" s="185"/>
      <c r="DZ37" s="183"/>
      <c r="EA37" s="184"/>
      <c r="EB37" s="185"/>
      <c r="EC37" s="186"/>
      <c r="ED37" s="188">
        <f t="shared" si="59"/>
        <v>0</v>
      </c>
      <c r="EE37" s="187">
        <f t="shared" si="60"/>
        <v>0</v>
      </c>
    </row>
    <row r="38" spans="1:135" ht="15.75" customHeight="1">
      <c r="A38" s="189" t="str">
        <f>IFERROR(VLOOKUP(L38,'Base dados Exercicios'!$C$4:$J$305,3,FALSE),"")</f>
        <v/>
      </c>
      <c r="B38" s="190" t="str">
        <f>IFERROR(VLOOKUP(L38,'Base dados Exercicios'!$C$4:$J$305,4,FALSE),"")</f>
        <v/>
      </c>
      <c r="C38" s="191" t="str">
        <f>IFERROR(VLOOKUP(L38,'Base dados Exercicios'!$C$4:$J$305,5,FALSE),"")</f>
        <v/>
      </c>
      <c r="D38" s="191" t="str">
        <f>IFERROR(VLOOKUP(L38,'Base dados Exercicios'!$C$4:$J$305,6,FALSE),"")</f>
        <v/>
      </c>
      <c r="E38" s="191" t="str">
        <f>IFERROR(VLOOKUP(L38,'Base dados Exercicios'!$C$4:$J$305,7,FALSE),"")</f>
        <v/>
      </c>
      <c r="F38" s="192" t="str">
        <f>IFERROR(VLOOKUP(L38,'Base dados Exercicios'!$C$4:$J$305,8,FALSE),"")</f>
        <v/>
      </c>
      <c r="G38" s="175"/>
      <c r="H38" s="444" t="s">
        <v>171</v>
      </c>
      <c r="I38" s="372"/>
      <c r="K38" s="436"/>
      <c r="L38" s="194"/>
      <c r="M38" s="179" t="str">
        <f>IF(L38&lt;&gt;"", HYPERLINK(VLOOKUP(L38,'Base dados Exercicios'!$C$4:$D$83,2,FALSE),"Check"),"")</f>
        <v/>
      </c>
      <c r="N38" s="195"/>
      <c r="O38" s="196"/>
      <c r="P38" s="197"/>
      <c r="Q38" s="183"/>
      <c r="R38" s="184"/>
      <c r="S38" s="185"/>
      <c r="T38" s="183"/>
      <c r="U38" s="184"/>
      <c r="V38" s="185"/>
      <c r="W38" s="183"/>
      <c r="X38" s="184"/>
      <c r="Y38" s="185"/>
      <c r="Z38" s="183"/>
      <c r="AA38" s="184"/>
      <c r="AB38" s="185"/>
      <c r="AC38" s="186"/>
      <c r="AD38" s="187">
        <f t="shared" si="46"/>
        <v>0</v>
      </c>
      <c r="AE38" s="183"/>
      <c r="AF38" s="184"/>
      <c r="AG38" s="185"/>
      <c r="AH38" s="183"/>
      <c r="AI38" s="184"/>
      <c r="AJ38" s="185"/>
      <c r="AK38" s="183"/>
      <c r="AL38" s="184"/>
      <c r="AM38" s="185"/>
      <c r="AN38" s="183"/>
      <c r="AO38" s="184"/>
      <c r="AP38" s="185"/>
      <c r="AQ38" s="186"/>
      <c r="AR38" s="188">
        <f t="shared" si="47"/>
        <v>0</v>
      </c>
      <c r="AS38" s="187">
        <f t="shared" si="48"/>
        <v>0</v>
      </c>
      <c r="AT38" s="183"/>
      <c r="AU38" s="184"/>
      <c r="AV38" s="185"/>
      <c r="AW38" s="183"/>
      <c r="AX38" s="184"/>
      <c r="AY38" s="185"/>
      <c r="AZ38" s="183"/>
      <c r="BA38" s="184"/>
      <c r="BB38" s="185"/>
      <c r="BC38" s="183"/>
      <c r="BD38" s="184"/>
      <c r="BE38" s="185"/>
      <c r="BF38" s="186"/>
      <c r="BG38" s="188">
        <f t="shared" si="49"/>
        <v>0</v>
      </c>
      <c r="BH38" s="187">
        <f t="shared" si="50"/>
        <v>0</v>
      </c>
      <c r="BI38" s="183"/>
      <c r="BJ38" s="184"/>
      <c r="BK38" s="185"/>
      <c r="BL38" s="183"/>
      <c r="BM38" s="184"/>
      <c r="BN38" s="185"/>
      <c r="BO38" s="183"/>
      <c r="BP38" s="184"/>
      <c r="BQ38" s="185"/>
      <c r="BR38" s="183"/>
      <c r="BS38" s="184"/>
      <c r="BT38" s="185"/>
      <c r="BU38" s="186"/>
      <c r="BV38" s="188">
        <f t="shared" si="51"/>
        <v>0</v>
      </c>
      <c r="BW38" s="187">
        <f t="shared" si="52"/>
        <v>0</v>
      </c>
      <c r="BX38" s="183"/>
      <c r="BY38" s="184"/>
      <c r="BZ38" s="185"/>
      <c r="CA38" s="183"/>
      <c r="CB38" s="184"/>
      <c r="CC38" s="185"/>
      <c r="CD38" s="183"/>
      <c r="CE38" s="184"/>
      <c r="CF38" s="185"/>
      <c r="CG38" s="183"/>
      <c r="CH38" s="184"/>
      <c r="CI38" s="185"/>
      <c r="CJ38" s="186"/>
      <c r="CK38" s="188">
        <f t="shared" si="53"/>
        <v>0</v>
      </c>
      <c r="CL38" s="187">
        <f t="shared" si="54"/>
        <v>0</v>
      </c>
      <c r="CM38" s="183"/>
      <c r="CN38" s="184"/>
      <c r="CO38" s="185"/>
      <c r="CP38" s="183"/>
      <c r="CQ38" s="184"/>
      <c r="CR38" s="185"/>
      <c r="CS38" s="183"/>
      <c r="CT38" s="184"/>
      <c r="CU38" s="185"/>
      <c r="CV38" s="183"/>
      <c r="CW38" s="184"/>
      <c r="CX38" s="185"/>
      <c r="CY38" s="186"/>
      <c r="CZ38" s="188">
        <f t="shared" si="55"/>
        <v>0</v>
      </c>
      <c r="DA38" s="187">
        <f t="shared" si="56"/>
        <v>0</v>
      </c>
      <c r="DB38" s="183"/>
      <c r="DC38" s="184"/>
      <c r="DD38" s="185"/>
      <c r="DE38" s="183"/>
      <c r="DF38" s="184"/>
      <c r="DG38" s="185"/>
      <c r="DH38" s="183"/>
      <c r="DI38" s="184"/>
      <c r="DJ38" s="185"/>
      <c r="DK38" s="183"/>
      <c r="DL38" s="184"/>
      <c r="DM38" s="185"/>
      <c r="DN38" s="186"/>
      <c r="DO38" s="188">
        <f t="shared" si="57"/>
        <v>0</v>
      </c>
      <c r="DP38" s="187">
        <f t="shared" si="58"/>
        <v>0</v>
      </c>
      <c r="DQ38" s="183"/>
      <c r="DR38" s="184"/>
      <c r="DS38" s="185"/>
      <c r="DT38" s="183"/>
      <c r="DU38" s="184"/>
      <c r="DV38" s="185"/>
      <c r="DW38" s="183"/>
      <c r="DX38" s="184"/>
      <c r="DY38" s="185"/>
      <c r="DZ38" s="183"/>
      <c r="EA38" s="184"/>
      <c r="EB38" s="185"/>
      <c r="EC38" s="186"/>
      <c r="ED38" s="188">
        <f t="shared" si="59"/>
        <v>0</v>
      </c>
      <c r="EE38" s="187">
        <f t="shared" si="60"/>
        <v>0</v>
      </c>
    </row>
    <row r="39" spans="1:135" ht="15.75" customHeight="1">
      <c r="A39" s="189" t="str">
        <f>IFERROR(VLOOKUP(L39,'Base dados Exercicios'!$C$4:$J$305,3,FALSE),"")</f>
        <v/>
      </c>
      <c r="B39" s="190" t="str">
        <f>IFERROR(VLOOKUP(L39,'Base dados Exercicios'!$C$4:$J$305,4,FALSE),"")</f>
        <v/>
      </c>
      <c r="C39" s="191" t="str">
        <f>IFERROR(VLOOKUP(L39,'Base dados Exercicios'!$C$4:$J$305,5,FALSE),"")</f>
        <v/>
      </c>
      <c r="D39" s="191" t="str">
        <f>IFERROR(VLOOKUP(L39,'Base dados Exercicios'!$C$4:$J$305,6,FALSE),"")</f>
        <v/>
      </c>
      <c r="E39" s="191" t="str">
        <f>IFERROR(VLOOKUP(L39,'Base dados Exercicios'!$C$4:$J$305,7,FALSE),"")</f>
        <v/>
      </c>
      <c r="F39" s="192" t="str">
        <f>IFERROR(VLOOKUP(L39,'Base dados Exercicios'!$C$4:$J$305,8,FALSE),"")</f>
        <v/>
      </c>
      <c r="G39" s="175"/>
      <c r="H39" s="442"/>
      <c r="I39" s="372"/>
      <c r="K39" s="436"/>
      <c r="L39" s="194"/>
      <c r="M39" s="179" t="str">
        <f>IF(L39&lt;&gt;"", HYPERLINK(VLOOKUP(L39,'Base dados Exercicios'!$C$4:$D$83,2,FALSE),"Check"),"")</f>
        <v/>
      </c>
      <c r="N39" s="195"/>
      <c r="O39" s="196"/>
      <c r="P39" s="197"/>
      <c r="Q39" s="183"/>
      <c r="R39" s="184"/>
      <c r="S39" s="185"/>
      <c r="T39" s="183"/>
      <c r="U39" s="184"/>
      <c r="V39" s="185"/>
      <c r="W39" s="183"/>
      <c r="X39" s="184"/>
      <c r="Y39" s="185"/>
      <c r="Z39" s="183"/>
      <c r="AA39" s="184"/>
      <c r="AB39" s="185"/>
      <c r="AC39" s="186"/>
      <c r="AD39" s="187">
        <f t="shared" si="46"/>
        <v>0</v>
      </c>
      <c r="AE39" s="183"/>
      <c r="AF39" s="184"/>
      <c r="AG39" s="185"/>
      <c r="AH39" s="183"/>
      <c r="AI39" s="184"/>
      <c r="AJ39" s="185"/>
      <c r="AK39" s="183"/>
      <c r="AL39" s="184"/>
      <c r="AM39" s="185"/>
      <c r="AN39" s="183"/>
      <c r="AO39" s="184"/>
      <c r="AP39" s="185"/>
      <c r="AQ39" s="186"/>
      <c r="AR39" s="188">
        <f t="shared" si="47"/>
        <v>0</v>
      </c>
      <c r="AS39" s="187">
        <f t="shared" si="48"/>
        <v>0</v>
      </c>
      <c r="AT39" s="183"/>
      <c r="AU39" s="184"/>
      <c r="AV39" s="185"/>
      <c r="AW39" s="183"/>
      <c r="AX39" s="184"/>
      <c r="AY39" s="185"/>
      <c r="AZ39" s="183"/>
      <c r="BA39" s="184"/>
      <c r="BB39" s="185"/>
      <c r="BC39" s="183"/>
      <c r="BD39" s="184"/>
      <c r="BE39" s="185"/>
      <c r="BF39" s="186"/>
      <c r="BG39" s="188">
        <f t="shared" si="49"/>
        <v>0</v>
      </c>
      <c r="BH39" s="187">
        <f t="shared" si="50"/>
        <v>0</v>
      </c>
      <c r="BI39" s="183"/>
      <c r="BJ39" s="184"/>
      <c r="BK39" s="185"/>
      <c r="BL39" s="183"/>
      <c r="BM39" s="184"/>
      <c r="BN39" s="185"/>
      <c r="BO39" s="183"/>
      <c r="BP39" s="184"/>
      <c r="BQ39" s="185"/>
      <c r="BR39" s="183"/>
      <c r="BS39" s="184"/>
      <c r="BT39" s="185"/>
      <c r="BU39" s="186"/>
      <c r="BV39" s="188">
        <f t="shared" si="51"/>
        <v>0</v>
      </c>
      <c r="BW39" s="187">
        <f t="shared" si="52"/>
        <v>0</v>
      </c>
      <c r="BX39" s="183"/>
      <c r="BY39" s="184"/>
      <c r="BZ39" s="185"/>
      <c r="CA39" s="183"/>
      <c r="CB39" s="184"/>
      <c r="CC39" s="185"/>
      <c r="CD39" s="183"/>
      <c r="CE39" s="184"/>
      <c r="CF39" s="185"/>
      <c r="CG39" s="183"/>
      <c r="CH39" s="184"/>
      <c r="CI39" s="185"/>
      <c r="CJ39" s="186"/>
      <c r="CK39" s="188">
        <f t="shared" si="53"/>
        <v>0</v>
      </c>
      <c r="CL39" s="187">
        <f t="shared" si="54"/>
        <v>0</v>
      </c>
      <c r="CM39" s="183"/>
      <c r="CN39" s="184"/>
      <c r="CO39" s="185"/>
      <c r="CP39" s="183"/>
      <c r="CQ39" s="184"/>
      <c r="CR39" s="185"/>
      <c r="CS39" s="183"/>
      <c r="CT39" s="184"/>
      <c r="CU39" s="185"/>
      <c r="CV39" s="183"/>
      <c r="CW39" s="184"/>
      <c r="CX39" s="185"/>
      <c r="CY39" s="186"/>
      <c r="CZ39" s="188">
        <f t="shared" si="55"/>
        <v>0</v>
      </c>
      <c r="DA39" s="187">
        <f t="shared" si="56"/>
        <v>0</v>
      </c>
      <c r="DB39" s="183"/>
      <c r="DC39" s="184"/>
      <c r="DD39" s="185"/>
      <c r="DE39" s="183"/>
      <c r="DF39" s="184"/>
      <c r="DG39" s="185"/>
      <c r="DH39" s="183"/>
      <c r="DI39" s="184"/>
      <c r="DJ39" s="185"/>
      <c r="DK39" s="183"/>
      <c r="DL39" s="184"/>
      <c r="DM39" s="185"/>
      <c r="DN39" s="186"/>
      <c r="DO39" s="188">
        <f t="shared" si="57"/>
        <v>0</v>
      </c>
      <c r="DP39" s="187">
        <f t="shared" si="58"/>
        <v>0</v>
      </c>
      <c r="DQ39" s="183"/>
      <c r="DR39" s="184"/>
      <c r="DS39" s="185"/>
      <c r="DT39" s="183"/>
      <c r="DU39" s="184"/>
      <c r="DV39" s="185"/>
      <c r="DW39" s="183"/>
      <c r="DX39" s="184"/>
      <c r="DY39" s="185"/>
      <c r="DZ39" s="183"/>
      <c r="EA39" s="184"/>
      <c r="EB39" s="185"/>
      <c r="EC39" s="186"/>
      <c r="ED39" s="188">
        <f t="shared" si="59"/>
        <v>0</v>
      </c>
      <c r="EE39" s="187">
        <f t="shared" si="60"/>
        <v>0</v>
      </c>
    </row>
    <row r="40" spans="1:135" ht="15.75" customHeight="1">
      <c r="A40" s="189" t="str">
        <f>IFERROR(VLOOKUP(L40,'Base dados Exercicios'!$C$4:$J$305,3,FALSE),"")</f>
        <v/>
      </c>
      <c r="B40" s="190" t="str">
        <f>IFERROR(VLOOKUP(L40,'Base dados Exercicios'!$C$4:$J$305,4,FALSE),"")</f>
        <v/>
      </c>
      <c r="C40" s="191" t="str">
        <f>IFERROR(VLOOKUP(L40,'Base dados Exercicios'!$C$4:$J$305,5,FALSE),"")</f>
        <v/>
      </c>
      <c r="D40" s="191" t="str">
        <f>IFERROR(VLOOKUP(L40,'Base dados Exercicios'!$C$4:$J$305,6,FALSE),"")</f>
        <v/>
      </c>
      <c r="E40" s="191" t="str">
        <f>IFERROR(VLOOKUP(L40,'Base dados Exercicios'!$C$4:$J$305,7,FALSE),"")</f>
        <v/>
      </c>
      <c r="F40" s="192" t="str">
        <f>IFERROR(VLOOKUP(L40,'Base dados Exercicios'!$C$4:$J$305,8,FALSE),"")</f>
        <v/>
      </c>
      <c r="G40" s="175"/>
      <c r="H40" s="443"/>
      <c r="I40" s="361"/>
      <c r="K40" s="436"/>
      <c r="L40" s="194"/>
      <c r="M40" s="179" t="str">
        <f>IF(L40&lt;&gt;"", HYPERLINK(VLOOKUP(L40,'Base dados Exercicios'!$C$4:$D$83,2,FALSE),"Check"),"")</f>
        <v/>
      </c>
      <c r="N40" s="195"/>
      <c r="O40" s="196"/>
      <c r="P40" s="197"/>
      <c r="Q40" s="183"/>
      <c r="R40" s="184"/>
      <c r="S40" s="185"/>
      <c r="T40" s="183"/>
      <c r="U40" s="184"/>
      <c r="V40" s="185"/>
      <c r="W40" s="183"/>
      <c r="X40" s="184"/>
      <c r="Y40" s="185"/>
      <c r="Z40" s="183"/>
      <c r="AA40" s="184"/>
      <c r="AB40" s="185"/>
      <c r="AC40" s="186"/>
      <c r="AD40" s="187">
        <f t="shared" si="46"/>
        <v>0</v>
      </c>
      <c r="AE40" s="183"/>
      <c r="AF40" s="184"/>
      <c r="AG40" s="185"/>
      <c r="AH40" s="183"/>
      <c r="AI40" s="184"/>
      <c r="AJ40" s="185"/>
      <c r="AK40" s="183"/>
      <c r="AL40" s="184"/>
      <c r="AM40" s="185"/>
      <c r="AN40" s="183"/>
      <c r="AO40" s="184"/>
      <c r="AP40" s="185"/>
      <c r="AQ40" s="186"/>
      <c r="AR40" s="188">
        <f t="shared" si="47"/>
        <v>0</v>
      </c>
      <c r="AS40" s="187">
        <f t="shared" si="48"/>
        <v>0</v>
      </c>
      <c r="AT40" s="183"/>
      <c r="AU40" s="184"/>
      <c r="AV40" s="185"/>
      <c r="AW40" s="183"/>
      <c r="AX40" s="184"/>
      <c r="AY40" s="185"/>
      <c r="AZ40" s="183"/>
      <c r="BA40" s="184"/>
      <c r="BB40" s="185"/>
      <c r="BC40" s="183"/>
      <c r="BD40" s="184"/>
      <c r="BE40" s="185"/>
      <c r="BF40" s="186"/>
      <c r="BG40" s="188">
        <f t="shared" si="49"/>
        <v>0</v>
      </c>
      <c r="BH40" s="187">
        <f t="shared" si="50"/>
        <v>0</v>
      </c>
      <c r="BI40" s="183"/>
      <c r="BJ40" s="184"/>
      <c r="BK40" s="185"/>
      <c r="BL40" s="183"/>
      <c r="BM40" s="184"/>
      <c r="BN40" s="185"/>
      <c r="BO40" s="183"/>
      <c r="BP40" s="184"/>
      <c r="BQ40" s="185"/>
      <c r="BR40" s="183"/>
      <c r="BS40" s="184"/>
      <c r="BT40" s="185"/>
      <c r="BU40" s="186"/>
      <c r="BV40" s="188">
        <f t="shared" si="51"/>
        <v>0</v>
      </c>
      <c r="BW40" s="187">
        <f t="shared" si="52"/>
        <v>0</v>
      </c>
      <c r="BX40" s="183"/>
      <c r="BY40" s="184"/>
      <c r="BZ40" s="185"/>
      <c r="CA40" s="183"/>
      <c r="CB40" s="184"/>
      <c r="CC40" s="185"/>
      <c r="CD40" s="183"/>
      <c r="CE40" s="184"/>
      <c r="CF40" s="185"/>
      <c r="CG40" s="183"/>
      <c r="CH40" s="184"/>
      <c r="CI40" s="185"/>
      <c r="CJ40" s="186"/>
      <c r="CK40" s="188">
        <f t="shared" si="53"/>
        <v>0</v>
      </c>
      <c r="CL40" s="187">
        <f t="shared" si="54"/>
        <v>0</v>
      </c>
      <c r="CM40" s="183"/>
      <c r="CN40" s="184"/>
      <c r="CO40" s="185"/>
      <c r="CP40" s="183"/>
      <c r="CQ40" s="184"/>
      <c r="CR40" s="185"/>
      <c r="CS40" s="183"/>
      <c r="CT40" s="184"/>
      <c r="CU40" s="185"/>
      <c r="CV40" s="183"/>
      <c r="CW40" s="184"/>
      <c r="CX40" s="185"/>
      <c r="CY40" s="186"/>
      <c r="CZ40" s="188">
        <f t="shared" si="55"/>
        <v>0</v>
      </c>
      <c r="DA40" s="187">
        <f t="shared" si="56"/>
        <v>0</v>
      </c>
      <c r="DB40" s="183"/>
      <c r="DC40" s="184"/>
      <c r="DD40" s="185"/>
      <c r="DE40" s="183"/>
      <c r="DF40" s="184"/>
      <c r="DG40" s="185"/>
      <c r="DH40" s="183"/>
      <c r="DI40" s="184"/>
      <c r="DJ40" s="185"/>
      <c r="DK40" s="183"/>
      <c r="DL40" s="184"/>
      <c r="DM40" s="185"/>
      <c r="DN40" s="186"/>
      <c r="DO40" s="188">
        <f t="shared" si="57"/>
        <v>0</v>
      </c>
      <c r="DP40" s="187">
        <f t="shared" si="58"/>
        <v>0</v>
      </c>
      <c r="DQ40" s="183"/>
      <c r="DR40" s="184"/>
      <c r="DS40" s="185"/>
      <c r="DT40" s="183"/>
      <c r="DU40" s="184"/>
      <c r="DV40" s="185"/>
      <c r="DW40" s="183"/>
      <c r="DX40" s="184"/>
      <c r="DY40" s="185"/>
      <c r="DZ40" s="183"/>
      <c r="EA40" s="184"/>
      <c r="EB40" s="185"/>
      <c r="EC40" s="186"/>
      <c r="ED40" s="188">
        <f t="shared" si="59"/>
        <v>0</v>
      </c>
      <c r="EE40" s="187">
        <f t="shared" si="60"/>
        <v>0</v>
      </c>
    </row>
    <row r="41" spans="1:135" ht="15.75" customHeight="1">
      <c r="A41" s="189" t="str">
        <f>IFERROR(VLOOKUP(L41,'Base dados Exercicios'!$C$4:$J$305,3,FALSE),"")</f>
        <v/>
      </c>
      <c r="B41" s="190" t="str">
        <f>IFERROR(VLOOKUP(L41,'Base dados Exercicios'!$C$4:$J$305,4,FALSE),"")</f>
        <v/>
      </c>
      <c r="C41" s="191" t="str">
        <f>IFERROR(VLOOKUP(L41,'Base dados Exercicios'!$C$4:$J$305,5,FALSE),"")</f>
        <v/>
      </c>
      <c r="D41" s="191" t="str">
        <f>IFERROR(VLOOKUP(L41,'Base dados Exercicios'!$C$4:$J$305,6,FALSE),"")</f>
        <v/>
      </c>
      <c r="E41" s="191" t="str">
        <f>IFERROR(VLOOKUP(L41,'Base dados Exercicios'!$C$4:$J$305,7,FALSE),"")</f>
        <v/>
      </c>
      <c r="F41" s="192" t="str">
        <f>IFERROR(VLOOKUP(L41,'Base dados Exercicios'!$C$4:$J$305,8,FALSE),"")</f>
        <v/>
      </c>
      <c r="G41" s="175"/>
      <c r="H41" s="444" t="s">
        <v>172</v>
      </c>
      <c r="I41" s="372"/>
      <c r="K41" s="436"/>
      <c r="L41" s="194"/>
      <c r="M41" s="179" t="str">
        <f>IF(L41&lt;&gt;"", HYPERLINK(VLOOKUP(L41,'Base dados Exercicios'!$C$4:$D$83,2,FALSE),"Check"),"")</f>
        <v/>
      </c>
      <c r="N41" s="195"/>
      <c r="O41" s="196"/>
      <c r="P41" s="197"/>
      <c r="Q41" s="183"/>
      <c r="R41" s="184"/>
      <c r="S41" s="185"/>
      <c r="T41" s="183"/>
      <c r="U41" s="184"/>
      <c r="V41" s="185"/>
      <c r="W41" s="183"/>
      <c r="X41" s="184"/>
      <c r="Y41" s="185"/>
      <c r="Z41" s="183"/>
      <c r="AA41" s="184"/>
      <c r="AB41" s="185"/>
      <c r="AC41" s="186"/>
      <c r="AD41" s="187">
        <f t="shared" si="46"/>
        <v>0</v>
      </c>
      <c r="AE41" s="183"/>
      <c r="AF41" s="184"/>
      <c r="AG41" s="185"/>
      <c r="AH41" s="183"/>
      <c r="AI41" s="184"/>
      <c r="AJ41" s="185"/>
      <c r="AK41" s="183"/>
      <c r="AL41" s="184"/>
      <c r="AM41" s="185"/>
      <c r="AN41" s="183"/>
      <c r="AO41" s="184"/>
      <c r="AP41" s="185"/>
      <c r="AQ41" s="186"/>
      <c r="AR41" s="188">
        <f t="shared" si="47"/>
        <v>0</v>
      </c>
      <c r="AS41" s="187">
        <f t="shared" si="48"/>
        <v>0</v>
      </c>
      <c r="AT41" s="183"/>
      <c r="AU41" s="184"/>
      <c r="AV41" s="185"/>
      <c r="AW41" s="183"/>
      <c r="AX41" s="184"/>
      <c r="AY41" s="185"/>
      <c r="AZ41" s="183"/>
      <c r="BA41" s="184"/>
      <c r="BB41" s="185"/>
      <c r="BC41" s="183"/>
      <c r="BD41" s="184"/>
      <c r="BE41" s="185"/>
      <c r="BF41" s="186"/>
      <c r="BG41" s="188">
        <f t="shared" si="49"/>
        <v>0</v>
      </c>
      <c r="BH41" s="187">
        <f t="shared" si="50"/>
        <v>0</v>
      </c>
      <c r="BI41" s="183"/>
      <c r="BJ41" s="184"/>
      <c r="BK41" s="185"/>
      <c r="BL41" s="183"/>
      <c r="BM41" s="184"/>
      <c r="BN41" s="185"/>
      <c r="BO41" s="183"/>
      <c r="BP41" s="184"/>
      <c r="BQ41" s="185"/>
      <c r="BR41" s="183"/>
      <c r="BS41" s="184"/>
      <c r="BT41" s="185"/>
      <c r="BU41" s="186"/>
      <c r="BV41" s="188">
        <f t="shared" si="51"/>
        <v>0</v>
      </c>
      <c r="BW41" s="187">
        <f t="shared" si="52"/>
        <v>0</v>
      </c>
      <c r="BX41" s="183"/>
      <c r="BY41" s="184"/>
      <c r="BZ41" s="185"/>
      <c r="CA41" s="183"/>
      <c r="CB41" s="184"/>
      <c r="CC41" s="185"/>
      <c r="CD41" s="183"/>
      <c r="CE41" s="184"/>
      <c r="CF41" s="185"/>
      <c r="CG41" s="183"/>
      <c r="CH41" s="184"/>
      <c r="CI41" s="185"/>
      <c r="CJ41" s="186"/>
      <c r="CK41" s="188">
        <f t="shared" si="53"/>
        <v>0</v>
      </c>
      <c r="CL41" s="187">
        <f t="shared" si="54"/>
        <v>0</v>
      </c>
      <c r="CM41" s="183"/>
      <c r="CN41" s="184"/>
      <c r="CO41" s="185"/>
      <c r="CP41" s="183"/>
      <c r="CQ41" s="184"/>
      <c r="CR41" s="185"/>
      <c r="CS41" s="183"/>
      <c r="CT41" s="184"/>
      <c r="CU41" s="185"/>
      <c r="CV41" s="183"/>
      <c r="CW41" s="184"/>
      <c r="CX41" s="185"/>
      <c r="CY41" s="186"/>
      <c r="CZ41" s="188">
        <f t="shared" si="55"/>
        <v>0</v>
      </c>
      <c r="DA41" s="187">
        <f t="shared" si="56"/>
        <v>0</v>
      </c>
      <c r="DB41" s="183"/>
      <c r="DC41" s="184"/>
      <c r="DD41" s="185"/>
      <c r="DE41" s="183"/>
      <c r="DF41" s="184"/>
      <c r="DG41" s="185"/>
      <c r="DH41" s="183"/>
      <c r="DI41" s="184"/>
      <c r="DJ41" s="185"/>
      <c r="DK41" s="183"/>
      <c r="DL41" s="184"/>
      <c r="DM41" s="185"/>
      <c r="DN41" s="186"/>
      <c r="DO41" s="188">
        <f t="shared" si="57"/>
        <v>0</v>
      </c>
      <c r="DP41" s="187">
        <f t="shared" si="58"/>
        <v>0</v>
      </c>
      <c r="DQ41" s="183"/>
      <c r="DR41" s="184"/>
      <c r="DS41" s="185"/>
      <c r="DT41" s="183"/>
      <c r="DU41" s="184"/>
      <c r="DV41" s="185"/>
      <c r="DW41" s="183"/>
      <c r="DX41" s="184"/>
      <c r="DY41" s="185"/>
      <c r="DZ41" s="183"/>
      <c r="EA41" s="184"/>
      <c r="EB41" s="185"/>
      <c r="EC41" s="186"/>
      <c r="ED41" s="188">
        <f t="shared" si="59"/>
        <v>0</v>
      </c>
      <c r="EE41" s="187">
        <f t="shared" si="60"/>
        <v>0</v>
      </c>
    </row>
    <row r="42" spans="1:135" ht="15.75" customHeight="1">
      <c r="A42" s="189" t="str">
        <f>IFERROR(VLOOKUP(L42,'Base dados Exercicios'!$C$4:$J$305,3,FALSE),"")</f>
        <v/>
      </c>
      <c r="B42" s="190" t="str">
        <f>IFERROR(VLOOKUP(L42,'Base dados Exercicios'!$C$4:$J$305,4,FALSE),"")</f>
        <v/>
      </c>
      <c r="C42" s="191" t="str">
        <f>IFERROR(VLOOKUP(L42,'Base dados Exercicios'!$C$4:$J$305,5,FALSE),"")</f>
        <v/>
      </c>
      <c r="D42" s="191" t="str">
        <f>IFERROR(VLOOKUP(L42,'Base dados Exercicios'!$C$4:$J$305,6,FALSE),"")</f>
        <v/>
      </c>
      <c r="E42" s="191" t="str">
        <f>IFERROR(VLOOKUP(L42,'Base dados Exercicios'!$C$4:$J$305,7,FALSE),"")</f>
        <v/>
      </c>
      <c r="F42" s="192" t="str">
        <f>IFERROR(VLOOKUP(L42,'Base dados Exercicios'!$C$4:$J$305,8,FALSE),"")</f>
        <v/>
      </c>
      <c r="G42" s="175"/>
      <c r="H42" s="442"/>
      <c r="I42" s="372"/>
      <c r="K42" s="436"/>
      <c r="L42" s="194"/>
      <c r="M42" s="179" t="str">
        <f>IF(L42&lt;&gt;"", HYPERLINK(VLOOKUP(L42,'Base dados Exercicios'!$C$4:$D$83,2,FALSE),"Check"),"")</f>
        <v/>
      </c>
      <c r="N42" s="195"/>
      <c r="O42" s="196"/>
      <c r="P42" s="197"/>
      <c r="Q42" s="183"/>
      <c r="R42" s="184"/>
      <c r="S42" s="185"/>
      <c r="T42" s="183"/>
      <c r="U42" s="184"/>
      <c r="V42" s="185"/>
      <c r="W42" s="183"/>
      <c r="X42" s="184"/>
      <c r="Y42" s="185"/>
      <c r="Z42" s="183"/>
      <c r="AA42" s="184"/>
      <c r="AB42" s="185"/>
      <c r="AC42" s="186"/>
      <c r="AD42" s="187">
        <f t="shared" si="46"/>
        <v>0</v>
      </c>
      <c r="AE42" s="183"/>
      <c r="AF42" s="184"/>
      <c r="AG42" s="185"/>
      <c r="AH42" s="183"/>
      <c r="AI42" s="184"/>
      <c r="AJ42" s="185"/>
      <c r="AK42" s="183"/>
      <c r="AL42" s="184"/>
      <c r="AM42" s="185"/>
      <c r="AN42" s="183"/>
      <c r="AO42" s="184"/>
      <c r="AP42" s="185"/>
      <c r="AQ42" s="186"/>
      <c r="AR42" s="188">
        <f t="shared" si="47"/>
        <v>0</v>
      </c>
      <c r="AS42" s="187">
        <f t="shared" si="48"/>
        <v>0</v>
      </c>
      <c r="AT42" s="183"/>
      <c r="AU42" s="184"/>
      <c r="AV42" s="185"/>
      <c r="AW42" s="183"/>
      <c r="AX42" s="184"/>
      <c r="AY42" s="185"/>
      <c r="AZ42" s="183"/>
      <c r="BA42" s="184"/>
      <c r="BB42" s="185"/>
      <c r="BC42" s="183"/>
      <c r="BD42" s="184"/>
      <c r="BE42" s="185"/>
      <c r="BF42" s="186"/>
      <c r="BG42" s="188">
        <f t="shared" si="49"/>
        <v>0</v>
      </c>
      <c r="BH42" s="187">
        <f t="shared" si="50"/>
        <v>0</v>
      </c>
      <c r="BI42" s="183"/>
      <c r="BJ42" s="184"/>
      <c r="BK42" s="185"/>
      <c r="BL42" s="183"/>
      <c r="BM42" s="184"/>
      <c r="BN42" s="185"/>
      <c r="BO42" s="183"/>
      <c r="BP42" s="184"/>
      <c r="BQ42" s="185"/>
      <c r="BR42" s="183"/>
      <c r="BS42" s="184"/>
      <c r="BT42" s="185"/>
      <c r="BU42" s="186"/>
      <c r="BV42" s="188">
        <f t="shared" si="51"/>
        <v>0</v>
      </c>
      <c r="BW42" s="187">
        <f t="shared" si="52"/>
        <v>0</v>
      </c>
      <c r="BX42" s="183"/>
      <c r="BY42" s="184"/>
      <c r="BZ42" s="185"/>
      <c r="CA42" s="183"/>
      <c r="CB42" s="184"/>
      <c r="CC42" s="185"/>
      <c r="CD42" s="183"/>
      <c r="CE42" s="184"/>
      <c r="CF42" s="185"/>
      <c r="CG42" s="183"/>
      <c r="CH42" s="184"/>
      <c r="CI42" s="185"/>
      <c r="CJ42" s="186"/>
      <c r="CK42" s="188">
        <f t="shared" si="53"/>
        <v>0</v>
      </c>
      <c r="CL42" s="187">
        <f t="shared" si="54"/>
        <v>0</v>
      </c>
      <c r="CM42" s="183"/>
      <c r="CN42" s="184"/>
      <c r="CO42" s="185"/>
      <c r="CP42" s="183"/>
      <c r="CQ42" s="184"/>
      <c r="CR42" s="185"/>
      <c r="CS42" s="183"/>
      <c r="CT42" s="184"/>
      <c r="CU42" s="185"/>
      <c r="CV42" s="183"/>
      <c r="CW42" s="184"/>
      <c r="CX42" s="185"/>
      <c r="CY42" s="186"/>
      <c r="CZ42" s="188">
        <f t="shared" si="55"/>
        <v>0</v>
      </c>
      <c r="DA42" s="187">
        <f t="shared" si="56"/>
        <v>0</v>
      </c>
      <c r="DB42" s="183"/>
      <c r="DC42" s="184"/>
      <c r="DD42" s="185"/>
      <c r="DE42" s="183"/>
      <c r="DF42" s="184"/>
      <c r="DG42" s="185"/>
      <c r="DH42" s="183"/>
      <c r="DI42" s="184"/>
      <c r="DJ42" s="185"/>
      <c r="DK42" s="183"/>
      <c r="DL42" s="184"/>
      <c r="DM42" s="185"/>
      <c r="DN42" s="186"/>
      <c r="DO42" s="188">
        <f t="shared" si="57"/>
        <v>0</v>
      </c>
      <c r="DP42" s="187">
        <f t="shared" si="58"/>
        <v>0</v>
      </c>
      <c r="DQ42" s="183"/>
      <c r="DR42" s="184"/>
      <c r="DS42" s="185"/>
      <c r="DT42" s="183"/>
      <c r="DU42" s="184"/>
      <c r="DV42" s="185"/>
      <c r="DW42" s="183"/>
      <c r="DX42" s="184"/>
      <c r="DY42" s="185"/>
      <c r="DZ42" s="183"/>
      <c r="EA42" s="184"/>
      <c r="EB42" s="185"/>
      <c r="EC42" s="186"/>
      <c r="ED42" s="188">
        <f t="shared" si="59"/>
        <v>0</v>
      </c>
      <c r="EE42" s="187">
        <f t="shared" si="60"/>
        <v>0</v>
      </c>
    </row>
    <row r="43" spans="1:135" ht="15.75" customHeight="1">
      <c r="A43" s="198" t="str">
        <f>IFERROR(VLOOKUP(L43,'Base dados Exercicios'!$C$4:$J$305,3,FALSE),"")</f>
        <v/>
      </c>
      <c r="B43" s="199" t="str">
        <f>IFERROR(VLOOKUP(L43,'Base dados Exercicios'!$C$4:$J$305,4,FALSE),"")</f>
        <v/>
      </c>
      <c r="C43" s="200" t="str">
        <f>IFERROR(VLOOKUP(L43,'Base dados Exercicios'!$C$4:$J$305,5,FALSE),"")</f>
        <v/>
      </c>
      <c r="D43" s="200" t="str">
        <f>IFERROR(VLOOKUP(L43,'Base dados Exercicios'!$C$4:$J$305,6,FALSE),"")</f>
        <v/>
      </c>
      <c r="E43" s="200" t="str">
        <f>IFERROR(VLOOKUP(L43,'Base dados Exercicios'!$C$4:$J$305,7,FALSE),"")</f>
        <v/>
      </c>
      <c r="F43" s="201" t="str">
        <f>IFERROR(VLOOKUP(L43,'Base dados Exercicios'!$C$4:$J$305,8,FALSE),"")</f>
        <v/>
      </c>
      <c r="G43" s="175"/>
      <c r="H43" s="442"/>
      <c r="I43" s="372"/>
      <c r="K43" s="437"/>
      <c r="L43" s="194"/>
      <c r="M43" s="179" t="str">
        <f>IF(L43&lt;&gt;"", HYPERLINK(VLOOKUP(L43,'Base dados Exercicios'!$C$4:$D$83,2,FALSE),"Check"),"")</f>
        <v/>
      </c>
      <c r="N43" s="202"/>
      <c r="O43" s="203"/>
      <c r="P43" s="204"/>
      <c r="Q43" s="214" t="s">
        <v>154</v>
      </c>
      <c r="R43" s="206"/>
      <c r="S43" s="206"/>
      <c r="T43" s="206"/>
      <c r="U43" s="206"/>
      <c r="V43" s="206"/>
      <c r="W43" s="206"/>
      <c r="X43" s="206"/>
      <c r="Y43" s="206"/>
      <c r="Z43" s="206"/>
      <c r="AA43" s="206"/>
      <c r="AB43" s="206"/>
      <c r="AC43" s="206"/>
      <c r="AD43" s="207"/>
      <c r="AE43" s="214" t="s">
        <v>154</v>
      </c>
      <c r="AF43" s="206"/>
      <c r="AG43" s="206"/>
      <c r="AH43" s="206"/>
      <c r="AI43" s="206"/>
      <c r="AJ43" s="206"/>
      <c r="AK43" s="206"/>
      <c r="AL43" s="206"/>
      <c r="AM43" s="206"/>
      <c r="AN43" s="206"/>
      <c r="AO43" s="206"/>
      <c r="AP43" s="206"/>
      <c r="AQ43" s="206"/>
      <c r="AR43" s="206"/>
      <c r="AS43" s="207"/>
      <c r="AT43" s="214" t="s">
        <v>154</v>
      </c>
      <c r="AU43" s="206"/>
      <c r="AV43" s="206"/>
      <c r="AW43" s="206"/>
      <c r="AX43" s="206"/>
      <c r="AY43" s="206"/>
      <c r="AZ43" s="206"/>
      <c r="BA43" s="206"/>
      <c r="BB43" s="206"/>
      <c r="BC43" s="206"/>
      <c r="BD43" s="206"/>
      <c r="BE43" s="206"/>
      <c r="BF43" s="206"/>
      <c r="BG43" s="206"/>
      <c r="BH43" s="207"/>
      <c r="BI43" s="214" t="s">
        <v>154</v>
      </c>
      <c r="BJ43" s="206"/>
      <c r="BK43" s="206"/>
      <c r="BL43" s="206"/>
      <c r="BM43" s="206"/>
      <c r="BN43" s="206"/>
      <c r="BO43" s="206"/>
      <c r="BP43" s="206"/>
      <c r="BQ43" s="206"/>
      <c r="BR43" s="206"/>
      <c r="BS43" s="206"/>
      <c r="BT43" s="206"/>
      <c r="BU43" s="206"/>
      <c r="BV43" s="206"/>
      <c r="BW43" s="207"/>
      <c r="BX43" s="214" t="s">
        <v>154</v>
      </c>
      <c r="BY43" s="206"/>
      <c r="BZ43" s="206"/>
      <c r="CA43" s="206"/>
      <c r="CB43" s="206"/>
      <c r="CC43" s="206"/>
      <c r="CD43" s="206"/>
      <c r="CE43" s="206"/>
      <c r="CF43" s="206"/>
      <c r="CG43" s="206"/>
      <c r="CH43" s="206"/>
      <c r="CI43" s="206"/>
      <c r="CJ43" s="206"/>
      <c r="CK43" s="206"/>
      <c r="CL43" s="207"/>
      <c r="CM43" s="214" t="s">
        <v>154</v>
      </c>
      <c r="CN43" s="206"/>
      <c r="CO43" s="206"/>
      <c r="CP43" s="206"/>
      <c r="CQ43" s="206"/>
      <c r="CR43" s="206"/>
      <c r="CS43" s="206"/>
      <c r="CT43" s="206"/>
      <c r="CU43" s="206"/>
      <c r="CV43" s="206"/>
      <c r="CW43" s="206"/>
      <c r="CX43" s="206"/>
      <c r="CY43" s="206"/>
      <c r="CZ43" s="206"/>
      <c r="DA43" s="207"/>
      <c r="DB43" s="214" t="s">
        <v>154</v>
      </c>
      <c r="DC43" s="206"/>
      <c r="DD43" s="206"/>
      <c r="DE43" s="206"/>
      <c r="DF43" s="206"/>
      <c r="DG43" s="206"/>
      <c r="DH43" s="206"/>
      <c r="DI43" s="206"/>
      <c r="DJ43" s="206"/>
      <c r="DK43" s="206"/>
      <c r="DL43" s="206"/>
      <c r="DM43" s="206"/>
      <c r="DN43" s="206"/>
      <c r="DO43" s="206"/>
      <c r="DP43" s="207"/>
      <c r="DQ43" s="214" t="s">
        <v>154</v>
      </c>
      <c r="DR43" s="206"/>
      <c r="DS43" s="206"/>
      <c r="DT43" s="206"/>
      <c r="DU43" s="206"/>
      <c r="DV43" s="206"/>
      <c r="DW43" s="206"/>
      <c r="DX43" s="206"/>
      <c r="DY43" s="206"/>
      <c r="DZ43" s="206"/>
      <c r="EA43" s="206"/>
      <c r="EB43" s="206"/>
      <c r="EC43" s="206"/>
      <c r="ED43" s="206"/>
      <c r="EE43" s="207"/>
    </row>
    <row r="44" spans="1:135" ht="15.75" customHeight="1">
      <c r="A44" s="171" t="str">
        <f>IFERROR(VLOOKUP(L44,'Base dados Exercicios'!$C$4:$J$305,3,FALSE),"")</f>
        <v/>
      </c>
      <c r="B44" s="172" t="str">
        <f>IFERROR(VLOOKUP(L44,'Base dados Exercicios'!$C$4:$J$305,4,FALSE),"")</f>
        <v/>
      </c>
      <c r="C44" s="173" t="str">
        <f>IFERROR(VLOOKUP(L44,'Base dados Exercicios'!$C$4:$J$305,5,FALSE),"")</f>
        <v/>
      </c>
      <c r="D44" s="173" t="str">
        <f>IFERROR(VLOOKUP(L44,'Base dados Exercicios'!$C$4:$J$305,6,FALSE),"")</f>
        <v/>
      </c>
      <c r="E44" s="173" t="str">
        <f>IFERROR(VLOOKUP(L44,'Base dados Exercicios'!$C$4:$J$305,7,FALSE),"")</f>
        <v/>
      </c>
      <c r="F44" s="174" t="str">
        <f>IFERROR(VLOOKUP(L44,'Base dados Exercicios'!$C$4:$J$305,8,FALSE),"")</f>
        <v/>
      </c>
      <c r="G44" s="175"/>
      <c r="H44" s="442"/>
      <c r="I44" s="372"/>
      <c r="K44" s="435">
        <f>I27</f>
        <v>0</v>
      </c>
      <c r="L44" s="178"/>
      <c r="M44" s="208" t="str">
        <f>IF(L44&lt;&gt;"", HYPERLINK(VLOOKUP(L44,'Base dados Exercicios'!$C$4:$D$83,2,FALSE),"Check"),"")</f>
        <v/>
      </c>
      <c r="N44" s="180"/>
      <c r="O44" s="181"/>
      <c r="P44" s="182"/>
      <c r="Q44" s="183"/>
      <c r="R44" s="184"/>
      <c r="S44" s="185"/>
      <c r="T44" s="183"/>
      <c r="U44" s="184"/>
      <c r="V44" s="185"/>
      <c r="W44" s="183"/>
      <c r="X44" s="184"/>
      <c r="Y44" s="185"/>
      <c r="Z44" s="183"/>
      <c r="AA44" s="184"/>
      <c r="AB44" s="185"/>
      <c r="AC44" s="186"/>
      <c r="AD44" s="187">
        <f t="shared" ref="AD44:AD52" si="61">(R44*S44)+(U44*V44)+(X44*Y44)+(AA44*AB44)</f>
        <v>0</v>
      </c>
      <c r="AE44" s="183"/>
      <c r="AF44" s="184"/>
      <c r="AG44" s="185"/>
      <c r="AH44" s="183"/>
      <c r="AI44" s="184"/>
      <c r="AJ44" s="185"/>
      <c r="AK44" s="183"/>
      <c r="AL44" s="184"/>
      <c r="AM44" s="185"/>
      <c r="AN44" s="183"/>
      <c r="AO44" s="184"/>
      <c r="AP44" s="185"/>
      <c r="AQ44" s="186"/>
      <c r="AR44" s="188">
        <f t="shared" ref="AR44:AR52" si="62">(AF44*AG44)+(AI44*AJ44)+(AL44*AM44)+(AO44*AP44)</f>
        <v>0</v>
      </c>
      <c r="AS44" s="187">
        <f t="shared" ref="AS44:AS52" si="63">AR44-AD44</f>
        <v>0</v>
      </c>
      <c r="AT44" s="183"/>
      <c r="AU44" s="184"/>
      <c r="AV44" s="185"/>
      <c r="AW44" s="183"/>
      <c r="AX44" s="184"/>
      <c r="AY44" s="185"/>
      <c r="AZ44" s="183"/>
      <c r="BA44" s="184"/>
      <c r="BB44" s="185"/>
      <c r="BC44" s="183"/>
      <c r="BD44" s="184"/>
      <c r="BE44" s="185"/>
      <c r="BF44" s="186"/>
      <c r="BG44" s="188">
        <f t="shared" ref="BG44:BG52" si="64">(AU44*AV44)+(AX44*AY44)+(BA44*BB44)+(BD44*BE44)</f>
        <v>0</v>
      </c>
      <c r="BH44" s="187">
        <f t="shared" ref="BH44:BH52" si="65">BG44-AR44</f>
        <v>0</v>
      </c>
      <c r="BI44" s="183"/>
      <c r="BJ44" s="184"/>
      <c r="BK44" s="185"/>
      <c r="BL44" s="183"/>
      <c r="BM44" s="184"/>
      <c r="BN44" s="185"/>
      <c r="BO44" s="183"/>
      <c r="BP44" s="184"/>
      <c r="BQ44" s="185"/>
      <c r="BR44" s="183"/>
      <c r="BS44" s="184"/>
      <c r="BT44" s="185"/>
      <c r="BU44" s="186"/>
      <c r="BV44" s="188">
        <f t="shared" ref="BV44:BV52" si="66">(BJ44*BK44)+(BM44*BN44)+(BP44*BQ44)+(BS44*BT44)</f>
        <v>0</v>
      </c>
      <c r="BW44" s="187">
        <f t="shared" ref="BW44:BW52" si="67">BV44-BG44</f>
        <v>0</v>
      </c>
      <c r="BX44" s="183"/>
      <c r="BY44" s="184"/>
      <c r="BZ44" s="185"/>
      <c r="CA44" s="183"/>
      <c r="CB44" s="184"/>
      <c r="CC44" s="185"/>
      <c r="CD44" s="183"/>
      <c r="CE44" s="184"/>
      <c r="CF44" s="185"/>
      <c r="CG44" s="183"/>
      <c r="CH44" s="184"/>
      <c r="CI44" s="185"/>
      <c r="CJ44" s="186"/>
      <c r="CK44" s="188">
        <f t="shared" ref="CK44:CK52" si="68">(BY44*BZ44)+(CB44*CC44)+(CE44*CF44)+(CH44*CI44)</f>
        <v>0</v>
      </c>
      <c r="CL44" s="187">
        <f t="shared" ref="CL44:CL52" si="69">CK44-BV44</f>
        <v>0</v>
      </c>
      <c r="CM44" s="183"/>
      <c r="CN44" s="184"/>
      <c r="CO44" s="185"/>
      <c r="CP44" s="183"/>
      <c r="CQ44" s="184"/>
      <c r="CR44" s="185"/>
      <c r="CS44" s="183"/>
      <c r="CT44" s="184"/>
      <c r="CU44" s="185"/>
      <c r="CV44" s="183"/>
      <c r="CW44" s="184"/>
      <c r="CX44" s="185"/>
      <c r="CY44" s="186"/>
      <c r="CZ44" s="188">
        <f t="shared" ref="CZ44:CZ52" si="70">(CN44*CO44)+(CQ44*CR44)+(CT44*CU44)+(CW44*CX44)</f>
        <v>0</v>
      </c>
      <c r="DA44" s="187">
        <f t="shared" ref="DA44:DA52" si="71">CZ44-CK44</f>
        <v>0</v>
      </c>
      <c r="DB44" s="183"/>
      <c r="DC44" s="184"/>
      <c r="DD44" s="185"/>
      <c r="DE44" s="183"/>
      <c r="DF44" s="184"/>
      <c r="DG44" s="185"/>
      <c r="DH44" s="183"/>
      <c r="DI44" s="184"/>
      <c r="DJ44" s="185"/>
      <c r="DK44" s="183"/>
      <c r="DL44" s="184"/>
      <c r="DM44" s="185"/>
      <c r="DN44" s="186"/>
      <c r="DO44" s="188">
        <f t="shared" ref="DO44:DO52" si="72">(DC44*DD44)+(DF44*DG44)+(DI44*DJ44)+(DL44*DM44)</f>
        <v>0</v>
      </c>
      <c r="DP44" s="187">
        <f t="shared" ref="DP44:DP52" si="73">DO44-CZ44</f>
        <v>0</v>
      </c>
      <c r="DQ44" s="183"/>
      <c r="DR44" s="184"/>
      <c r="DS44" s="185"/>
      <c r="DT44" s="183"/>
      <c r="DU44" s="184"/>
      <c r="DV44" s="185"/>
      <c r="DW44" s="183"/>
      <c r="DX44" s="184"/>
      <c r="DY44" s="185"/>
      <c r="DZ44" s="183"/>
      <c r="EA44" s="184"/>
      <c r="EB44" s="185"/>
      <c r="EC44" s="186"/>
      <c r="ED44" s="188">
        <f t="shared" ref="ED44:ED52" si="74">(DR44*DS44)+(DU44*DV44)+(DX44*DY44)+(EA44*EB44)</f>
        <v>0</v>
      </c>
      <c r="EE44" s="187">
        <f t="shared" ref="EE44:EE52" si="75">ED44-DO44</f>
        <v>0</v>
      </c>
    </row>
    <row r="45" spans="1:135" ht="15.75" customHeight="1">
      <c r="A45" s="189" t="str">
        <f>IFERROR(VLOOKUP(L45,'Base dados Exercicios'!$C$4:$J$305,3,FALSE),"")</f>
        <v/>
      </c>
      <c r="B45" s="190" t="str">
        <f>IFERROR(VLOOKUP(L45,'Base dados Exercicios'!$C$4:$J$305,4,FALSE),"")</f>
        <v/>
      </c>
      <c r="C45" s="191" t="str">
        <f>IFERROR(VLOOKUP(L45,'Base dados Exercicios'!$C$4:$J$305,5,FALSE),"")</f>
        <v/>
      </c>
      <c r="D45" s="191" t="str">
        <f>IFERROR(VLOOKUP(L45,'Base dados Exercicios'!$C$4:$J$305,6,FALSE),"")</f>
        <v/>
      </c>
      <c r="E45" s="191" t="str">
        <f>IFERROR(VLOOKUP(L45,'Base dados Exercicios'!$C$4:$J$305,7,FALSE),"")</f>
        <v/>
      </c>
      <c r="F45" s="192" t="str">
        <f>IFERROR(VLOOKUP(L45,'Base dados Exercicios'!$C$4:$J$305,8,FALSE),"")</f>
        <v/>
      </c>
      <c r="G45" s="175"/>
      <c r="H45" s="443"/>
      <c r="I45" s="361"/>
      <c r="K45" s="436"/>
      <c r="L45" s="194"/>
      <c r="M45" s="179" t="str">
        <f>IF(L45&lt;&gt;"", HYPERLINK(VLOOKUP(L45,'Base dados Exercicios'!$C$4:$D$83,2,FALSE),"Check"),"")</f>
        <v/>
      </c>
      <c r="N45" s="195"/>
      <c r="O45" s="196"/>
      <c r="P45" s="197"/>
      <c r="Q45" s="183"/>
      <c r="R45" s="184"/>
      <c r="S45" s="185"/>
      <c r="T45" s="183"/>
      <c r="U45" s="184"/>
      <c r="V45" s="185"/>
      <c r="W45" s="183"/>
      <c r="X45" s="184"/>
      <c r="Y45" s="185"/>
      <c r="Z45" s="183"/>
      <c r="AA45" s="184"/>
      <c r="AB45" s="185"/>
      <c r="AC45" s="186"/>
      <c r="AD45" s="187">
        <f t="shared" si="61"/>
        <v>0</v>
      </c>
      <c r="AE45" s="183"/>
      <c r="AF45" s="184"/>
      <c r="AG45" s="185"/>
      <c r="AH45" s="183"/>
      <c r="AI45" s="184"/>
      <c r="AJ45" s="185"/>
      <c r="AK45" s="183"/>
      <c r="AL45" s="184"/>
      <c r="AM45" s="185"/>
      <c r="AN45" s="183"/>
      <c r="AO45" s="184"/>
      <c r="AP45" s="185"/>
      <c r="AQ45" s="186"/>
      <c r="AR45" s="188">
        <f t="shared" si="62"/>
        <v>0</v>
      </c>
      <c r="AS45" s="187">
        <f t="shared" si="63"/>
        <v>0</v>
      </c>
      <c r="AT45" s="183"/>
      <c r="AU45" s="184"/>
      <c r="AV45" s="185"/>
      <c r="AW45" s="183"/>
      <c r="AX45" s="184"/>
      <c r="AY45" s="185"/>
      <c r="AZ45" s="183"/>
      <c r="BA45" s="184"/>
      <c r="BB45" s="185"/>
      <c r="BC45" s="183"/>
      <c r="BD45" s="184"/>
      <c r="BE45" s="185"/>
      <c r="BF45" s="186"/>
      <c r="BG45" s="188">
        <f t="shared" si="64"/>
        <v>0</v>
      </c>
      <c r="BH45" s="187">
        <f t="shared" si="65"/>
        <v>0</v>
      </c>
      <c r="BI45" s="183"/>
      <c r="BJ45" s="184"/>
      <c r="BK45" s="185"/>
      <c r="BL45" s="183"/>
      <c r="BM45" s="184"/>
      <c r="BN45" s="185"/>
      <c r="BO45" s="183"/>
      <c r="BP45" s="184"/>
      <c r="BQ45" s="185"/>
      <c r="BR45" s="183"/>
      <c r="BS45" s="184"/>
      <c r="BT45" s="185"/>
      <c r="BU45" s="186"/>
      <c r="BV45" s="188">
        <f t="shared" si="66"/>
        <v>0</v>
      </c>
      <c r="BW45" s="187">
        <f t="shared" si="67"/>
        <v>0</v>
      </c>
      <c r="BX45" s="183"/>
      <c r="BY45" s="184"/>
      <c r="BZ45" s="185"/>
      <c r="CA45" s="183"/>
      <c r="CB45" s="184"/>
      <c r="CC45" s="185"/>
      <c r="CD45" s="183"/>
      <c r="CE45" s="184"/>
      <c r="CF45" s="185"/>
      <c r="CG45" s="183"/>
      <c r="CH45" s="184"/>
      <c r="CI45" s="185"/>
      <c r="CJ45" s="186"/>
      <c r="CK45" s="188">
        <f t="shared" si="68"/>
        <v>0</v>
      </c>
      <c r="CL45" s="187">
        <f t="shared" si="69"/>
        <v>0</v>
      </c>
      <c r="CM45" s="183"/>
      <c r="CN45" s="184"/>
      <c r="CO45" s="185"/>
      <c r="CP45" s="183"/>
      <c r="CQ45" s="184"/>
      <c r="CR45" s="185"/>
      <c r="CS45" s="183"/>
      <c r="CT45" s="184"/>
      <c r="CU45" s="185"/>
      <c r="CV45" s="183"/>
      <c r="CW45" s="184"/>
      <c r="CX45" s="185"/>
      <c r="CY45" s="186"/>
      <c r="CZ45" s="188">
        <f t="shared" si="70"/>
        <v>0</v>
      </c>
      <c r="DA45" s="187">
        <f t="shared" si="71"/>
        <v>0</v>
      </c>
      <c r="DB45" s="183"/>
      <c r="DC45" s="184"/>
      <c r="DD45" s="185"/>
      <c r="DE45" s="183"/>
      <c r="DF45" s="184"/>
      <c r="DG45" s="185"/>
      <c r="DH45" s="183"/>
      <c r="DI45" s="184"/>
      <c r="DJ45" s="185"/>
      <c r="DK45" s="183"/>
      <c r="DL45" s="184"/>
      <c r="DM45" s="185"/>
      <c r="DN45" s="186"/>
      <c r="DO45" s="188">
        <f t="shared" si="72"/>
        <v>0</v>
      </c>
      <c r="DP45" s="187">
        <f t="shared" si="73"/>
        <v>0</v>
      </c>
      <c r="DQ45" s="183"/>
      <c r="DR45" s="184"/>
      <c r="DS45" s="185"/>
      <c r="DT45" s="183"/>
      <c r="DU45" s="184"/>
      <c r="DV45" s="185"/>
      <c r="DW45" s="183"/>
      <c r="DX45" s="184"/>
      <c r="DY45" s="185"/>
      <c r="DZ45" s="183"/>
      <c r="EA45" s="184"/>
      <c r="EB45" s="185"/>
      <c r="EC45" s="186"/>
      <c r="ED45" s="188">
        <f t="shared" si="74"/>
        <v>0</v>
      </c>
      <c r="EE45" s="187">
        <f t="shared" si="75"/>
        <v>0</v>
      </c>
    </row>
    <row r="46" spans="1:135" ht="15.75" customHeight="1">
      <c r="A46" s="189" t="str">
        <f>IFERROR(VLOOKUP(L46,'Base dados Exercicios'!$C$4:$J$305,3,FALSE),"")</f>
        <v/>
      </c>
      <c r="B46" s="190" t="str">
        <f>IFERROR(VLOOKUP(L46,'Base dados Exercicios'!$C$4:$J$305,4,FALSE),"")</f>
        <v/>
      </c>
      <c r="C46" s="191" t="str">
        <f>IFERROR(VLOOKUP(L46,'Base dados Exercicios'!$C$4:$J$305,5,FALSE),"")</f>
        <v/>
      </c>
      <c r="D46" s="191" t="str">
        <f>IFERROR(VLOOKUP(L46,'Base dados Exercicios'!$C$4:$J$305,6,FALSE),"")</f>
        <v/>
      </c>
      <c r="E46" s="191" t="str">
        <f>IFERROR(VLOOKUP(L46,'Base dados Exercicios'!$C$4:$J$305,7,FALSE),"")</f>
        <v/>
      </c>
      <c r="F46" s="192" t="str">
        <f>IFERROR(VLOOKUP(L46,'Base dados Exercicios'!$C$4:$J$305,8,FALSE),"")</f>
        <v/>
      </c>
      <c r="G46" s="175"/>
      <c r="H46" s="444" t="s">
        <v>173</v>
      </c>
      <c r="I46" s="372"/>
      <c r="K46" s="436"/>
      <c r="L46" s="194"/>
      <c r="M46" s="179" t="str">
        <f>IF(L46&lt;&gt;"", HYPERLINK(VLOOKUP(L46,'Base dados Exercicios'!$C$4:$D$83,2,FALSE),"Check"),"")</f>
        <v/>
      </c>
      <c r="N46" s="195"/>
      <c r="O46" s="196"/>
      <c r="P46" s="197"/>
      <c r="Q46" s="183"/>
      <c r="R46" s="184"/>
      <c r="S46" s="185"/>
      <c r="T46" s="183"/>
      <c r="U46" s="184"/>
      <c r="V46" s="185"/>
      <c r="W46" s="183"/>
      <c r="X46" s="184"/>
      <c r="Y46" s="185"/>
      <c r="Z46" s="183"/>
      <c r="AA46" s="184"/>
      <c r="AB46" s="185"/>
      <c r="AC46" s="186"/>
      <c r="AD46" s="187">
        <f t="shared" si="61"/>
        <v>0</v>
      </c>
      <c r="AE46" s="183"/>
      <c r="AF46" s="184"/>
      <c r="AG46" s="185"/>
      <c r="AH46" s="183"/>
      <c r="AI46" s="184"/>
      <c r="AJ46" s="185"/>
      <c r="AK46" s="183"/>
      <c r="AL46" s="184"/>
      <c r="AM46" s="185"/>
      <c r="AN46" s="183"/>
      <c r="AO46" s="184"/>
      <c r="AP46" s="185"/>
      <c r="AQ46" s="186"/>
      <c r="AR46" s="188">
        <f t="shared" si="62"/>
        <v>0</v>
      </c>
      <c r="AS46" s="187">
        <f t="shared" si="63"/>
        <v>0</v>
      </c>
      <c r="AT46" s="183"/>
      <c r="AU46" s="184"/>
      <c r="AV46" s="185"/>
      <c r="AW46" s="183"/>
      <c r="AX46" s="184"/>
      <c r="AY46" s="185"/>
      <c r="AZ46" s="183"/>
      <c r="BA46" s="184"/>
      <c r="BB46" s="185"/>
      <c r="BC46" s="183"/>
      <c r="BD46" s="184"/>
      <c r="BE46" s="185"/>
      <c r="BF46" s="186"/>
      <c r="BG46" s="188">
        <f t="shared" si="64"/>
        <v>0</v>
      </c>
      <c r="BH46" s="187">
        <f t="shared" si="65"/>
        <v>0</v>
      </c>
      <c r="BI46" s="183"/>
      <c r="BJ46" s="184"/>
      <c r="BK46" s="185"/>
      <c r="BL46" s="183"/>
      <c r="BM46" s="184"/>
      <c r="BN46" s="185"/>
      <c r="BO46" s="183"/>
      <c r="BP46" s="184"/>
      <c r="BQ46" s="185"/>
      <c r="BR46" s="183"/>
      <c r="BS46" s="184"/>
      <c r="BT46" s="185"/>
      <c r="BU46" s="186"/>
      <c r="BV46" s="188">
        <f t="shared" si="66"/>
        <v>0</v>
      </c>
      <c r="BW46" s="187">
        <f t="shared" si="67"/>
        <v>0</v>
      </c>
      <c r="BX46" s="183"/>
      <c r="BY46" s="184"/>
      <c r="BZ46" s="185"/>
      <c r="CA46" s="183"/>
      <c r="CB46" s="184"/>
      <c r="CC46" s="185"/>
      <c r="CD46" s="183"/>
      <c r="CE46" s="184"/>
      <c r="CF46" s="185"/>
      <c r="CG46" s="183"/>
      <c r="CH46" s="184"/>
      <c r="CI46" s="185"/>
      <c r="CJ46" s="186"/>
      <c r="CK46" s="188">
        <f t="shared" si="68"/>
        <v>0</v>
      </c>
      <c r="CL46" s="187">
        <f t="shared" si="69"/>
        <v>0</v>
      </c>
      <c r="CM46" s="183"/>
      <c r="CN46" s="184"/>
      <c r="CO46" s="185"/>
      <c r="CP46" s="183"/>
      <c r="CQ46" s="184"/>
      <c r="CR46" s="185"/>
      <c r="CS46" s="183"/>
      <c r="CT46" s="184"/>
      <c r="CU46" s="185"/>
      <c r="CV46" s="183"/>
      <c r="CW46" s="184"/>
      <c r="CX46" s="185"/>
      <c r="CY46" s="186"/>
      <c r="CZ46" s="188">
        <f t="shared" si="70"/>
        <v>0</v>
      </c>
      <c r="DA46" s="187">
        <f t="shared" si="71"/>
        <v>0</v>
      </c>
      <c r="DB46" s="183"/>
      <c r="DC46" s="184"/>
      <c r="DD46" s="185"/>
      <c r="DE46" s="183"/>
      <c r="DF46" s="184"/>
      <c r="DG46" s="185"/>
      <c r="DH46" s="183"/>
      <c r="DI46" s="184"/>
      <c r="DJ46" s="185"/>
      <c r="DK46" s="183"/>
      <c r="DL46" s="184"/>
      <c r="DM46" s="185"/>
      <c r="DN46" s="186"/>
      <c r="DO46" s="188">
        <f t="shared" si="72"/>
        <v>0</v>
      </c>
      <c r="DP46" s="187">
        <f t="shared" si="73"/>
        <v>0</v>
      </c>
      <c r="DQ46" s="183"/>
      <c r="DR46" s="184"/>
      <c r="DS46" s="185"/>
      <c r="DT46" s="183"/>
      <c r="DU46" s="184"/>
      <c r="DV46" s="185"/>
      <c r="DW46" s="183"/>
      <c r="DX46" s="184"/>
      <c r="DY46" s="185"/>
      <c r="DZ46" s="183"/>
      <c r="EA46" s="184"/>
      <c r="EB46" s="185"/>
      <c r="EC46" s="186"/>
      <c r="ED46" s="188">
        <f t="shared" si="74"/>
        <v>0</v>
      </c>
      <c r="EE46" s="187">
        <f t="shared" si="75"/>
        <v>0</v>
      </c>
    </row>
    <row r="47" spans="1:135" ht="15.75" customHeight="1">
      <c r="A47" s="189" t="str">
        <f>IFERROR(VLOOKUP(L47,'Base dados Exercicios'!$C$4:$J$305,3,FALSE),"")</f>
        <v/>
      </c>
      <c r="B47" s="190" t="str">
        <f>IFERROR(VLOOKUP(L47,'Base dados Exercicios'!$C$4:$J$305,4,FALSE),"")</f>
        <v/>
      </c>
      <c r="C47" s="191" t="str">
        <f>IFERROR(VLOOKUP(L47,'Base dados Exercicios'!$C$4:$J$305,5,FALSE),"")</f>
        <v/>
      </c>
      <c r="D47" s="191" t="str">
        <f>IFERROR(VLOOKUP(L47,'Base dados Exercicios'!$C$4:$J$305,6,FALSE),"")</f>
        <v/>
      </c>
      <c r="E47" s="191" t="str">
        <f>IFERROR(VLOOKUP(L47,'Base dados Exercicios'!$C$4:$J$305,7,FALSE),"")</f>
        <v/>
      </c>
      <c r="F47" s="192" t="str">
        <f>IFERROR(VLOOKUP(L47,'Base dados Exercicios'!$C$4:$J$305,8,FALSE),"")</f>
        <v/>
      </c>
      <c r="G47" s="175"/>
      <c r="H47" s="443"/>
      <c r="I47" s="361"/>
      <c r="K47" s="436"/>
      <c r="L47" s="194"/>
      <c r="M47" s="179" t="str">
        <f>IF(L47&lt;&gt;"", HYPERLINK(VLOOKUP(L47,'Base dados Exercicios'!$C$4:$D$83,2,FALSE),"Check"),"")</f>
        <v/>
      </c>
      <c r="N47" s="195"/>
      <c r="O47" s="196"/>
      <c r="P47" s="197"/>
      <c r="Q47" s="183"/>
      <c r="R47" s="184"/>
      <c r="S47" s="185"/>
      <c r="T47" s="183"/>
      <c r="U47" s="184"/>
      <c r="V47" s="185"/>
      <c r="W47" s="183"/>
      <c r="X47" s="184"/>
      <c r="Y47" s="185"/>
      <c r="Z47" s="183"/>
      <c r="AA47" s="184"/>
      <c r="AB47" s="185"/>
      <c r="AC47" s="186"/>
      <c r="AD47" s="187">
        <f t="shared" si="61"/>
        <v>0</v>
      </c>
      <c r="AE47" s="183"/>
      <c r="AF47" s="184"/>
      <c r="AG47" s="185"/>
      <c r="AH47" s="183"/>
      <c r="AI47" s="184"/>
      <c r="AJ47" s="185"/>
      <c r="AK47" s="183"/>
      <c r="AL47" s="184"/>
      <c r="AM47" s="185"/>
      <c r="AN47" s="183"/>
      <c r="AO47" s="184"/>
      <c r="AP47" s="185"/>
      <c r="AQ47" s="186"/>
      <c r="AR47" s="188">
        <f t="shared" si="62"/>
        <v>0</v>
      </c>
      <c r="AS47" s="187">
        <f t="shared" si="63"/>
        <v>0</v>
      </c>
      <c r="AT47" s="183"/>
      <c r="AU47" s="184"/>
      <c r="AV47" s="185"/>
      <c r="AW47" s="183"/>
      <c r="AX47" s="184"/>
      <c r="AY47" s="185"/>
      <c r="AZ47" s="183"/>
      <c r="BA47" s="184"/>
      <c r="BB47" s="185"/>
      <c r="BC47" s="183"/>
      <c r="BD47" s="184"/>
      <c r="BE47" s="185"/>
      <c r="BF47" s="186"/>
      <c r="BG47" s="188">
        <f t="shared" si="64"/>
        <v>0</v>
      </c>
      <c r="BH47" s="187">
        <f t="shared" si="65"/>
        <v>0</v>
      </c>
      <c r="BI47" s="183"/>
      <c r="BJ47" s="184"/>
      <c r="BK47" s="185"/>
      <c r="BL47" s="183"/>
      <c r="BM47" s="184"/>
      <c r="BN47" s="185"/>
      <c r="BO47" s="183"/>
      <c r="BP47" s="184"/>
      <c r="BQ47" s="185"/>
      <c r="BR47" s="183"/>
      <c r="BS47" s="184"/>
      <c r="BT47" s="185"/>
      <c r="BU47" s="186"/>
      <c r="BV47" s="188">
        <f t="shared" si="66"/>
        <v>0</v>
      </c>
      <c r="BW47" s="187">
        <f t="shared" si="67"/>
        <v>0</v>
      </c>
      <c r="BX47" s="183"/>
      <c r="BY47" s="184"/>
      <c r="BZ47" s="185"/>
      <c r="CA47" s="183"/>
      <c r="CB47" s="184"/>
      <c r="CC47" s="185"/>
      <c r="CD47" s="183"/>
      <c r="CE47" s="184"/>
      <c r="CF47" s="185"/>
      <c r="CG47" s="183"/>
      <c r="CH47" s="184"/>
      <c r="CI47" s="185"/>
      <c r="CJ47" s="186"/>
      <c r="CK47" s="188">
        <f t="shared" si="68"/>
        <v>0</v>
      </c>
      <c r="CL47" s="187">
        <f t="shared" si="69"/>
        <v>0</v>
      </c>
      <c r="CM47" s="183"/>
      <c r="CN47" s="184"/>
      <c r="CO47" s="185"/>
      <c r="CP47" s="183"/>
      <c r="CQ47" s="184"/>
      <c r="CR47" s="185"/>
      <c r="CS47" s="183"/>
      <c r="CT47" s="184"/>
      <c r="CU47" s="185"/>
      <c r="CV47" s="183"/>
      <c r="CW47" s="184"/>
      <c r="CX47" s="185"/>
      <c r="CY47" s="186"/>
      <c r="CZ47" s="188">
        <f t="shared" si="70"/>
        <v>0</v>
      </c>
      <c r="DA47" s="187">
        <f t="shared" si="71"/>
        <v>0</v>
      </c>
      <c r="DB47" s="183"/>
      <c r="DC47" s="184"/>
      <c r="DD47" s="185"/>
      <c r="DE47" s="183"/>
      <c r="DF47" s="184"/>
      <c r="DG47" s="185"/>
      <c r="DH47" s="183"/>
      <c r="DI47" s="184"/>
      <c r="DJ47" s="185"/>
      <c r="DK47" s="183"/>
      <c r="DL47" s="184"/>
      <c r="DM47" s="185"/>
      <c r="DN47" s="186"/>
      <c r="DO47" s="188">
        <f t="shared" si="72"/>
        <v>0</v>
      </c>
      <c r="DP47" s="187">
        <f t="shared" si="73"/>
        <v>0</v>
      </c>
      <c r="DQ47" s="183"/>
      <c r="DR47" s="184"/>
      <c r="DS47" s="185"/>
      <c r="DT47" s="183"/>
      <c r="DU47" s="184"/>
      <c r="DV47" s="185"/>
      <c r="DW47" s="183"/>
      <c r="DX47" s="184"/>
      <c r="DY47" s="185"/>
      <c r="DZ47" s="183"/>
      <c r="EA47" s="184"/>
      <c r="EB47" s="185"/>
      <c r="EC47" s="186"/>
      <c r="ED47" s="188">
        <f t="shared" si="74"/>
        <v>0</v>
      </c>
      <c r="EE47" s="187">
        <f t="shared" si="75"/>
        <v>0</v>
      </c>
    </row>
    <row r="48" spans="1:135" ht="15.75" customHeight="1">
      <c r="A48" s="189" t="str">
        <f>IFERROR(VLOOKUP(L48,'Base dados Exercicios'!$C$4:$J$305,3,FALSE),"")</f>
        <v/>
      </c>
      <c r="B48" s="190" t="str">
        <f>IFERROR(VLOOKUP(L48,'Base dados Exercicios'!$C$4:$J$305,4,FALSE),"")</f>
        <v/>
      </c>
      <c r="C48" s="191" t="str">
        <f>IFERROR(VLOOKUP(L48,'Base dados Exercicios'!$C$4:$J$305,5,FALSE),"")</f>
        <v/>
      </c>
      <c r="D48" s="191" t="str">
        <f>IFERROR(VLOOKUP(L48,'Base dados Exercicios'!$C$4:$J$305,6,FALSE),"")</f>
        <v/>
      </c>
      <c r="E48" s="191" t="str">
        <f>IFERROR(VLOOKUP(L48,'Base dados Exercicios'!$C$4:$J$305,7,FALSE),"")</f>
        <v/>
      </c>
      <c r="F48" s="192" t="str">
        <f>IFERROR(VLOOKUP(L48,'Base dados Exercicios'!$C$4:$J$305,8,FALSE),"")</f>
        <v/>
      </c>
      <c r="G48" s="175"/>
      <c r="H48" s="444"/>
      <c r="I48" s="372"/>
      <c r="K48" s="436"/>
      <c r="L48" s="194"/>
      <c r="M48" s="179" t="str">
        <f>IF(L48&lt;&gt;"", HYPERLINK(VLOOKUP(L48,'Base dados Exercicios'!$C$4:$D$83,2,FALSE),"Check"),"")</f>
        <v/>
      </c>
      <c r="N48" s="195"/>
      <c r="O48" s="196"/>
      <c r="P48" s="197"/>
      <c r="Q48" s="183"/>
      <c r="R48" s="184"/>
      <c r="S48" s="185"/>
      <c r="T48" s="183"/>
      <c r="U48" s="184"/>
      <c r="V48" s="185"/>
      <c r="W48" s="183"/>
      <c r="X48" s="184"/>
      <c r="Y48" s="185"/>
      <c r="Z48" s="183"/>
      <c r="AA48" s="184"/>
      <c r="AB48" s="185"/>
      <c r="AC48" s="186"/>
      <c r="AD48" s="187">
        <f t="shared" si="61"/>
        <v>0</v>
      </c>
      <c r="AE48" s="183"/>
      <c r="AF48" s="184"/>
      <c r="AG48" s="185"/>
      <c r="AH48" s="183"/>
      <c r="AI48" s="184"/>
      <c r="AJ48" s="185"/>
      <c r="AK48" s="183"/>
      <c r="AL48" s="184"/>
      <c r="AM48" s="185"/>
      <c r="AN48" s="183"/>
      <c r="AO48" s="184"/>
      <c r="AP48" s="185"/>
      <c r="AQ48" s="186"/>
      <c r="AR48" s="188">
        <f t="shared" si="62"/>
        <v>0</v>
      </c>
      <c r="AS48" s="187">
        <f t="shared" si="63"/>
        <v>0</v>
      </c>
      <c r="AT48" s="183"/>
      <c r="AU48" s="184"/>
      <c r="AV48" s="185"/>
      <c r="AW48" s="183"/>
      <c r="AX48" s="184"/>
      <c r="AY48" s="185"/>
      <c r="AZ48" s="183"/>
      <c r="BA48" s="184"/>
      <c r="BB48" s="185"/>
      <c r="BC48" s="183"/>
      <c r="BD48" s="184"/>
      <c r="BE48" s="185"/>
      <c r="BF48" s="186"/>
      <c r="BG48" s="188">
        <f t="shared" si="64"/>
        <v>0</v>
      </c>
      <c r="BH48" s="187">
        <f t="shared" si="65"/>
        <v>0</v>
      </c>
      <c r="BI48" s="183"/>
      <c r="BJ48" s="184"/>
      <c r="BK48" s="185"/>
      <c r="BL48" s="183"/>
      <c r="BM48" s="184"/>
      <c r="BN48" s="185"/>
      <c r="BO48" s="183"/>
      <c r="BP48" s="184"/>
      <c r="BQ48" s="185"/>
      <c r="BR48" s="183"/>
      <c r="BS48" s="184"/>
      <c r="BT48" s="185"/>
      <c r="BU48" s="186"/>
      <c r="BV48" s="188">
        <f t="shared" si="66"/>
        <v>0</v>
      </c>
      <c r="BW48" s="187">
        <f t="shared" si="67"/>
        <v>0</v>
      </c>
      <c r="BX48" s="183"/>
      <c r="BY48" s="184"/>
      <c r="BZ48" s="185"/>
      <c r="CA48" s="183"/>
      <c r="CB48" s="184"/>
      <c r="CC48" s="185"/>
      <c r="CD48" s="183"/>
      <c r="CE48" s="184"/>
      <c r="CF48" s="185"/>
      <c r="CG48" s="183"/>
      <c r="CH48" s="184"/>
      <c r="CI48" s="185"/>
      <c r="CJ48" s="186"/>
      <c r="CK48" s="188">
        <f t="shared" si="68"/>
        <v>0</v>
      </c>
      <c r="CL48" s="187">
        <f t="shared" si="69"/>
        <v>0</v>
      </c>
      <c r="CM48" s="183"/>
      <c r="CN48" s="184"/>
      <c r="CO48" s="185"/>
      <c r="CP48" s="183"/>
      <c r="CQ48" s="184"/>
      <c r="CR48" s="185"/>
      <c r="CS48" s="183"/>
      <c r="CT48" s="184"/>
      <c r="CU48" s="185"/>
      <c r="CV48" s="183"/>
      <c r="CW48" s="184"/>
      <c r="CX48" s="185"/>
      <c r="CY48" s="186"/>
      <c r="CZ48" s="188">
        <f t="shared" si="70"/>
        <v>0</v>
      </c>
      <c r="DA48" s="187">
        <f t="shared" si="71"/>
        <v>0</v>
      </c>
      <c r="DB48" s="183"/>
      <c r="DC48" s="184"/>
      <c r="DD48" s="185"/>
      <c r="DE48" s="183"/>
      <c r="DF48" s="184"/>
      <c r="DG48" s="185"/>
      <c r="DH48" s="183"/>
      <c r="DI48" s="184"/>
      <c r="DJ48" s="185"/>
      <c r="DK48" s="183"/>
      <c r="DL48" s="184"/>
      <c r="DM48" s="185"/>
      <c r="DN48" s="186"/>
      <c r="DO48" s="188">
        <f t="shared" si="72"/>
        <v>0</v>
      </c>
      <c r="DP48" s="187">
        <f t="shared" si="73"/>
        <v>0</v>
      </c>
      <c r="DQ48" s="183"/>
      <c r="DR48" s="184"/>
      <c r="DS48" s="185"/>
      <c r="DT48" s="183"/>
      <c r="DU48" s="184"/>
      <c r="DV48" s="185"/>
      <c r="DW48" s="183"/>
      <c r="DX48" s="184"/>
      <c r="DY48" s="185"/>
      <c r="DZ48" s="183"/>
      <c r="EA48" s="184"/>
      <c r="EB48" s="185"/>
      <c r="EC48" s="186"/>
      <c r="ED48" s="188">
        <f t="shared" si="74"/>
        <v>0</v>
      </c>
      <c r="EE48" s="187">
        <f t="shared" si="75"/>
        <v>0</v>
      </c>
    </row>
    <row r="49" spans="1:135" ht="15.75" customHeight="1">
      <c r="A49" s="189" t="str">
        <f>IFERROR(VLOOKUP(L49,'Base dados Exercicios'!$C$4:$J$305,3,FALSE),"")</f>
        <v/>
      </c>
      <c r="B49" s="190" t="str">
        <f>IFERROR(VLOOKUP(L49,'Base dados Exercicios'!$C$4:$J$305,4,FALSE),"")</f>
        <v/>
      </c>
      <c r="C49" s="191" t="str">
        <f>IFERROR(VLOOKUP(L49,'Base dados Exercicios'!$C$4:$J$305,5,FALSE),"")</f>
        <v/>
      </c>
      <c r="D49" s="191" t="str">
        <f>IFERROR(VLOOKUP(L49,'Base dados Exercicios'!$C$4:$J$305,6,FALSE),"")</f>
        <v/>
      </c>
      <c r="E49" s="191" t="str">
        <f>IFERROR(VLOOKUP(L49,'Base dados Exercicios'!$C$4:$J$305,7,FALSE),"")</f>
        <v/>
      </c>
      <c r="F49" s="192" t="str">
        <f>IFERROR(VLOOKUP(L49,'Base dados Exercicios'!$C$4:$J$305,8,FALSE),"")</f>
        <v/>
      </c>
      <c r="H49" s="398"/>
      <c r="I49" s="356"/>
      <c r="K49" s="436"/>
      <c r="L49" s="194"/>
      <c r="M49" s="179" t="str">
        <f>IF(L49&lt;&gt;"", HYPERLINK(VLOOKUP(L49,'Base dados Exercicios'!$C$4:$D$83,2,FALSE),"Check"),"")</f>
        <v/>
      </c>
      <c r="N49" s="195"/>
      <c r="O49" s="196"/>
      <c r="P49" s="197"/>
      <c r="Q49" s="183"/>
      <c r="R49" s="184"/>
      <c r="S49" s="185"/>
      <c r="T49" s="183"/>
      <c r="U49" s="184"/>
      <c r="V49" s="185"/>
      <c r="W49" s="183"/>
      <c r="X49" s="184"/>
      <c r="Y49" s="185"/>
      <c r="Z49" s="183"/>
      <c r="AA49" s="184"/>
      <c r="AB49" s="185"/>
      <c r="AC49" s="186"/>
      <c r="AD49" s="187">
        <f t="shared" si="61"/>
        <v>0</v>
      </c>
      <c r="AE49" s="183"/>
      <c r="AF49" s="184"/>
      <c r="AG49" s="185"/>
      <c r="AH49" s="183"/>
      <c r="AI49" s="184"/>
      <c r="AJ49" s="185"/>
      <c r="AK49" s="183"/>
      <c r="AL49" s="184"/>
      <c r="AM49" s="185"/>
      <c r="AN49" s="183"/>
      <c r="AO49" s="184"/>
      <c r="AP49" s="185"/>
      <c r="AQ49" s="186"/>
      <c r="AR49" s="188">
        <f t="shared" si="62"/>
        <v>0</v>
      </c>
      <c r="AS49" s="187">
        <f t="shared" si="63"/>
        <v>0</v>
      </c>
      <c r="AT49" s="183"/>
      <c r="AU49" s="184"/>
      <c r="AV49" s="185"/>
      <c r="AW49" s="183"/>
      <c r="AX49" s="184"/>
      <c r="AY49" s="185"/>
      <c r="AZ49" s="183"/>
      <c r="BA49" s="184"/>
      <c r="BB49" s="185"/>
      <c r="BC49" s="183"/>
      <c r="BD49" s="184"/>
      <c r="BE49" s="185"/>
      <c r="BF49" s="186"/>
      <c r="BG49" s="188">
        <f t="shared" si="64"/>
        <v>0</v>
      </c>
      <c r="BH49" s="187">
        <f t="shared" si="65"/>
        <v>0</v>
      </c>
      <c r="BI49" s="183"/>
      <c r="BJ49" s="184"/>
      <c r="BK49" s="185"/>
      <c r="BL49" s="183"/>
      <c r="BM49" s="184"/>
      <c r="BN49" s="185"/>
      <c r="BO49" s="183"/>
      <c r="BP49" s="184"/>
      <c r="BQ49" s="185"/>
      <c r="BR49" s="183"/>
      <c r="BS49" s="184"/>
      <c r="BT49" s="185"/>
      <c r="BU49" s="186"/>
      <c r="BV49" s="188">
        <f t="shared" si="66"/>
        <v>0</v>
      </c>
      <c r="BW49" s="187">
        <f t="shared" si="67"/>
        <v>0</v>
      </c>
      <c r="BX49" s="183"/>
      <c r="BY49" s="184"/>
      <c r="BZ49" s="185"/>
      <c r="CA49" s="183"/>
      <c r="CB49" s="184"/>
      <c r="CC49" s="185"/>
      <c r="CD49" s="183"/>
      <c r="CE49" s="184"/>
      <c r="CF49" s="185"/>
      <c r="CG49" s="183"/>
      <c r="CH49" s="184"/>
      <c r="CI49" s="185"/>
      <c r="CJ49" s="186"/>
      <c r="CK49" s="188">
        <f t="shared" si="68"/>
        <v>0</v>
      </c>
      <c r="CL49" s="187">
        <f t="shared" si="69"/>
        <v>0</v>
      </c>
      <c r="CM49" s="183"/>
      <c r="CN49" s="184"/>
      <c r="CO49" s="185"/>
      <c r="CP49" s="183"/>
      <c r="CQ49" s="184"/>
      <c r="CR49" s="185"/>
      <c r="CS49" s="183"/>
      <c r="CT49" s="184"/>
      <c r="CU49" s="185"/>
      <c r="CV49" s="183"/>
      <c r="CW49" s="184"/>
      <c r="CX49" s="185"/>
      <c r="CY49" s="186"/>
      <c r="CZ49" s="188">
        <f t="shared" si="70"/>
        <v>0</v>
      </c>
      <c r="DA49" s="187">
        <f t="shared" si="71"/>
        <v>0</v>
      </c>
      <c r="DB49" s="183"/>
      <c r="DC49" s="184"/>
      <c r="DD49" s="185"/>
      <c r="DE49" s="183"/>
      <c r="DF49" s="184"/>
      <c r="DG49" s="185"/>
      <c r="DH49" s="183"/>
      <c r="DI49" s="184"/>
      <c r="DJ49" s="185"/>
      <c r="DK49" s="183"/>
      <c r="DL49" s="184"/>
      <c r="DM49" s="185"/>
      <c r="DN49" s="186"/>
      <c r="DO49" s="188">
        <f t="shared" si="72"/>
        <v>0</v>
      </c>
      <c r="DP49" s="187">
        <f t="shared" si="73"/>
        <v>0</v>
      </c>
      <c r="DQ49" s="183"/>
      <c r="DR49" s="184"/>
      <c r="DS49" s="185"/>
      <c r="DT49" s="183"/>
      <c r="DU49" s="184"/>
      <c r="DV49" s="185"/>
      <c r="DW49" s="183"/>
      <c r="DX49" s="184"/>
      <c r="DY49" s="185"/>
      <c r="DZ49" s="183"/>
      <c r="EA49" s="184"/>
      <c r="EB49" s="185"/>
      <c r="EC49" s="186"/>
      <c r="ED49" s="188">
        <f t="shared" si="74"/>
        <v>0</v>
      </c>
      <c r="EE49" s="187">
        <f t="shared" si="75"/>
        <v>0</v>
      </c>
    </row>
    <row r="50" spans="1:135" ht="15.75" customHeight="1">
      <c r="A50" s="189" t="str">
        <f>IFERROR(VLOOKUP(L50,'Base dados Exercicios'!$C$4:$J$305,3,FALSE),"")</f>
        <v/>
      </c>
      <c r="B50" s="190" t="str">
        <f>IFERROR(VLOOKUP(L50,'Base dados Exercicios'!$C$4:$J$305,4,FALSE),"")</f>
        <v/>
      </c>
      <c r="C50" s="191" t="str">
        <f>IFERROR(VLOOKUP(L50,'Base dados Exercicios'!$C$4:$J$305,5,FALSE),"")</f>
        <v/>
      </c>
      <c r="D50" s="191" t="str">
        <f>IFERROR(VLOOKUP(L50,'Base dados Exercicios'!$C$4:$J$305,6,FALSE),"")</f>
        <v/>
      </c>
      <c r="E50" s="191" t="str">
        <f>IFERROR(VLOOKUP(L50,'Base dados Exercicios'!$C$4:$J$305,7,FALSE),"")</f>
        <v/>
      </c>
      <c r="F50" s="192" t="str">
        <f>IFERROR(VLOOKUP(L50,'Base dados Exercicios'!$C$4:$J$305,8,FALSE),"")</f>
        <v/>
      </c>
      <c r="K50" s="436"/>
      <c r="L50" s="194"/>
      <c r="M50" s="179" t="str">
        <f>IF(L50&lt;&gt;"", HYPERLINK(VLOOKUP(L50,'Base dados Exercicios'!$C$4:$D$83,2,FALSE),"Check"),"")</f>
        <v/>
      </c>
      <c r="N50" s="195"/>
      <c r="O50" s="196"/>
      <c r="P50" s="197"/>
      <c r="Q50" s="183"/>
      <c r="R50" s="184"/>
      <c r="S50" s="185"/>
      <c r="T50" s="183"/>
      <c r="U50" s="184"/>
      <c r="V50" s="185"/>
      <c r="W50" s="183"/>
      <c r="X50" s="184"/>
      <c r="Y50" s="185"/>
      <c r="Z50" s="183"/>
      <c r="AA50" s="184"/>
      <c r="AB50" s="185"/>
      <c r="AC50" s="186"/>
      <c r="AD50" s="187">
        <f t="shared" si="61"/>
        <v>0</v>
      </c>
      <c r="AE50" s="183"/>
      <c r="AF50" s="184"/>
      <c r="AG50" s="185"/>
      <c r="AH50" s="183"/>
      <c r="AI50" s="184"/>
      <c r="AJ50" s="185"/>
      <c r="AK50" s="183"/>
      <c r="AL50" s="184"/>
      <c r="AM50" s="185"/>
      <c r="AN50" s="183"/>
      <c r="AO50" s="184"/>
      <c r="AP50" s="185"/>
      <c r="AQ50" s="186"/>
      <c r="AR50" s="188">
        <f t="shared" si="62"/>
        <v>0</v>
      </c>
      <c r="AS50" s="187">
        <f t="shared" si="63"/>
        <v>0</v>
      </c>
      <c r="AT50" s="183"/>
      <c r="AU50" s="184"/>
      <c r="AV50" s="185"/>
      <c r="AW50" s="183"/>
      <c r="AX50" s="184"/>
      <c r="AY50" s="185"/>
      <c r="AZ50" s="183"/>
      <c r="BA50" s="184"/>
      <c r="BB50" s="185"/>
      <c r="BC50" s="183"/>
      <c r="BD50" s="184"/>
      <c r="BE50" s="185"/>
      <c r="BF50" s="186"/>
      <c r="BG50" s="188">
        <f t="shared" si="64"/>
        <v>0</v>
      </c>
      <c r="BH50" s="187">
        <f t="shared" si="65"/>
        <v>0</v>
      </c>
      <c r="BI50" s="183"/>
      <c r="BJ50" s="184"/>
      <c r="BK50" s="185"/>
      <c r="BL50" s="183"/>
      <c r="BM50" s="184"/>
      <c r="BN50" s="185"/>
      <c r="BO50" s="183"/>
      <c r="BP50" s="184"/>
      <c r="BQ50" s="185"/>
      <c r="BR50" s="183"/>
      <c r="BS50" s="184"/>
      <c r="BT50" s="185"/>
      <c r="BU50" s="186"/>
      <c r="BV50" s="188">
        <f t="shared" si="66"/>
        <v>0</v>
      </c>
      <c r="BW50" s="187">
        <f t="shared" si="67"/>
        <v>0</v>
      </c>
      <c r="BX50" s="183"/>
      <c r="BY50" s="184"/>
      <c r="BZ50" s="185"/>
      <c r="CA50" s="183"/>
      <c r="CB50" s="184"/>
      <c r="CC50" s="185"/>
      <c r="CD50" s="183"/>
      <c r="CE50" s="184"/>
      <c r="CF50" s="185"/>
      <c r="CG50" s="183"/>
      <c r="CH50" s="184"/>
      <c r="CI50" s="185"/>
      <c r="CJ50" s="186"/>
      <c r="CK50" s="188">
        <f t="shared" si="68"/>
        <v>0</v>
      </c>
      <c r="CL50" s="187">
        <f t="shared" si="69"/>
        <v>0</v>
      </c>
      <c r="CM50" s="183"/>
      <c r="CN50" s="184"/>
      <c r="CO50" s="185"/>
      <c r="CP50" s="183"/>
      <c r="CQ50" s="184"/>
      <c r="CR50" s="185"/>
      <c r="CS50" s="183"/>
      <c r="CT50" s="184"/>
      <c r="CU50" s="185"/>
      <c r="CV50" s="183"/>
      <c r="CW50" s="184"/>
      <c r="CX50" s="185"/>
      <c r="CY50" s="186"/>
      <c r="CZ50" s="188">
        <f t="shared" si="70"/>
        <v>0</v>
      </c>
      <c r="DA50" s="187">
        <f t="shared" si="71"/>
        <v>0</v>
      </c>
      <c r="DB50" s="183"/>
      <c r="DC50" s="184"/>
      <c r="DD50" s="185"/>
      <c r="DE50" s="183"/>
      <c r="DF50" s="184"/>
      <c r="DG50" s="185"/>
      <c r="DH50" s="183"/>
      <c r="DI50" s="184"/>
      <c r="DJ50" s="185"/>
      <c r="DK50" s="183"/>
      <c r="DL50" s="184"/>
      <c r="DM50" s="185"/>
      <c r="DN50" s="186"/>
      <c r="DO50" s="188">
        <f t="shared" si="72"/>
        <v>0</v>
      </c>
      <c r="DP50" s="187">
        <f t="shared" si="73"/>
        <v>0</v>
      </c>
      <c r="DQ50" s="183"/>
      <c r="DR50" s="184"/>
      <c r="DS50" s="185"/>
      <c r="DT50" s="183"/>
      <c r="DU50" s="184"/>
      <c r="DV50" s="185"/>
      <c r="DW50" s="183"/>
      <c r="DX50" s="184"/>
      <c r="DY50" s="185"/>
      <c r="DZ50" s="183"/>
      <c r="EA50" s="184"/>
      <c r="EB50" s="185"/>
      <c r="EC50" s="186"/>
      <c r="ED50" s="188">
        <f t="shared" si="74"/>
        <v>0</v>
      </c>
      <c r="EE50" s="187">
        <f t="shared" si="75"/>
        <v>0</v>
      </c>
    </row>
    <row r="51" spans="1:135" ht="15.75" customHeight="1">
      <c r="A51" s="189" t="str">
        <f>IFERROR(VLOOKUP(L51,'Base dados Exercicios'!$C$4:$J$305,3,FALSE),"")</f>
        <v/>
      </c>
      <c r="B51" s="190" t="str">
        <f>IFERROR(VLOOKUP(L51,'Base dados Exercicios'!$C$4:$J$305,4,FALSE),"")</f>
        <v/>
      </c>
      <c r="C51" s="191" t="str">
        <f>IFERROR(VLOOKUP(L51,'Base dados Exercicios'!$C$4:$J$305,5,FALSE),"")</f>
        <v/>
      </c>
      <c r="D51" s="191" t="str">
        <f>IFERROR(VLOOKUP(L51,'Base dados Exercicios'!$C$4:$J$305,6,FALSE),"")</f>
        <v/>
      </c>
      <c r="E51" s="191" t="str">
        <f>IFERROR(VLOOKUP(L51,'Base dados Exercicios'!$C$4:$J$305,7,FALSE),"")</f>
        <v/>
      </c>
      <c r="F51" s="192" t="str">
        <f>IFERROR(VLOOKUP(L51,'Base dados Exercicios'!$C$4:$J$305,8,FALSE),"")</f>
        <v/>
      </c>
      <c r="K51" s="436"/>
      <c r="L51" s="194"/>
      <c r="M51" s="179" t="str">
        <f>IF(L51&lt;&gt;"", HYPERLINK(VLOOKUP(L51,'Base dados Exercicios'!$C$4:$D$83,2,FALSE),"Check"),"")</f>
        <v/>
      </c>
      <c r="N51" s="195"/>
      <c r="O51" s="196"/>
      <c r="P51" s="197"/>
      <c r="Q51" s="183"/>
      <c r="R51" s="184"/>
      <c r="S51" s="185"/>
      <c r="T51" s="183"/>
      <c r="U51" s="184"/>
      <c r="V51" s="185"/>
      <c r="W51" s="183"/>
      <c r="X51" s="184"/>
      <c r="Y51" s="185"/>
      <c r="Z51" s="183"/>
      <c r="AA51" s="184"/>
      <c r="AB51" s="185"/>
      <c r="AC51" s="186"/>
      <c r="AD51" s="187">
        <f t="shared" si="61"/>
        <v>0</v>
      </c>
      <c r="AE51" s="183"/>
      <c r="AF51" s="184"/>
      <c r="AG51" s="185"/>
      <c r="AH51" s="183"/>
      <c r="AI51" s="184"/>
      <c r="AJ51" s="185"/>
      <c r="AK51" s="183"/>
      <c r="AL51" s="184"/>
      <c r="AM51" s="185"/>
      <c r="AN51" s="183"/>
      <c r="AO51" s="184"/>
      <c r="AP51" s="185"/>
      <c r="AQ51" s="186"/>
      <c r="AR51" s="188">
        <f t="shared" si="62"/>
        <v>0</v>
      </c>
      <c r="AS51" s="187">
        <f t="shared" si="63"/>
        <v>0</v>
      </c>
      <c r="AT51" s="183"/>
      <c r="AU51" s="184"/>
      <c r="AV51" s="185"/>
      <c r="AW51" s="183"/>
      <c r="AX51" s="184"/>
      <c r="AY51" s="185"/>
      <c r="AZ51" s="183"/>
      <c r="BA51" s="184"/>
      <c r="BB51" s="185"/>
      <c r="BC51" s="183"/>
      <c r="BD51" s="184"/>
      <c r="BE51" s="185"/>
      <c r="BF51" s="186"/>
      <c r="BG51" s="188">
        <f t="shared" si="64"/>
        <v>0</v>
      </c>
      <c r="BH51" s="187">
        <f t="shared" si="65"/>
        <v>0</v>
      </c>
      <c r="BI51" s="183"/>
      <c r="BJ51" s="184"/>
      <c r="BK51" s="185"/>
      <c r="BL51" s="183"/>
      <c r="BM51" s="184"/>
      <c r="BN51" s="185"/>
      <c r="BO51" s="183"/>
      <c r="BP51" s="184"/>
      <c r="BQ51" s="185"/>
      <c r="BR51" s="183"/>
      <c r="BS51" s="184"/>
      <c r="BT51" s="185"/>
      <c r="BU51" s="186"/>
      <c r="BV51" s="188">
        <f t="shared" si="66"/>
        <v>0</v>
      </c>
      <c r="BW51" s="187">
        <f t="shared" si="67"/>
        <v>0</v>
      </c>
      <c r="BX51" s="183"/>
      <c r="BY51" s="184"/>
      <c r="BZ51" s="185"/>
      <c r="CA51" s="183"/>
      <c r="CB51" s="184"/>
      <c r="CC51" s="185"/>
      <c r="CD51" s="183"/>
      <c r="CE51" s="184"/>
      <c r="CF51" s="185"/>
      <c r="CG51" s="183"/>
      <c r="CH51" s="184"/>
      <c r="CI51" s="185"/>
      <c r="CJ51" s="186"/>
      <c r="CK51" s="188">
        <f t="shared" si="68"/>
        <v>0</v>
      </c>
      <c r="CL51" s="187">
        <f t="shared" si="69"/>
        <v>0</v>
      </c>
      <c r="CM51" s="183"/>
      <c r="CN51" s="184"/>
      <c r="CO51" s="185"/>
      <c r="CP51" s="183"/>
      <c r="CQ51" s="184"/>
      <c r="CR51" s="185"/>
      <c r="CS51" s="183"/>
      <c r="CT51" s="184"/>
      <c r="CU51" s="185"/>
      <c r="CV51" s="183"/>
      <c r="CW51" s="184"/>
      <c r="CX51" s="185"/>
      <c r="CY51" s="186"/>
      <c r="CZ51" s="188">
        <f t="shared" si="70"/>
        <v>0</v>
      </c>
      <c r="DA51" s="187">
        <f t="shared" si="71"/>
        <v>0</v>
      </c>
      <c r="DB51" s="183"/>
      <c r="DC51" s="184"/>
      <c r="DD51" s="185"/>
      <c r="DE51" s="183"/>
      <c r="DF51" s="184"/>
      <c r="DG51" s="185"/>
      <c r="DH51" s="183"/>
      <c r="DI51" s="184"/>
      <c r="DJ51" s="185"/>
      <c r="DK51" s="183"/>
      <c r="DL51" s="184"/>
      <c r="DM51" s="185"/>
      <c r="DN51" s="186"/>
      <c r="DO51" s="188">
        <f t="shared" si="72"/>
        <v>0</v>
      </c>
      <c r="DP51" s="187">
        <f t="shared" si="73"/>
        <v>0</v>
      </c>
      <c r="DQ51" s="183"/>
      <c r="DR51" s="184"/>
      <c r="DS51" s="185"/>
      <c r="DT51" s="183"/>
      <c r="DU51" s="184"/>
      <c r="DV51" s="185"/>
      <c r="DW51" s="183"/>
      <c r="DX51" s="184"/>
      <c r="DY51" s="185"/>
      <c r="DZ51" s="183"/>
      <c r="EA51" s="184"/>
      <c r="EB51" s="185"/>
      <c r="EC51" s="186"/>
      <c r="ED51" s="188">
        <f t="shared" si="74"/>
        <v>0</v>
      </c>
      <c r="EE51" s="187">
        <f t="shared" si="75"/>
        <v>0</v>
      </c>
    </row>
    <row r="52" spans="1:135" ht="15.75" customHeight="1">
      <c r="A52" s="189" t="str">
        <f>IFERROR(VLOOKUP(L52,'Base dados Exercicios'!$C$4:$J$305,3,FALSE),"")</f>
        <v/>
      </c>
      <c r="B52" s="190" t="str">
        <f>IFERROR(VLOOKUP(L52,'Base dados Exercicios'!$C$4:$J$305,4,FALSE),"")</f>
        <v/>
      </c>
      <c r="C52" s="191" t="str">
        <f>IFERROR(VLOOKUP(L52,'Base dados Exercicios'!$C$4:$J$305,5,FALSE),"")</f>
        <v/>
      </c>
      <c r="D52" s="191" t="str">
        <f>IFERROR(VLOOKUP(L52,'Base dados Exercicios'!$C$4:$J$305,6,FALSE),"")</f>
        <v/>
      </c>
      <c r="E52" s="191" t="str">
        <f>IFERROR(VLOOKUP(L52,'Base dados Exercicios'!$C$4:$J$305,7,FALSE),"")</f>
        <v/>
      </c>
      <c r="F52" s="192" t="str">
        <f>IFERROR(VLOOKUP(L52,'Base dados Exercicios'!$C$4:$J$305,8,FALSE),"")</f>
        <v/>
      </c>
      <c r="K52" s="436"/>
      <c r="L52" s="194"/>
      <c r="M52" s="179" t="str">
        <f>IF(L52&lt;&gt;"", HYPERLINK(VLOOKUP(L52,'Base dados Exercicios'!$C$4:$D$83,2,FALSE),"Check"),"")</f>
        <v/>
      </c>
      <c r="N52" s="195"/>
      <c r="O52" s="196"/>
      <c r="P52" s="197"/>
      <c r="Q52" s="183"/>
      <c r="R52" s="184"/>
      <c r="S52" s="185"/>
      <c r="T52" s="183"/>
      <c r="U52" s="184"/>
      <c r="V52" s="185"/>
      <c r="W52" s="183"/>
      <c r="X52" s="184"/>
      <c r="Y52" s="185"/>
      <c r="Z52" s="183"/>
      <c r="AA52" s="184"/>
      <c r="AB52" s="185"/>
      <c r="AC52" s="186"/>
      <c r="AD52" s="187">
        <f t="shared" si="61"/>
        <v>0</v>
      </c>
      <c r="AE52" s="183"/>
      <c r="AF52" s="184"/>
      <c r="AG52" s="185"/>
      <c r="AH52" s="183"/>
      <c r="AI52" s="184"/>
      <c r="AJ52" s="185"/>
      <c r="AK52" s="183"/>
      <c r="AL52" s="184"/>
      <c r="AM52" s="185"/>
      <c r="AN52" s="183"/>
      <c r="AO52" s="184"/>
      <c r="AP52" s="185"/>
      <c r="AQ52" s="186"/>
      <c r="AR52" s="188">
        <f t="shared" si="62"/>
        <v>0</v>
      </c>
      <c r="AS52" s="187">
        <f t="shared" si="63"/>
        <v>0</v>
      </c>
      <c r="AT52" s="183"/>
      <c r="AU52" s="184"/>
      <c r="AV52" s="185"/>
      <c r="AW52" s="183"/>
      <c r="AX52" s="184"/>
      <c r="AY52" s="185"/>
      <c r="AZ52" s="183"/>
      <c r="BA52" s="184"/>
      <c r="BB52" s="185"/>
      <c r="BC52" s="183"/>
      <c r="BD52" s="184"/>
      <c r="BE52" s="185"/>
      <c r="BF52" s="186"/>
      <c r="BG52" s="188">
        <f t="shared" si="64"/>
        <v>0</v>
      </c>
      <c r="BH52" s="187">
        <f t="shared" si="65"/>
        <v>0</v>
      </c>
      <c r="BI52" s="183"/>
      <c r="BJ52" s="184"/>
      <c r="BK52" s="185"/>
      <c r="BL52" s="183"/>
      <c r="BM52" s="184"/>
      <c r="BN52" s="185"/>
      <c r="BO52" s="183"/>
      <c r="BP52" s="184"/>
      <c r="BQ52" s="185"/>
      <c r="BR52" s="183"/>
      <c r="BS52" s="184"/>
      <c r="BT52" s="185"/>
      <c r="BU52" s="186"/>
      <c r="BV52" s="188">
        <f t="shared" si="66"/>
        <v>0</v>
      </c>
      <c r="BW52" s="187">
        <f t="shared" si="67"/>
        <v>0</v>
      </c>
      <c r="BX52" s="183"/>
      <c r="BY52" s="184"/>
      <c r="BZ52" s="185"/>
      <c r="CA52" s="183"/>
      <c r="CB52" s="184"/>
      <c r="CC52" s="185"/>
      <c r="CD52" s="183"/>
      <c r="CE52" s="184"/>
      <c r="CF52" s="185"/>
      <c r="CG52" s="183"/>
      <c r="CH52" s="184"/>
      <c r="CI52" s="185"/>
      <c r="CJ52" s="186"/>
      <c r="CK52" s="188">
        <f t="shared" si="68"/>
        <v>0</v>
      </c>
      <c r="CL52" s="187">
        <f t="shared" si="69"/>
        <v>0</v>
      </c>
      <c r="CM52" s="183"/>
      <c r="CN52" s="184"/>
      <c r="CO52" s="185"/>
      <c r="CP52" s="183"/>
      <c r="CQ52" s="184"/>
      <c r="CR52" s="185"/>
      <c r="CS52" s="183"/>
      <c r="CT52" s="184"/>
      <c r="CU52" s="185"/>
      <c r="CV52" s="183"/>
      <c r="CW52" s="184"/>
      <c r="CX52" s="185"/>
      <c r="CY52" s="186"/>
      <c r="CZ52" s="188">
        <f t="shared" si="70"/>
        <v>0</v>
      </c>
      <c r="DA52" s="187">
        <f t="shared" si="71"/>
        <v>0</v>
      </c>
      <c r="DB52" s="183"/>
      <c r="DC52" s="184"/>
      <c r="DD52" s="185"/>
      <c r="DE52" s="183"/>
      <c r="DF52" s="184"/>
      <c r="DG52" s="185"/>
      <c r="DH52" s="183"/>
      <c r="DI52" s="184"/>
      <c r="DJ52" s="185"/>
      <c r="DK52" s="183"/>
      <c r="DL52" s="184"/>
      <c r="DM52" s="185"/>
      <c r="DN52" s="186"/>
      <c r="DO52" s="188">
        <f t="shared" si="72"/>
        <v>0</v>
      </c>
      <c r="DP52" s="187">
        <f t="shared" si="73"/>
        <v>0</v>
      </c>
      <c r="DQ52" s="183"/>
      <c r="DR52" s="184"/>
      <c r="DS52" s="185"/>
      <c r="DT52" s="183"/>
      <c r="DU52" s="184"/>
      <c r="DV52" s="185"/>
      <c r="DW52" s="183"/>
      <c r="DX52" s="184"/>
      <c r="DY52" s="185"/>
      <c r="DZ52" s="183"/>
      <c r="EA52" s="184"/>
      <c r="EB52" s="185"/>
      <c r="EC52" s="186"/>
      <c r="ED52" s="188">
        <f t="shared" si="74"/>
        <v>0</v>
      </c>
      <c r="EE52" s="187">
        <f t="shared" si="75"/>
        <v>0</v>
      </c>
    </row>
    <row r="53" spans="1:135" ht="15.75" customHeight="1">
      <c r="A53" s="198" t="str">
        <f>IFERROR(VLOOKUP(L53,'Base dados Exercicios'!$C$4:$J$305,3,FALSE),"")</f>
        <v/>
      </c>
      <c r="B53" s="199" t="str">
        <f>IFERROR(VLOOKUP(L53,'Base dados Exercicios'!$C$4:$J$305,4,FALSE),"")</f>
        <v/>
      </c>
      <c r="C53" s="200" t="str">
        <f>IFERROR(VLOOKUP(L53,'Base dados Exercicios'!$C$4:$J$305,5,FALSE),"")</f>
        <v/>
      </c>
      <c r="D53" s="200" t="str">
        <f>IFERROR(VLOOKUP(L53,'Base dados Exercicios'!$C$4:$J$305,6,FALSE),"")</f>
        <v/>
      </c>
      <c r="E53" s="200" t="str">
        <f>IFERROR(VLOOKUP(L53,'Base dados Exercicios'!$C$4:$J$305,7,FALSE),"")</f>
        <v/>
      </c>
      <c r="F53" s="201" t="str">
        <f>IFERROR(VLOOKUP(L53,'Base dados Exercicios'!$C$4:$J$305,8,FALSE),"")</f>
        <v/>
      </c>
      <c r="K53" s="437"/>
      <c r="L53" s="194"/>
      <c r="M53" s="179" t="str">
        <f>IF(L53&lt;&gt;"", HYPERLINK(VLOOKUP(L53,'Base dados Exercicios'!$C$4:$D$83,2,FALSE),"Check"),"")</f>
        <v/>
      </c>
      <c r="N53" s="202"/>
      <c r="O53" s="203"/>
      <c r="P53" s="204"/>
      <c r="Q53" s="214" t="s">
        <v>154</v>
      </c>
      <c r="R53" s="206"/>
      <c r="S53" s="206"/>
      <c r="T53" s="206"/>
      <c r="U53" s="206"/>
      <c r="V53" s="206"/>
      <c r="W53" s="206"/>
      <c r="X53" s="206"/>
      <c r="Y53" s="206"/>
      <c r="Z53" s="206"/>
      <c r="AA53" s="206"/>
      <c r="AB53" s="206"/>
      <c r="AC53" s="206"/>
      <c r="AD53" s="207"/>
      <c r="AE53" s="214" t="s">
        <v>154</v>
      </c>
      <c r="AF53" s="206"/>
      <c r="AG53" s="206"/>
      <c r="AH53" s="206"/>
      <c r="AI53" s="206"/>
      <c r="AJ53" s="206"/>
      <c r="AK53" s="206"/>
      <c r="AL53" s="206"/>
      <c r="AM53" s="206"/>
      <c r="AN53" s="206"/>
      <c r="AO53" s="206"/>
      <c r="AP53" s="206"/>
      <c r="AQ53" s="206"/>
      <c r="AR53" s="206"/>
      <c r="AS53" s="207"/>
      <c r="AT53" s="214" t="s">
        <v>154</v>
      </c>
      <c r="AU53" s="206"/>
      <c r="AV53" s="206"/>
      <c r="AW53" s="206"/>
      <c r="AX53" s="206"/>
      <c r="AY53" s="206"/>
      <c r="AZ53" s="206"/>
      <c r="BA53" s="206"/>
      <c r="BB53" s="206"/>
      <c r="BC53" s="206"/>
      <c r="BD53" s="206"/>
      <c r="BE53" s="206"/>
      <c r="BF53" s="206"/>
      <c r="BG53" s="206"/>
      <c r="BH53" s="207"/>
      <c r="BI53" s="214" t="s">
        <v>154</v>
      </c>
      <c r="BJ53" s="206"/>
      <c r="BK53" s="206"/>
      <c r="BL53" s="206"/>
      <c r="BM53" s="206"/>
      <c r="BN53" s="206"/>
      <c r="BO53" s="206"/>
      <c r="BP53" s="206"/>
      <c r="BQ53" s="206"/>
      <c r="BR53" s="206"/>
      <c r="BS53" s="206"/>
      <c r="BT53" s="206"/>
      <c r="BU53" s="206"/>
      <c r="BV53" s="206"/>
      <c r="BW53" s="207"/>
      <c r="BX53" s="214" t="s">
        <v>154</v>
      </c>
      <c r="BY53" s="206"/>
      <c r="BZ53" s="206"/>
      <c r="CA53" s="206"/>
      <c r="CB53" s="206"/>
      <c r="CC53" s="206"/>
      <c r="CD53" s="206"/>
      <c r="CE53" s="206"/>
      <c r="CF53" s="206"/>
      <c r="CG53" s="206"/>
      <c r="CH53" s="206"/>
      <c r="CI53" s="206"/>
      <c r="CJ53" s="206"/>
      <c r="CK53" s="206"/>
      <c r="CL53" s="207"/>
      <c r="CM53" s="214" t="s">
        <v>154</v>
      </c>
      <c r="CN53" s="206"/>
      <c r="CO53" s="206"/>
      <c r="CP53" s="206"/>
      <c r="CQ53" s="206"/>
      <c r="CR53" s="206"/>
      <c r="CS53" s="206"/>
      <c r="CT53" s="206"/>
      <c r="CU53" s="206"/>
      <c r="CV53" s="206"/>
      <c r="CW53" s="206"/>
      <c r="CX53" s="206"/>
      <c r="CY53" s="206"/>
      <c r="CZ53" s="206"/>
      <c r="DA53" s="207"/>
      <c r="DB53" s="214" t="s">
        <v>154</v>
      </c>
      <c r="DC53" s="206"/>
      <c r="DD53" s="206"/>
      <c r="DE53" s="206"/>
      <c r="DF53" s="206"/>
      <c r="DG53" s="206"/>
      <c r="DH53" s="206"/>
      <c r="DI53" s="206"/>
      <c r="DJ53" s="206"/>
      <c r="DK53" s="206"/>
      <c r="DL53" s="206"/>
      <c r="DM53" s="206"/>
      <c r="DN53" s="206"/>
      <c r="DO53" s="206"/>
      <c r="DP53" s="207"/>
      <c r="DQ53" s="214" t="s">
        <v>154</v>
      </c>
      <c r="DR53" s="206"/>
      <c r="DS53" s="206"/>
      <c r="DT53" s="206"/>
      <c r="DU53" s="206"/>
      <c r="DV53" s="206"/>
      <c r="DW53" s="206"/>
      <c r="DX53" s="206"/>
      <c r="DY53" s="206"/>
      <c r="DZ53" s="206"/>
      <c r="EA53" s="206"/>
      <c r="EB53" s="206"/>
      <c r="EC53" s="206"/>
      <c r="ED53" s="206"/>
      <c r="EE53" s="207"/>
    </row>
    <row r="54" spans="1:135" ht="15.75" customHeight="1">
      <c r="A54" s="171" t="str">
        <f>IFERROR(VLOOKUP(L54,'Base dados Exercicios'!$C$4:$J$305,3,FALSE),"")</f>
        <v/>
      </c>
      <c r="B54" s="172" t="str">
        <f>IFERROR(VLOOKUP(L54,'Base dados Exercicios'!$C$4:$J$305,4,FALSE),"")</f>
        <v/>
      </c>
      <c r="C54" s="173" t="str">
        <f>IFERROR(VLOOKUP(L54,'Base dados Exercicios'!$C$4:$J$305,5,FALSE),"")</f>
        <v/>
      </c>
      <c r="D54" s="173" t="str">
        <f>IFERROR(VLOOKUP(L54,'Base dados Exercicios'!$C$4:$J$305,6,FALSE),"")</f>
        <v/>
      </c>
      <c r="E54" s="173" t="str">
        <f>IFERROR(VLOOKUP(L54,'Base dados Exercicios'!$C$4:$J$305,7,FALSE),"")</f>
        <v/>
      </c>
      <c r="F54" s="174" t="str">
        <f>IFERROR(VLOOKUP(L54,'Base dados Exercicios'!$C$4:$J$305,8,FALSE),"")</f>
        <v/>
      </c>
      <c r="K54" s="435">
        <f>I28</f>
        <v>0</v>
      </c>
      <c r="L54" s="178"/>
      <c r="M54" s="208" t="str">
        <f>IF(L54&lt;&gt;"", HYPERLINK(VLOOKUP(L54,'Base dados Exercicios'!$C$4:$D$83,2,FALSE),"Check"),"")</f>
        <v/>
      </c>
      <c r="N54" s="180"/>
      <c r="O54" s="181"/>
      <c r="P54" s="182"/>
      <c r="Q54" s="183"/>
      <c r="R54" s="184"/>
      <c r="S54" s="185"/>
      <c r="T54" s="183"/>
      <c r="U54" s="184"/>
      <c r="V54" s="185"/>
      <c r="W54" s="183"/>
      <c r="X54" s="184"/>
      <c r="Y54" s="185"/>
      <c r="Z54" s="183"/>
      <c r="AA54" s="184"/>
      <c r="AB54" s="185"/>
      <c r="AC54" s="186"/>
      <c r="AD54" s="187">
        <f t="shared" ref="AD54:AD62" si="76">(R54*S54)+(U54*V54)+(X54*Y54)+(AA54*AB54)</f>
        <v>0</v>
      </c>
      <c r="AE54" s="183"/>
      <c r="AF54" s="184"/>
      <c r="AG54" s="185"/>
      <c r="AH54" s="183"/>
      <c r="AI54" s="184"/>
      <c r="AJ54" s="185"/>
      <c r="AK54" s="183"/>
      <c r="AL54" s="184"/>
      <c r="AM54" s="185"/>
      <c r="AN54" s="183"/>
      <c r="AO54" s="184"/>
      <c r="AP54" s="185"/>
      <c r="AQ54" s="186"/>
      <c r="AR54" s="188">
        <f t="shared" ref="AR54:AR62" si="77">(AF54*AG54)+(AI54*AJ54)+(AL54*AM54)+(AO54*AP54)</f>
        <v>0</v>
      </c>
      <c r="AS54" s="187">
        <f t="shared" ref="AS54:AS62" si="78">AR54-AD54</f>
        <v>0</v>
      </c>
      <c r="AT54" s="183"/>
      <c r="AU54" s="184"/>
      <c r="AV54" s="185"/>
      <c r="AW54" s="183"/>
      <c r="AX54" s="184"/>
      <c r="AY54" s="185"/>
      <c r="AZ54" s="183"/>
      <c r="BA54" s="184"/>
      <c r="BB54" s="185"/>
      <c r="BC54" s="183"/>
      <c r="BD54" s="184"/>
      <c r="BE54" s="185"/>
      <c r="BF54" s="186"/>
      <c r="BG54" s="188">
        <f t="shared" ref="BG54:BG62" si="79">(AU54*AV54)+(AX54*AY54)+(BA54*BB54)+(BD54*BE54)</f>
        <v>0</v>
      </c>
      <c r="BH54" s="187">
        <f t="shared" ref="BH54:BH62" si="80">BG54-AR54</f>
        <v>0</v>
      </c>
      <c r="BI54" s="183"/>
      <c r="BJ54" s="184"/>
      <c r="BK54" s="185"/>
      <c r="BL54" s="183"/>
      <c r="BM54" s="184"/>
      <c r="BN54" s="185"/>
      <c r="BO54" s="183"/>
      <c r="BP54" s="184"/>
      <c r="BQ54" s="185"/>
      <c r="BR54" s="183"/>
      <c r="BS54" s="184"/>
      <c r="BT54" s="185"/>
      <c r="BU54" s="186"/>
      <c r="BV54" s="188">
        <f t="shared" ref="BV54:BV62" si="81">(BJ54*BK54)+(BM54*BN54)+(BP54*BQ54)+(BS54*BT54)</f>
        <v>0</v>
      </c>
      <c r="BW54" s="187">
        <f t="shared" ref="BW54:BW62" si="82">BV54-BG54</f>
        <v>0</v>
      </c>
      <c r="BX54" s="183"/>
      <c r="BY54" s="184"/>
      <c r="BZ54" s="185"/>
      <c r="CA54" s="183"/>
      <c r="CB54" s="184"/>
      <c r="CC54" s="185"/>
      <c r="CD54" s="183"/>
      <c r="CE54" s="184"/>
      <c r="CF54" s="185"/>
      <c r="CG54" s="183"/>
      <c r="CH54" s="184"/>
      <c r="CI54" s="185"/>
      <c r="CJ54" s="186"/>
      <c r="CK54" s="188">
        <f t="shared" ref="CK54:CK62" si="83">(BY54*BZ54)+(CB54*CC54)+(CE54*CF54)+(CH54*CI54)</f>
        <v>0</v>
      </c>
      <c r="CL54" s="187">
        <f t="shared" ref="CL54:CL62" si="84">CK54-BV54</f>
        <v>0</v>
      </c>
      <c r="CM54" s="183"/>
      <c r="CN54" s="184"/>
      <c r="CO54" s="185"/>
      <c r="CP54" s="183"/>
      <c r="CQ54" s="184"/>
      <c r="CR54" s="185"/>
      <c r="CS54" s="183"/>
      <c r="CT54" s="184"/>
      <c r="CU54" s="185"/>
      <c r="CV54" s="183"/>
      <c r="CW54" s="184"/>
      <c r="CX54" s="185"/>
      <c r="CY54" s="186"/>
      <c r="CZ54" s="188">
        <f t="shared" ref="CZ54:CZ62" si="85">(CN54*CO54)+(CQ54*CR54)+(CT54*CU54)+(CW54*CX54)</f>
        <v>0</v>
      </c>
      <c r="DA54" s="187">
        <f t="shared" ref="DA54:DA62" si="86">CZ54-CK54</f>
        <v>0</v>
      </c>
      <c r="DB54" s="183"/>
      <c r="DC54" s="184"/>
      <c r="DD54" s="185"/>
      <c r="DE54" s="183"/>
      <c r="DF54" s="184"/>
      <c r="DG54" s="185"/>
      <c r="DH54" s="183"/>
      <c r="DI54" s="184"/>
      <c r="DJ54" s="185"/>
      <c r="DK54" s="183"/>
      <c r="DL54" s="184"/>
      <c r="DM54" s="185"/>
      <c r="DN54" s="186"/>
      <c r="DO54" s="188">
        <f t="shared" ref="DO54:DO62" si="87">(DC54*DD54)+(DF54*DG54)+(DI54*DJ54)+(DL54*DM54)</f>
        <v>0</v>
      </c>
      <c r="DP54" s="187">
        <f t="shared" ref="DP54:DP62" si="88">DO54-CZ54</f>
        <v>0</v>
      </c>
      <c r="DQ54" s="183"/>
      <c r="DR54" s="184"/>
      <c r="DS54" s="185"/>
      <c r="DT54" s="183"/>
      <c r="DU54" s="184"/>
      <c r="DV54" s="185"/>
      <c r="DW54" s="183"/>
      <c r="DX54" s="184"/>
      <c r="DY54" s="185"/>
      <c r="DZ54" s="183"/>
      <c r="EA54" s="184"/>
      <c r="EB54" s="185"/>
      <c r="EC54" s="186"/>
      <c r="ED54" s="188">
        <f t="shared" ref="ED54:ED62" si="89">(DR54*DS54)+(DU54*DV54)+(DX54*DY54)+(EA54*EB54)</f>
        <v>0</v>
      </c>
      <c r="EE54" s="187">
        <f t="shared" ref="EE54:EE62" si="90">ED54-DO54</f>
        <v>0</v>
      </c>
    </row>
    <row r="55" spans="1:135" ht="15.75" customHeight="1">
      <c r="A55" s="189" t="str">
        <f>IFERROR(VLOOKUP(L55,'Base dados Exercicios'!$C$4:$J$305,3,FALSE),"")</f>
        <v/>
      </c>
      <c r="B55" s="190" t="str">
        <f>IFERROR(VLOOKUP(L55,'Base dados Exercicios'!$C$4:$J$305,4,FALSE),"")</f>
        <v/>
      </c>
      <c r="C55" s="191" t="str">
        <f>IFERROR(VLOOKUP(L55,'Base dados Exercicios'!$C$4:$J$305,5,FALSE),"")</f>
        <v/>
      </c>
      <c r="D55" s="191" t="str">
        <f>IFERROR(VLOOKUP(L55,'Base dados Exercicios'!$C$4:$J$305,6,FALSE),"")</f>
        <v/>
      </c>
      <c r="E55" s="191" t="str">
        <f>IFERROR(VLOOKUP(L55,'Base dados Exercicios'!$C$4:$J$305,7,FALSE),"")</f>
        <v/>
      </c>
      <c r="F55" s="192" t="str">
        <f>IFERROR(VLOOKUP(L55,'Base dados Exercicios'!$C$4:$J$305,8,FALSE),"")</f>
        <v/>
      </c>
      <c r="K55" s="436"/>
      <c r="L55" s="194"/>
      <c r="M55" s="179" t="str">
        <f>IF(L55&lt;&gt;"", HYPERLINK(VLOOKUP(L55,'Base dados Exercicios'!$C$4:$D$83,2,FALSE),"Check"),"")</f>
        <v/>
      </c>
      <c r="N55" s="195"/>
      <c r="O55" s="196"/>
      <c r="P55" s="197"/>
      <c r="Q55" s="183"/>
      <c r="R55" s="184"/>
      <c r="S55" s="185"/>
      <c r="T55" s="183"/>
      <c r="U55" s="184"/>
      <c r="V55" s="185"/>
      <c r="W55" s="183"/>
      <c r="X55" s="184"/>
      <c r="Y55" s="185"/>
      <c r="Z55" s="183"/>
      <c r="AA55" s="184"/>
      <c r="AB55" s="185"/>
      <c r="AC55" s="186"/>
      <c r="AD55" s="187">
        <f t="shared" si="76"/>
        <v>0</v>
      </c>
      <c r="AE55" s="183"/>
      <c r="AF55" s="184"/>
      <c r="AG55" s="185"/>
      <c r="AH55" s="183"/>
      <c r="AI55" s="184"/>
      <c r="AJ55" s="185"/>
      <c r="AK55" s="183"/>
      <c r="AL55" s="184"/>
      <c r="AM55" s="185"/>
      <c r="AN55" s="183"/>
      <c r="AO55" s="184"/>
      <c r="AP55" s="185"/>
      <c r="AQ55" s="186"/>
      <c r="AR55" s="188">
        <f t="shared" si="77"/>
        <v>0</v>
      </c>
      <c r="AS55" s="187">
        <f t="shared" si="78"/>
        <v>0</v>
      </c>
      <c r="AT55" s="183"/>
      <c r="AU55" s="184"/>
      <c r="AV55" s="185"/>
      <c r="AW55" s="183"/>
      <c r="AX55" s="184"/>
      <c r="AY55" s="185"/>
      <c r="AZ55" s="183"/>
      <c r="BA55" s="184"/>
      <c r="BB55" s="185"/>
      <c r="BC55" s="183"/>
      <c r="BD55" s="184"/>
      <c r="BE55" s="185"/>
      <c r="BF55" s="186"/>
      <c r="BG55" s="188">
        <f t="shared" si="79"/>
        <v>0</v>
      </c>
      <c r="BH55" s="187">
        <f t="shared" si="80"/>
        <v>0</v>
      </c>
      <c r="BI55" s="183"/>
      <c r="BJ55" s="184"/>
      <c r="BK55" s="185"/>
      <c r="BL55" s="183"/>
      <c r="BM55" s="184"/>
      <c r="BN55" s="185"/>
      <c r="BO55" s="183"/>
      <c r="BP55" s="184"/>
      <c r="BQ55" s="185"/>
      <c r="BR55" s="183"/>
      <c r="BS55" s="184"/>
      <c r="BT55" s="185"/>
      <c r="BU55" s="186"/>
      <c r="BV55" s="188">
        <f t="shared" si="81"/>
        <v>0</v>
      </c>
      <c r="BW55" s="187">
        <f t="shared" si="82"/>
        <v>0</v>
      </c>
      <c r="BX55" s="183"/>
      <c r="BY55" s="184"/>
      <c r="BZ55" s="185"/>
      <c r="CA55" s="183"/>
      <c r="CB55" s="184"/>
      <c r="CC55" s="185"/>
      <c r="CD55" s="183"/>
      <c r="CE55" s="184"/>
      <c r="CF55" s="185"/>
      <c r="CG55" s="183"/>
      <c r="CH55" s="184"/>
      <c r="CI55" s="185"/>
      <c r="CJ55" s="186"/>
      <c r="CK55" s="188">
        <f t="shared" si="83"/>
        <v>0</v>
      </c>
      <c r="CL55" s="187">
        <f t="shared" si="84"/>
        <v>0</v>
      </c>
      <c r="CM55" s="183"/>
      <c r="CN55" s="184"/>
      <c r="CO55" s="185"/>
      <c r="CP55" s="183"/>
      <c r="CQ55" s="184"/>
      <c r="CR55" s="185"/>
      <c r="CS55" s="183"/>
      <c r="CT55" s="184"/>
      <c r="CU55" s="185"/>
      <c r="CV55" s="183"/>
      <c r="CW55" s="184"/>
      <c r="CX55" s="185"/>
      <c r="CY55" s="186"/>
      <c r="CZ55" s="188">
        <f t="shared" si="85"/>
        <v>0</v>
      </c>
      <c r="DA55" s="187">
        <f t="shared" si="86"/>
        <v>0</v>
      </c>
      <c r="DB55" s="183"/>
      <c r="DC55" s="184"/>
      <c r="DD55" s="185"/>
      <c r="DE55" s="183"/>
      <c r="DF55" s="184"/>
      <c r="DG55" s="185"/>
      <c r="DH55" s="183"/>
      <c r="DI55" s="184"/>
      <c r="DJ55" s="185"/>
      <c r="DK55" s="183"/>
      <c r="DL55" s="184"/>
      <c r="DM55" s="185"/>
      <c r="DN55" s="186"/>
      <c r="DO55" s="188">
        <f t="shared" si="87"/>
        <v>0</v>
      </c>
      <c r="DP55" s="187">
        <f t="shared" si="88"/>
        <v>0</v>
      </c>
      <c r="DQ55" s="183"/>
      <c r="DR55" s="184"/>
      <c r="DS55" s="185"/>
      <c r="DT55" s="183"/>
      <c r="DU55" s="184"/>
      <c r="DV55" s="185"/>
      <c r="DW55" s="183"/>
      <c r="DX55" s="184"/>
      <c r="DY55" s="185"/>
      <c r="DZ55" s="183"/>
      <c r="EA55" s="184"/>
      <c r="EB55" s="185"/>
      <c r="EC55" s="186"/>
      <c r="ED55" s="188">
        <f t="shared" si="89"/>
        <v>0</v>
      </c>
      <c r="EE55" s="187">
        <f t="shared" si="90"/>
        <v>0</v>
      </c>
    </row>
    <row r="56" spans="1:135" ht="15.75" customHeight="1">
      <c r="A56" s="189" t="str">
        <f>IFERROR(VLOOKUP(L56,'Base dados Exercicios'!$C$4:$J$305,3,FALSE),"")</f>
        <v/>
      </c>
      <c r="B56" s="190" t="str">
        <f>IFERROR(VLOOKUP(L56,'Base dados Exercicios'!$C$4:$J$305,4,FALSE),"")</f>
        <v/>
      </c>
      <c r="C56" s="191" t="str">
        <f>IFERROR(VLOOKUP(L56,'Base dados Exercicios'!$C$4:$J$305,5,FALSE),"")</f>
        <v/>
      </c>
      <c r="D56" s="191" t="str">
        <f>IFERROR(VLOOKUP(L56,'Base dados Exercicios'!$C$4:$J$305,6,FALSE),"")</f>
        <v/>
      </c>
      <c r="E56" s="191" t="str">
        <f>IFERROR(VLOOKUP(L56,'Base dados Exercicios'!$C$4:$J$305,7,FALSE),"")</f>
        <v/>
      </c>
      <c r="F56" s="192" t="str">
        <f>IFERROR(VLOOKUP(L56,'Base dados Exercicios'!$C$4:$J$305,8,FALSE),"")</f>
        <v/>
      </c>
      <c r="K56" s="436"/>
      <c r="L56" s="194"/>
      <c r="M56" s="179" t="str">
        <f>IF(L56&lt;&gt;"", HYPERLINK(VLOOKUP(L56,'Base dados Exercicios'!$C$4:$D$83,2,FALSE),"Check"),"")</f>
        <v/>
      </c>
      <c r="N56" s="195"/>
      <c r="O56" s="196"/>
      <c r="P56" s="197"/>
      <c r="Q56" s="183"/>
      <c r="R56" s="184"/>
      <c r="S56" s="185"/>
      <c r="T56" s="183"/>
      <c r="U56" s="184"/>
      <c r="V56" s="185"/>
      <c r="W56" s="183"/>
      <c r="X56" s="184"/>
      <c r="Y56" s="185"/>
      <c r="Z56" s="183"/>
      <c r="AA56" s="184"/>
      <c r="AB56" s="185"/>
      <c r="AC56" s="186"/>
      <c r="AD56" s="187">
        <f t="shared" si="76"/>
        <v>0</v>
      </c>
      <c r="AE56" s="183"/>
      <c r="AF56" s="184"/>
      <c r="AG56" s="185"/>
      <c r="AH56" s="183"/>
      <c r="AI56" s="184"/>
      <c r="AJ56" s="185"/>
      <c r="AK56" s="183"/>
      <c r="AL56" s="184"/>
      <c r="AM56" s="185"/>
      <c r="AN56" s="183"/>
      <c r="AO56" s="184"/>
      <c r="AP56" s="185"/>
      <c r="AQ56" s="186"/>
      <c r="AR56" s="188">
        <f t="shared" si="77"/>
        <v>0</v>
      </c>
      <c r="AS56" s="187">
        <f t="shared" si="78"/>
        <v>0</v>
      </c>
      <c r="AT56" s="183"/>
      <c r="AU56" s="184"/>
      <c r="AV56" s="185"/>
      <c r="AW56" s="183"/>
      <c r="AX56" s="184"/>
      <c r="AY56" s="185"/>
      <c r="AZ56" s="183"/>
      <c r="BA56" s="184"/>
      <c r="BB56" s="185"/>
      <c r="BC56" s="183"/>
      <c r="BD56" s="184"/>
      <c r="BE56" s="185"/>
      <c r="BF56" s="186"/>
      <c r="BG56" s="188">
        <f t="shared" si="79"/>
        <v>0</v>
      </c>
      <c r="BH56" s="187">
        <f t="shared" si="80"/>
        <v>0</v>
      </c>
      <c r="BI56" s="183"/>
      <c r="BJ56" s="184"/>
      <c r="BK56" s="185"/>
      <c r="BL56" s="183"/>
      <c r="BM56" s="184"/>
      <c r="BN56" s="185"/>
      <c r="BO56" s="183"/>
      <c r="BP56" s="184"/>
      <c r="BQ56" s="185"/>
      <c r="BR56" s="183"/>
      <c r="BS56" s="184"/>
      <c r="BT56" s="185"/>
      <c r="BU56" s="186"/>
      <c r="BV56" s="188">
        <f t="shared" si="81"/>
        <v>0</v>
      </c>
      <c r="BW56" s="187">
        <f t="shared" si="82"/>
        <v>0</v>
      </c>
      <c r="BX56" s="183"/>
      <c r="BY56" s="184"/>
      <c r="BZ56" s="185"/>
      <c r="CA56" s="183"/>
      <c r="CB56" s="184"/>
      <c r="CC56" s="185"/>
      <c r="CD56" s="183"/>
      <c r="CE56" s="184"/>
      <c r="CF56" s="185"/>
      <c r="CG56" s="183"/>
      <c r="CH56" s="184"/>
      <c r="CI56" s="185"/>
      <c r="CJ56" s="186"/>
      <c r="CK56" s="188">
        <f t="shared" si="83"/>
        <v>0</v>
      </c>
      <c r="CL56" s="187">
        <f t="shared" si="84"/>
        <v>0</v>
      </c>
      <c r="CM56" s="183"/>
      <c r="CN56" s="184"/>
      <c r="CO56" s="185"/>
      <c r="CP56" s="183"/>
      <c r="CQ56" s="184"/>
      <c r="CR56" s="185"/>
      <c r="CS56" s="183"/>
      <c r="CT56" s="184"/>
      <c r="CU56" s="185"/>
      <c r="CV56" s="183"/>
      <c r="CW56" s="184"/>
      <c r="CX56" s="185"/>
      <c r="CY56" s="186"/>
      <c r="CZ56" s="188">
        <f t="shared" si="85"/>
        <v>0</v>
      </c>
      <c r="DA56" s="187">
        <f t="shared" si="86"/>
        <v>0</v>
      </c>
      <c r="DB56" s="183"/>
      <c r="DC56" s="184"/>
      <c r="DD56" s="185"/>
      <c r="DE56" s="183"/>
      <c r="DF56" s="184"/>
      <c r="DG56" s="185"/>
      <c r="DH56" s="183"/>
      <c r="DI56" s="184"/>
      <c r="DJ56" s="185"/>
      <c r="DK56" s="183"/>
      <c r="DL56" s="184"/>
      <c r="DM56" s="185"/>
      <c r="DN56" s="186"/>
      <c r="DO56" s="188">
        <f t="shared" si="87"/>
        <v>0</v>
      </c>
      <c r="DP56" s="187">
        <f t="shared" si="88"/>
        <v>0</v>
      </c>
      <c r="DQ56" s="183"/>
      <c r="DR56" s="184"/>
      <c r="DS56" s="185"/>
      <c r="DT56" s="183"/>
      <c r="DU56" s="184"/>
      <c r="DV56" s="185"/>
      <c r="DW56" s="183"/>
      <c r="DX56" s="184"/>
      <c r="DY56" s="185"/>
      <c r="DZ56" s="183"/>
      <c r="EA56" s="184"/>
      <c r="EB56" s="185"/>
      <c r="EC56" s="186"/>
      <c r="ED56" s="188">
        <f t="shared" si="89"/>
        <v>0</v>
      </c>
      <c r="EE56" s="187">
        <f t="shared" si="90"/>
        <v>0</v>
      </c>
    </row>
    <row r="57" spans="1:135" ht="15.75" customHeight="1">
      <c r="A57" s="189" t="str">
        <f>IFERROR(VLOOKUP(L57,'Base dados Exercicios'!$C$4:$J$305,3,FALSE),"")</f>
        <v/>
      </c>
      <c r="B57" s="190" t="str">
        <f>IFERROR(VLOOKUP(L57,'Base dados Exercicios'!$C$4:$J$305,4,FALSE),"")</f>
        <v/>
      </c>
      <c r="C57" s="191" t="str">
        <f>IFERROR(VLOOKUP(L57,'Base dados Exercicios'!$C$4:$J$305,5,FALSE),"")</f>
        <v/>
      </c>
      <c r="D57" s="191" t="str">
        <f>IFERROR(VLOOKUP(L57,'Base dados Exercicios'!$C$4:$J$305,6,FALSE),"")</f>
        <v/>
      </c>
      <c r="E57" s="191" t="str">
        <f>IFERROR(VLOOKUP(L57,'Base dados Exercicios'!$C$4:$J$305,7,FALSE),"")</f>
        <v/>
      </c>
      <c r="F57" s="192" t="str">
        <f>IFERROR(VLOOKUP(L57,'Base dados Exercicios'!$C$4:$J$305,8,FALSE),"")</f>
        <v/>
      </c>
      <c r="K57" s="436"/>
      <c r="L57" s="194"/>
      <c r="M57" s="179" t="str">
        <f>IF(L57&lt;&gt;"", HYPERLINK(VLOOKUP(L57,'Base dados Exercicios'!$C$4:$D$83,2,FALSE),"Check"),"")</f>
        <v/>
      </c>
      <c r="N57" s="195"/>
      <c r="O57" s="196"/>
      <c r="P57" s="197"/>
      <c r="Q57" s="183"/>
      <c r="R57" s="184"/>
      <c r="S57" s="185"/>
      <c r="T57" s="183"/>
      <c r="U57" s="184"/>
      <c r="V57" s="185"/>
      <c r="W57" s="183"/>
      <c r="X57" s="184"/>
      <c r="Y57" s="185"/>
      <c r="Z57" s="183"/>
      <c r="AA57" s="184"/>
      <c r="AB57" s="185"/>
      <c r="AC57" s="186"/>
      <c r="AD57" s="187">
        <f t="shared" si="76"/>
        <v>0</v>
      </c>
      <c r="AE57" s="183"/>
      <c r="AF57" s="184"/>
      <c r="AG57" s="185"/>
      <c r="AH57" s="183"/>
      <c r="AI57" s="184"/>
      <c r="AJ57" s="185"/>
      <c r="AK57" s="183"/>
      <c r="AL57" s="184"/>
      <c r="AM57" s="185"/>
      <c r="AN57" s="183"/>
      <c r="AO57" s="184"/>
      <c r="AP57" s="185"/>
      <c r="AQ57" s="186"/>
      <c r="AR57" s="188">
        <f t="shared" si="77"/>
        <v>0</v>
      </c>
      <c r="AS57" s="187">
        <f t="shared" si="78"/>
        <v>0</v>
      </c>
      <c r="AT57" s="183"/>
      <c r="AU57" s="184"/>
      <c r="AV57" s="185"/>
      <c r="AW57" s="183"/>
      <c r="AX57" s="184"/>
      <c r="AY57" s="185"/>
      <c r="AZ57" s="183"/>
      <c r="BA57" s="184"/>
      <c r="BB57" s="185"/>
      <c r="BC57" s="183"/>
      <c r="BD57" s="184"/>
      <c r="BE57" s="185"/>
      <c r="BF57" s="186"/>
      <c r="BG57" s="188">
        <f t="shared" si="79"/>
        <v>0</v>
      </c>
      <c r="BH57" s="187">
        <f t="shared" si="80"/>
        <v>0</v>
      </c>
      <c r="BI57" s="183"/>
      <c r="BJ57" s="184"/>
      <c r="BK57" s="185"/>
      <c r="BL57" s="183"/>
      <c r="BM57" s="184"/>
      <c r="BN57" s="185"/>
      <c r="BO57" s="183"/>
      <c r="BP57" s="184"/>
      <c r="BQ57" s="185"/>
      <c r="BR57" s="183"/>
      <c r="BS57" s="184"/>
      <c r="BT57" s="185"/>
      <c r="BU57" s="186"/>
      <c r="BV57" s="188">
        <f t="shared" si="81"/>
        <v>0</v>
      </c>
      <c r="BW57" s="187">
        <f t="shared" si="82"/>
        <v>0</v>
      </c>
      <c r="BX57" s="183"/>
      <c r="BY57" s="184"/>
      <c r="BZ57" s="185"/>
      <c r="CA57" s="183"/>
      <c r="CB57" s="184"/>
      <c r="CC57" s="185"/>
      <c r="CD57" s="183"/>
      <c r="CE57" s="184"/>
      <c r="CF57" s="185"/>
      <c r="CG57" s="183"/>
      <c r="CH57" s="184"/>
      <c r="CI57" s="185"/>
      <c r="CJ57" s="186"/>
      <c r="CK57" s="188">
        <f t="shared" si="83"/>
        <v>0</v>
      </c>
      <c r="CL57" s="187">
        <f t="shared" si="84"/>
        <v>0</v>
      </c>
      <c r="CM57" s="183"/>
      <c r="CN57" s="184"/>
      <c r="CO57" s="185"/>
      <c r="CP57" s="183"/>
      <c r="CQ57" s="184"/>
      <c r="CR57" s="185"/>
      <c r="CS57" s="183"/>
      <c r="CT57" s="184"/>
      <c r="CU57" s="185"/>
      <c r="CV57" s="183"/>
      <c r="CW57" s="184"/>
      <c r="CX57" s="185"/>
      <c r="CY57" s="186"/>
      <c r="CZ57" s="188">
        <f t="shared" si="85"/>
        <v>0</v>
      </c>
      <c r="DA57" s="187">
        <f t="shared" si="86"/>
        <v>0</v>
      </c>
      <c r="DB57" s="183"/>
      <c r="DC57" s="184"/>
      <c r="DD57" s="185"/>
      <c r="DE57" s="183"/>
      <c r="DF57" s="184"/>
      <c r="DG57" s="185"/>
      <c r="DH57" s="183"/>
      <c r="DI57" s="184"/>
      <c r="DJ57" s="185"/>
      <c r="DK57" s="183"/>
      <c r="DL57" s="184"/>
      <c r="DM57" s="185"/>
      <c r="DN57" s="186"/>
      <c r="DO57" s="188">
        <f t="shared" si="87"/>
        <v>0</v>
      </c>
      <c r="DP57" s="187">
        <f t="shared" si="88"/>
        <v>0</v>
      </c>
      <c r="DQ57" s="183"/>
      <c r="DR57" s="184"/>
      <c r="DS57" s="185"/>
      <c r="DT57" s="183"/>
      <c r="DU57" s="184"/>
      <c r="DV57" s="185"/>
      <c r="DW57" s="183"/>
      <c r="DX57" s="184"/>
      <c r="DY57" s="185"/>
      <c r="DZ57" s="183"/>
      <c r="EA57" s="184"/>
      <c r="EB57" s="185"/>
      <c r="EC57" s="186"/>
      <c r="ED57" s="188">
        <f t="shared" si="89"/>
        <v>0</v>
      </c>
      <c r="EE57" s="187">
        <f t="shared" si="90"/>
        <v>0</v>
      </c>
    </row>
    <row r="58" spans="1:135" ht="15.75" customHeight="1">
      <c r="A58" s="189" t="str">
        <f>IFERROR(VLOOKUP(L58,'Base dados Exercicios'!$C$4:$J$305,3,FALSE),"")</f>
        <v/>
      </c>
      <c r="B58" s="190" t="str">
        <f>IFERROR(VLOOKUP(L58,'Base dados Exercicios'!$C$4:$J$305,4,FALSE),"")</f>
        <v/>
      </c>
      <c r="C58" s="191" t="str">
        <f>IFERROR(VLOOKUP(L58,'Base dados Exercicios'!$C$4:$J$305,5,FALSE),"")</f>
        <v/>
      </c>
      <c r="D58" s="191" t="str">
        <f>IFERROR(VLOOKUP(L58,'Base dados Exercicios'!$C$4:$J$305,6,FALSE),"")</f>
        <v/>
      </c>
      <c r="E58" s="191" t="str">
        <f>IFERROR(VLOOKUP(L58,'Base dados Exercicios'!$C$4:$J$305,7,FALSE),"")</f>
        <v/>
      </c>
      <c r="F58" s="192" t="str">
        <f>IFERROR(VLOOKUP(L58,'Base dados Exercicios'!$C$4:$J$305,8,FALSE),"")</f>
        <v/>
      </c>
      <c r="K58" s="436"/>
      <c r="L58" s="194"/>
      <c r="M58" s="179" t="str">
        <f>IF(L58&lt;&gt;"", HYPERLINK(VLOOKUP(L58,'Base dados Exercicios'!$C$4:$D$83,2,FALSE),"Check"),"")</f>
        <v/>
      </c>
      <c r="N58" s="195"/>
      <c r="O58" s="196"/>
      <c r="P58" s="197"/>
      <c r="Q58" s="183"/>
      <c r="R58" s="184"/>
      <c r="S58" s="185"/>
      <c r="T58" s="183"/>
      <c r="U58" s="184"/>
      <c r="V58" s="185"/>
      <c r="W58" s="183"/>
      <c r="X58" s="184"/>
      <c r="Y58" s="185"/>
      <c r="Z58" s="183"/>
      <c r="AA58" s="184"/>
      <c r="AB58" s="185"/>
      <c r="AC58" s="186"/>
      <c r="AD58" s="187">
        <f t="shared" si="76"/>
        <v>0</v>
      </c>
      <c r="AE58" s="183"/>
      <c r="AF58" s="184"/>
      <c r="AG58" s="185"/>
      <c r="AH58" s="183"/>
      <c r="AI58" s="184"/>
      <c r="AJ58" s="185"/>
      <c r="AK58" s="183"/>
      <c r="AL58" s="184"/>
      <c r="AM58" s="185"/>
      <c r="AN58" s="183"/>
      <c r="AO58" s="184"/>
      <c r="AP58" s="185"/>
      <c r="AQ58" s="186"/>
      <c r="AR58" s="188">
        <f t="shared" si="77"/>
        <v>0</v>
      </c>
      <c r="AS58" s="187">
        <f t="shared" si="78"/>
        <v>0</v>
      </c>
      <c r="AT58" s="183"/>
      <c r="AU58" s="184"/>
      <c r="AV58" s="185"/>
      <c r="AW58" s="183"/>
      <c r="AX58" s="184"/>
      <c r="AY58" s="185"/>
      <c r="AZ58" s="183"/>
      <c r="BA58" s="184"/>
      <c r="BB58" s="185"/>
      <c r="BC58" s="183"/>
      <c r="BD58" s="184"/>
      <c r="BE58" s="185"/>
      <c r="BF58" s="186"/>
      <c r="BG58" s="188">
        <f t="shared" si="79"/>
        <v>0</v>
      </c>
      <c r="BH58" s="187">
        <f t="shared" si="80"/>
        <v>0</v>
      </c>
      <c r="BI58" s="183"/>
      <c r="BJ58" s="184"/>
      <c r="BK58" s="185"/>
      <c r="BL58" s="183"/>
      <c r="BM58" s="184"/>
      <c r="BN58" s="185"/>
      <c r="BO58" s="183"/>
      <c r="BP58" s="184"/>
      <c r="BQ58" s="185"/>
      <c r="BR58" s="183"/>
      <c r="BS58" s="184"/>
      <c r="BT58" s="185"/>
      <c r="BU58" s="186"/>
      <c r="BV58" s="188">
        <f t="shared" si="81"/>
        <v>0</v>
      </c>
      <c r="BW58" s="187">
        <f t="shared" si="82"/>
        <v>0</v>
      </c>
      <c r="BX58" s="183"/>
      <c r="BY58" s="184"/>
      <c r="BZ58" s="185"/>
      <c r="CA58" s="183"/>
      <c r="CB58" s="184"/>
      <c r="CC58" s="185"/>
      <c r="CD58" s="183"/>
      <c r="CE58" s="184"/>
      <c r="CF58" s="185"/>
      <c r="CG58" s="183"/>
      <c r="CH58" s="184"/>
      <c r="CI58" s="185"/>
      <c r="CJ58" s="186"/>
      <c r="CK58" s="188">
        <f t="shared" si="83"/>
        <v>0</v>
      </c>
      <c r="CL58" s="187">
        <f t="shared" si="84"/>
        <v>0</v>
      </c>
      <c r="CM58" s="183"/>
      <c r="CN58" s="184"/>
      <c r="CO58" s="185"/>
      <c r="CP58" s="183"/>
      <c r="CQ58" s="184"/>
      <c r="CR58" s="185"/>
      <c r="CS58" s="183"/>
      <c r="CT58" s="184"/>
      <c r="CU58" s="185"/>
      <c r="CV58" s="183"/>
      <c r="CW58" s="184"/>
      <c r="CX58" s="185"/>
      <c r="CY58" s="186"/>
      <c r="CZ58" s="188">
        <f t="shared" si="85"/>
        <v>0</v>
      </c>
      <c r="DA58" s="187">
        <f t="shared" si="86"/>
        <v>0</v>
      </c>
      <c r="DB58" s="183"/>
      <c r="DC58" s="184"/>
      <c r="DD58" s="185"/>
      <c r="DE58" s="183"/>
      <c r="DF58" s="184"/>
      <c r="DG58" s="185"/>
      <c r="DH58" s="183"/>
      <c r="DI58" s="184"/>
      <c r="DJ58" s="185"/>
      <c r="DK58" s="183"/>
      <c r="DL58" s="184"/>
      <c r="DM58" s="185"/>
      <c r="DN58" s="186"/>
      <c r="DO58" s="188">
        <f t="shared" si="87"/>
        <v>0</v>
      </c>
      <c r="DP58" s="187">
        <f t="shared" si="88"/>
        <v>0</v>
      </c>
      <c r="DQ58" s="183"/>
      <c r="DR58" s="184"/>
      <c r="DS58" s="185"/>
      <c r="DT58" s="183"/>
      <c r="DU58" s="184"/>
      <c r="DV58" s="185"/>
      <c r="DW58" s="183"/>
      <c r="DX58" s="184"/>
      <c r="DY58" s="185"/>
      <c r="DZ58" s="183"/>
      <c r="EA58" s="184"/>
      <c r="EB58" s="185"/>
      <c r="EC58" s="186"/>
      <c r="ED58" s="188">
        <f t="shared" si="89"/>
        <v>0</v>
      </c>
      <c r="EE58" s="187">
        <f t="shared" si="90"/>
        <v>0</v>
      </c>
    </row>
    <row r="59" spans="1:135" ht="15.75" customHeight="1">
      <c r="A59" s="189" t="str">
        <f>IFERROR(VLOOKUP(L59,'Base dados Exercicios'!$C$4:$J$305,3,FALSE),"")</f>
        <v/>
      </c>
      <c r="B59" s="190" t="str">
        <f>IFERROR(VLOOKUP(L59,'Base dados Exercicios'!$C$4:$J$305,4,FALSE),"")</f>
        <v/>
      </c>
      <c r="C59" s="191" t="str">
        <f>IFERROR(VLOOKUP(L59,'Base dados Exercicios'!$C$4:$J$305,5,FALSE),"")</f>
        <v/>
      </c>
      <c r="D59" s="191" t="str">
        <f>IFERROR(VLOOKUP(L59,'Base dados Exercicios'!$C$4:$J$305,6,FALSE),"")</f>
        <v/>
      </c>
      <c r="E59" s="191" t="str">
        <f>IFERROR(VLOOKUP(L59,'Base dados Exercicios'!$C$4:$J$305,7,FALSE),"")</f>
        <v/>
      </c>
      <c r="F59" s="192" t="str">
        <f>IFERROR(VLOOKUP(L59,'Base dados Exercicios'!$C$4:$J$305,8,FALSE),"")</f>
        <v/>
      </c>
      <c r="K59" s="436"/>
      <c r="L59" s="194"/>
      <c r="M59" s="179" t="str">
        <f>IF(L59&lt;&gt;"", HYPERLINK(VLOOKUP(L59,'Base dados Exercicios'!$C$4:$D$83,2,FALSE),"Check"),"")</f>
        <v/>
      </c>
      <c r="N59" s="195"/>
      <c r="O59" s="196"/>
      <c r="P59" s="197"/>
      <c r="Q59" s="183"/>
      <c r="R59" s="184"/>
      <c r="S59" s="185"/>
      <c r="T59" s="183"/>
      <c r="U59" s="184"/>
      <c r="V59" s="185"/>
      <c r="W59" s="183"/>
      <c r="X59" s="184"/>
      <c r="Y59" s="185"/>
      <c r="Z59" s="183"/>
      <c r="AA59" s="184"/>
      <c r="AB59" s="185"/>
      <c r="AC59" s="186"/>
      <c r="AD59" s="187">
        <f t="shared" si="76"/>
        <v>0</v>
      </c>
      <c r="AE59" s="183"/>
      <c r="AF59" s="184"/>
      <c r="AG59" s="185"/>
      <c r="AH59" s="183"/>
      <c r="AI59" s="184"/>
      <c r="AJ59" s="185"/>
      <c r="AK59" s="183"/>
      <c r="AL59" s="184"/>
      <c r="AM59" s="185"/>
      <c r="AN59" s="183"/>
      <c r="AO59" s="184"/>
      <c r="AP59" s="185"/>
      <c r="AQ59" s="186"/>
      <c r="AR59" s="188">
        <f t="shared" si="77"/>
        <v>0</v>
      </c>
      <c r="AS59" s="187">
        <f t="shared" si="78"/>
        <v>0</v>
      </c>
      <c r="AT59" s="183"/>
      <c r="AU59" s="184"/>
      <c r="AV59" s="185"/>
      <c r="AW59" s="183"/>
      <c r="AX59" s="184"/>
      <c r="AY59" s="185"/>
      <c r="AZ59" s="183"/>
      <c r="BA59" s="184"/>
      <c r="BB59" s="185"/>
      <c r="BC59" s="183"/>
      <c r="BD59" s="184"/>
      <c r="BE59" s="185"/>
      <c r="BF59" s="186"/>
      <c r="BG59" s="188">
        <f t="shared" si="79"/>
        <v>0</v>
      </c>
      <c r="BH59" s="187">
        <f t="shared" si="80"/>
        <v>0</v>
      </c>
      <c r="BI59" s="183"/>
      <c r="BJ59" s="184"/>
      <c r="BK59" s="185"/>
      <c r="BL59" s="183"/>
      <c r="BM59" s="184"/>
      <c r="BN59" s="185"/>
      <c r="BO59" s="183"/>
      <c r="BP59" s="184"/>
      <c r="BQ59" s="185"/>
      <c r="BR59" s="183"/>
      <c r="BS59" s="184"/>
      <c r="BT59" s="185"/>
      <c r="BU59" s="186"/>
      <c r="BV59" s="188">
        <f t="shared" si="81"/>
        <v>0</v>
      </c>
      <c r="BW59" s="187">
        <f t="shared" si="82"/>
        <v>0</v>
      </c>
      <c r="BX59" s="183"/>
      <c r="BY59" s="184"/>
      <c r="BZ59" s="185"/>
      <c r="CA59" s="183"/>
      <c r="CB59" s="184"/>
      <c r="CC59" s="185"/>
      <c r="CD59" s="183"/>
      <c r="CE59" s="184"/>
      <c r="CF59" s="185"/>
      <c r="CG59" s="183"/>
      <c r="CH59" s="184"/>
      <c r="CI59" s="185"/>
      <c r="CJ59" s="186"/>
      <c r="CK59" s="188">
        <f t="shared" si="83"/>
        <v>0</v>
      </c>
      <c r="CL59" s="187">
        <f t="shared" si="84"/>
        <v>0</v>
      </c>
      <c r="CM59" s="183"/>
      <c r="CN59" s="184"/>
      <c r="CO59" s="185"/>
      <c r="CP59" s="183"/>
      <c r="CQ59" s="184"/>
      <c r="CR59" s="185"/>
      <c r="CS59" s="183"/>
      <c r="CT59" s="184"/>
      <c r="CU59" s="185"/>
      <c r="CV59" s="183"/>
      <c r="CW59" s="184"/>
      <c r="CX59" s="185"/>
      <c r="CY59" s="186"/>
      <c r="CZ59" s="188">
        <f t="shared" si="85"/>
        <v>0</v>
      </c>
      <c r="DA59" s="187">
        <f t="shared" si="86"/>
        <v>0</v>
      </c>
      <c r="DB59" s="183"/>
      <c r="DC59" s="184"/>
      <c r="DD59" s="185"/>
      <c r="DE59" s="183"/>
      <c r="DF59" s="184"/>
      <c r="DG59" s="185"/>
      <c r="DH59" s="183"/>
      <c r="DI59" s="184"/>
      <c r="DJ59" s="185"/>
      <c r="DK59" s="183"/>
      <c r="DL59" s="184"/>
      <c r="DM59" s="185"/>
      <c r="DN59" s="186"/>
      <c r="DO59" s="188">
        <f t="shared" si="87"/>
        <v>0</v>
      </c>
      <c r="DP59" s="187">
        <f t="shared" si="88"/>
        <v>0</v>
      </c>
      <c r="DQ59" s="183"/>
      <c r="DR59" s="184"/>
      <c r="DS59" s="185"/>
      <c r="DT59" s="183"/>
      <c r="DU59" s="184"/>
      <c r="DV59" s="185"/>
      <c r="DW59" s="183"/>
      <c r="DX59" s="184"/>
      <c r="DY59" s="185"/>
      <c r="DZ59" s="183"/>
      <c r="EA59" s="184"/>
      <c r="EB59" s="185"/>
      <c r="EC59" s="186"/>
      <c r="ED59" s="188">
        <f t="shared" si="89"/>
        <v>0</v>
      </c>
      <c r="EE59" s="187">
        <f t="shared" si="90"/>
        <v>0</v>
      </c>
    </row>
    <row r="60" spans="1:135" ht="15.75" customHeight="1">
      <c r="A60" s="189" t="str">
        <f>IFERROR(VLOOKUP(L60,'Base dados Exercicios'!$C$4:$J$305,3,FALSE),"")</f>
        <v/>
      </c>
      <c r="B60" s="190" t="str">
        <f>IFERROR(VLOOKUP(L60,'Base dados Exercicios'!$C$4:$J$305,4,FALSE),"")</f>
        <v/>
      </c>
      <c r="C60" s="191" t="str">
        <f>IFERROR(VLOOKUP(L60,'Base dados Exercicios'!$C$4:$J$305,5,FALSE),"")</f>
        <v/>
      </c>
      <c r="D60" s="191" t="str">
        <f>IFERROR(VLOOKUP(L60,'Base dados Exercicios'!$C$4:$J$305,6,FALSE),"")</f>
        <v/>
      </c>
      <c r="E60" s="191" t="str">
        <f>IFERROR(VLOOKUP(L60,'Base dados Exercicios'!$C$4:$J$305,7,FALSE),"")</f>
        <v/>
      </c>
      <c r="F60" s="192" t="str">
        <f>IFERROR(VLOOKUP(L60,'Base dados Exercicios'!$C$4:$J$305,8,FALSE),"")</f>
        <v/>
      </c>
      <c r="K60" s="436"/>
      <c r="L60" s="194"/>
      <c r="M60" s="179" t="str">
        <f>IF(L60&lt;&gt;"", HYPERLINK(VLOOKUP(L60,'Base dados Exercicios'!$C$4:$D$83,2,FALSE),"Check"),"")</f>
        <v/>
      </c>
      <c r="N60" s="195"/>
      <c r="O60" s="196"/>
      <c r="P60" s="197"/>
      <c r="Q60" s="183"/>
      <c r="R60" s="184"/>
      <c r="S60" s="185"/>
      <c r="T60" s="183"/>
      <c r="U60" s="184"/>
      <c r="V60" s="185"/>
      <c r="W60" s="183"/>
      <c r="X60" s="184"/>
      <c r="Y60" s="185"/>
      <c r="Z60" s="183"/>
      <c r="AA60" s="184"/>
      <c r="AB60" s="185"/>
      <c r="AC60" s="186"/>
      <c r="AD60" s="187">
        <f t="shared" si="76"/>
        <v>0</v>
      </c>
      <c r="AE60" s="183"/>
      <c r="AF60" s="184"/>
      <c r="AG60" s="185"/>
      <c r="AH60" s="183"/>
      <c r="AI60" s="184"/>
      <c r="AJ60" s="185"/>
      <c r="AK60" s="183"/>
      <c r="AL60" s="184"/>
      <c r="AM60" s="185"/>
      <c r="AN60" s="183"/>
      <c r="AO60" s="184"/>
      <c r="AP60" s="185"/>
      <c r="AQ60" s="186"/>
      <c r="AR60" s="188">
        <f t="shared" si="77"/>
        <v>0</v>
      </c>
      <c r="AS60" s="187">
        <f t="shared" si="78"/>
        <v>0</v>
      </c>
      <c r="AT60" s="183"/>
      <c r="AU60" s="184"/>
      <c r="AV60" s="185"/>
      <c r="AW60" s="183"/>
      <c r="AX60" s="184"/>
      <c r="AY60" s="185"/>
      <c r="AZ60" s="183"/>
      <c r="BA60" s="184"/>
      <c r="BB60" s="185"/>
      <c r="BC60" s="183"/>
      <c r="BD60" s="184"/>
      <c r="BE60" s="185"/>
      <c r="BF60" s="186"/>
      <c r="BG60" s="188">
        <f t="shared" si="79"/>
        <v>0</v>
      </c>
      <c r="BH60" s="187">
        <f t="shared" si="80"/>
        <v>0</v>
      </c>
      <c r="BI60" s="183"/>
      <c r="BJ60" s="184"/>
      <c r="BK60" s="185"/>
      <c r="BL60" s="183"/>
      <c r="BM60" s="184"/>
      <c r="BN60" s="185"/>
      <c r="BO60" s="183"/>
      <c r="BP60" s="184"/>
      <c r="BQ60" s="185"/>
      <c r="BR60" s="183"/>
      <c r="BS60" s="184"/>
      <c r="BT60" s="185"/>
      <c r="BU60" s="186"/>
      <c r="BV60" s="188">
        <f t="shared" si="81"/>
        <v>0</v>
      </c>
      <c r="BW60" s="187">
        <f t="shared" si="82"/>
        <v>0</v>
      </c>
      <c r="BX60" s="183"/>
      <c r="BY60" s="184"/>
      <c r="BZ60" s="185"/>
      <c r="CA60" s="183"/>
      <c r="CB60" s="184"/>
      <c r="CC60" s="185"/>
      <c r="CD60" s="183"/>
      <c r="CE60" s="184"/>
      <c r="CF60" s="185"/>
      <c r="CG60" s="183"/>
      <c r="CH60" s="184"/>
      <c r="CI60" s="185"/>
      <c r="CJ60" s="186"/>
      <c r="CK60" s="188">
        <f t="shared" si="83"/>
        <v>0</v>
      </c>
      <c r="CL60" s="187">
        <f t="shared" si="84"/>
        <v>0</v>
      </c>
      <c r="CM60" s="183"/>
      <c r="CN60" s="184"/>
      <c r="CO60" s="185"/>
      <c r="CP60" s="183"/>
      <c r="CQ60" s="184"/>
      <c r="CR60" s="185"/>
      <c r="CS60" s="183"/>
      <c r="CT60" s="184"/>
      <c r="CU60" s="185"/>
      <c r="CV60" s="183"/>
      <c r="CW60" s="184"/>
      <c r="CX60" s="185"/>
      <c r="CY60" s="186"/>
      <c r="CZ60" s="188">
        <f t="shared" si="85"/>
        <v>0</v>
      </c>
      <c r="DA60" s="187">
        <f t="shared" si="86"/>
        <v>0</v>
      </c>
      <c r="DB60" s="183"/>
      <c r="DC60" s="184"/>
      <c r="DD60" s="185"/>
      <c r="DE60" s="183"/>
      <c r="DF60" s="184"/>
      <c r="DG60" s="185"/>
      <c r="DH60" s="183"/>
      <c r="DI60" s="184"/>
      <c r="DJ60" s="185"/>
      <c r="DK60" s="183"/>
      <c r="DL60" s="184"/>
      <c r="DM60" s="185"/>
      <c r="DN60" s="186"/>
      <c r="DO60" s="188">
        <f t="shared" si="87"/>
        <v>0</v>
      </c>
      <c r="DP60" s="187">
        <f t="shared" si="88"/>
        <v>0</v>
      </c>
      <c r="DQ60" s="183"/>
      <c r="DR60" s="184"/>
      <c r="DS60" s="185"/>
      <c r="DT60" s="183"/>
      <c r="DU60" s="184"/>
      <c r="DV60" s="185"/>
      <c r="DW60" s="183"/>
      <c r="DX60" s="184"/>
      <c r="DY60" s="185"/>
      <c r="DZ60" s="183"/>
      <c r="EA60" s="184"/>
      <c r="EB60" s="185"/>
      <c r="EC60" s="186"/>
      <c r="ED60" s="188">
        <f t="shared" si="89"/>
        <v>0</v>
      </c>
      <c r="EE60" s="187">
        <f t="shared" si="90"/>
        <v>0</v>
      </c>
    </row>
    <row r="61" spans="1:135" ht="15.75" customHeight="1">
      <c r="A61" s="189" t="str">
        <f>IFERROR(VLOOKUP(L61,'Base dados Exercicios'!$C$4:$J$305,3,FALSE),"")</f>
        <v/>
      </c>
      <c r="B61" s="190" t="str">
        <f>IFERROR(VLOOKUP(L61,'Base dados Exercicios'!$C$4:$J$305,4,FALSE),"")</f>
        <v/>
      </c>
      <c r="C61" s="191" t="str">
        <f>IFERROR(VLOOKUP(L61,'Base dados Exercicios'!$C$4:$J$305,5,FALSE),"")</f>
        <v/>
      </c>
      <c r="D61" s="191" t="str">
        <f>IFERROR(VLOOKUP(L61,'Base dados Exercicios'!$C$4:$J$305,6,FALSE),"")</f>
        <v/>
      </c>
      <c r="E61" s="191" t="str">
        <f>IFERROR(VLOOKUP(L61,'Base dados Exercicios'!$C$4:$J$305,7,FALSE),"")</f>
        <v/>
      </c>
      <c r="F61" s="192" t="str">
        <f>IFERROR(VLOOKUP(L61,'Base dados Exercicios'!$C$4:$J$305,8,FALSE),"")</f>
        <v/>
      </c>
      <c r="K61" s="436"/>
      <c r="L61" s="194"/>
      <c r="M61" s="179" t="str">
        <f>IF(L61&lt;&gt;"", HYPERLINK(VLOOKUP(L61,'Base dados Exercicios'!$C$4:$D$83,2,FALSE),"Check"),"")</f>
        <v/>
      </c>
      <c r="N61" s="195"/>
      <c r="O61" s="196"/>
      <c r="P61" s="197"/>
      <c r="Q61" s="183"/>
      <c r="R61" s="184"/>
      <c r="S61" s="185"/>
      <c r="T61" s="183"/>
      <c r="U61" s="184"/>
      <c r="V61" s="185"/>
      <c r="W61" s="183"/>
      <c r="X61" s="184"/>
      <c r="Y61" s="185"/>
      <c r="Z61" s="183"/>
      <c r="AA61" s="184"/>
      <c r="AB61" s="185"/>
      <c r="AC61" s="186"/>
      <c r="AD61" s="187">
        <f t="shared" si="76"/>
        <v>0</v>
      </c>
      <c r="AE61" s="183"/>
      <c r="AF61" s="184"/>
      <c r="AG61" s="185"/>
      <c r="AH61" s="183"/>
      <c r="AI61" s="184"/>
      <c r="AJ61" s="185"/>
      <c r="AK61" s="183"/>
      <c r="AL61" s="184"/>
      <c r="AM61" s="185"/>
      <c r="AN61" s="183"/>
      <c r="AO61" s="184"/>
      <c r="AP61" s="185"/>
      <c r="AQ61" s="186"/>
      <c r="AR61" s="188">
        <f t="shared" si="77"/>
        <v>0</v>
      </c>
      <c r="AS61" s="187">
        <f t="shared" si="78"/>
        <v>0</v>
      </c>
      <c r="AT61" s="183"/>
      <c r="AU61" s="184"/>
      <c r="AV61" s="185"/>
      <c r="AW61" s="183"/>
      <c r="AX61" s="184"/>
      <c r="AY61" s="185"/>
      <c r="AZ61" s="183"/>
      <c r="BA61" s="184"/>
      <c r="BB61" s="185"/>
      <c r="BC61" s="183"/>
      <c r="BD61" s="184"/>
      <c r="BE61" s="185"/>
      <c r="BF61" s="186"/>
      <c r="BG61" s="188">
        <f t="shared" si="79"/>
        <v>0</v>
      </c>
      <c r="BH61" s="187">
        <f t="shared" si="80"/>
        <v>0</v>
      </c>
      <c r="BI61" s="183"/>
      <c r="BJ61" s="184"/>
      <c r="BK61" s="185"/>
      <c r="BL61" s="183"/>
      <c r="BM61" s="184"/>
      <c r="BN61" s="185"/>
      <c r="BO61" s="183"/>
      <c r="BP61" s="184"/>
      <c r="BQ61" s="185"/>
      <c r="BR61" s="183"/>
      <c r="BS61" s="184"/>
      <c r="BT61" s="185"/>
      <c r="BU61" s="186"/>
      <c r="BV61" s="188">
        <f t="shared" si="81"/>
        <v>0</v>
      </c>
      <c r="BW61" s="187">
        <f t="shared" si="82"/>
        <v>0</v>
      </c>
      <c r="BX61" s="183"/>
      <c r="BY61" s="184"/>
      <c r="BZ61" s="185"/>
      <c r="CA61" s="183"/>
      <c r="CB61" s="184"/>
      <c r="CC61" s="185"/>
      <c r="CD61" s="183"/>
      <c r="CE61" s="184"/>
      <c r="CF61" s="185"/>
      <c r="CG61" s="183"/>
      <c r="CH61" s="184"/>
      <c r="CI61" s="185"/>
      <c r="CJ61" s="186"/>
      <c r="CK61" s="188">
        <f t="shared" si="83"/>
        <v>0</v>
      </c>
      <c r="CL61" s="187">
        <f t="shared" si="84"/>
        <v>0</v>
      </c>
      <c r="CM61" s="183"/>
      <c r="CN61" s="184"/>
      <c r="CO61" s="185"/>
      <c r="CP61" s="183"/>
      <c r="CQ61" s="184"/>
      <c r="CR61" s="185"/>
      <c r="CS61" s="183"/>
      <c r="CT61" s="184"/>
      <c r="CU61" s="185"/>
      <c r="CV61" s="183"/>
      <c r="CW61" s="184"/>
      <c r="CX61" s="185"/>
      <c r="CY61" s="186"/>
      <c r="CZ61" s="188">
        <f t="shared" si="85"/>
        <v>0</v>
      </c>
      <c r="DA61" s="187">
        <f t="shared" si="86"/>
        <v>0</v>
      </c>
      <c r="DB61" s="183"/>
      <c r="DC61" s="184"/>
      <c r="DD61" s="185"/>
      <c r="DE61" s="183"/>
      <c r="DF61" s="184"/>
      <c r="DG61" s="185"/>
      <c r="DH61" s="183"/>
      <c r="DI61" s="184"/>
      <c r="DJ61" s="185"/>
      <c r="DK61" s="183"/>
      <c r="DL61" s="184"/>
      <c r="DM61" s="185"/>
      <c r="DN61" s="186"/>
      <c r="DO61" s="188">
        <f t="shared" si="87"/>
        <v>0</v>
      </c>
      <c r="DP61" s="187">
        <f t="shared" si="88"/>
        <v>0</v>
      </c>
      <c r="DQ61" s="183"/>
      <c r="DR61" s="184"/>
      <c r="DS61" s="185"/>
      <c r="DT61" s="183"/>
      <c r="DU61" s="184"/>
      <c r="DV61" s="185"/>
      <c r="DW61" s="183"/>
      <c r="DX61" s="184"/>
      <c r="DY61" s="185"/>
      <c r="DZ61" s="183"/>
      <c r="EA61" s="184"/>
      <c r="EB61" s="185"/>
      <c r="EC61" s="186"/>
      <c r="ED61" s="188">
        <f t="shared" si="89"/>
        <v>0</v>
      </c>
      <c r="EE61" s="187">
        <f t="shared" si="90"/>
        <v>0</v>
      </c>
    </row>
    <row r="62" spans="1:135" ht="15.75" customHeight="1">
      <c r="A62" s="189" t="str">
        <f>IFERROR(VLOOKUP(L62,'Base dados Exercicios'!$C$4:$J$305,3,FALSE),"")</f>
        <v/>
      </c>
      <c r="B62" s="190" t="str">
        <f>IFERROR(VLOOKUP(L62,'Base dados Exercicios'!$C$4:$J$305,4,FALSE),"")</f>
        <v/>
      </c>
      <c r="C62" s="191" t="str">
        <f>IFERROR(VLOOKUP(L62,'Base dados Exercicios'!$C$4:$J$305,5,FALSE),"")</f>
        <v/>
      </c>
      <c r="D62" s="191" t="str">
        <f>IFERROR(VLOOKUP(L62,'Base dados Exercicios'!$C$4:$J$305,6,FALSE),"")</f>
        <v/>
      </c>
      <c r="E62" s="191" t="str">
        <f>IFERROR(VLOOKUP(L62,'Base dados Exercicios'!$C$4:$J$305,7,FALSE),"")</f>
        <v/>
      </c>
      <c r="F62" s="192" t="str">
        <f>IFERROR(VLOOKUP(L62,'Base dados Exercicios'!$C$4:$J$305,8,FALSE),"")</f>
        <v/>
      </c>
      <c r="K62" s="436"/>
      <c r="L62" s="194"/>
      <c r="M62" s="179" t="str">
        <f>IF(L62&lt;&gt;"", HYPERLINK(VLOOKUP(L62,'Base dados Exercicios'!$C$4:$D$83,2,FALSE),"Check"),"")</f>
        <v/>
      </c>
      <c r="N62" s="195"/>
      <c r="O62" s="196"/>
      <c r="P62" s="197"/>
      <c r="Q62" s="183"/>
      <c r="R62" s="184"/>
      <c r="S62" s="185"/>
      <c r="T62" s="183"/>
      <c r="U62" s="184"/>
      <c r="V62" s="185"/>
      <c r="W62" s="183"/>
      <c r="X62" s="184"/>
      <c r="Y62" s="185"/>
      <c r="Z62" s="183"/>
      <c r="AA62" s="184"/>
      <c r="AB62" s="185"/>
      <c r="AC62" s="186"/>
      <c r="AD62" s="187">
        <f t="shared" si="76"/>
        <v>0</v>
      </c>
      <c r="AE62" s="183"/>
      <c r="AF62" s="184"/>
      <c r="AG62" s="185"/>
      <c r="AH62" s="183"/>
      <c r="AI62" s="184"/>
      <c r="AJ62" s="185"/>
      <c r="AK62" s="183"/>
      <c r="AL62" s="184"/>
      <c r="AM62" s="185"/>
      <c r="AN62" s="183"/>
      <c r="AO62" s="184"/>
      <c r="AP62" s="185"/>
      <c r="AQ62" s="186"/>
      <c r="AR62" s="188">
        <f t="shared" si="77"/>
        <v>0</v>
      </c>
      <c r="AS62" s="187">
        <f t="shared" si="78"/>
        <v>0</v>
      </c>
      <c r="AT62" s="183"/>
      <c r="AU62" s="184"/>
      <c r="AV62" s="185"/>
      <c r="AW62" s="183"/>
      <c r="AX62" s="184"/>
      <c r="AY62" s="185"/>
      <c r="AZ62" s="183"/>
      <c r="BA62" s="184"/>
      <c r="BB62" s="185"/>
      <c r="BC62" s="183"/>
      <c r="BD62" s="184"/>
      <c r="BE62" s="185"/>
      <c r="BF62" s="186"/>
      <c r="BG62" s="188">
        <f t="shared" si="79"/>
        <v>0</v>
      </c>
      <c r="BH62" s="187">
        <f t="shared" si="80"/>
        <v>0</v>
      </c>
      <c r="BI62" s="183"/>
      <c r="BJ62" s="184"/>
      <c r="BK62" s="185"/>
      <c r="BL62" s="183"/>
      <c r="BM62" s="184"/>
      <c r="BN62" s="185"/>
      <c r="BO62" s="183"/>
      <c r="BP62" s="184"/>
      <c r="BQ62" s="185"/>
      <c r="BR62" s="183"/>
      <c r="BS62" s="184"/>
      <c r="BT62" s="185"/>
      <c r="BU62" s="186"/>
      <c r="BV62" s="188">
        <f t="shared" si="81"/>
        <v>0</v>
      </c>
      <c r="BW62" s="187">
        <f t="shared" si="82"/>
        <v>0</v>
      </c>
      <c r="BX62" s="183"/>
      <c r="BY62" s="184"/>
      <c r="BZ62" s="185"/>
      <c r="CA62" s="183"/>
      <c r="CB62" s="184"/>
      <c r="CC62" s="185"/>
      <c r="CD62" s="183"/>
      <c r="CE62" s="184"/>
      <c r="CF62" s="185"/>
      <c r="CG62" s="183"/>
      <c r="CH62" s="184"/>
      <c r="CI62" s="185"/>
      <c r="CJ62" s="186"/>
      <c r="CK62" s="188">
        <f t="shared" si="83"/>
        <v>0</v>
      </c>
      <c r="CL62" s="187">
        <f t="shared" si="84"/>
        <v>0</v>
      </c>
      <c r="CM62" s="183"/>
      <c r="CN62" s="184"/>
      <c r="CO62" s="185"/>
      <c r="CP62" s="183"/>
      <c r="CQ62" s="184"/>
      <c r="CR62" s="185"/>
      <c r="CS62" s="183"/>
      <c r="CT62" s="184"/>
      <c r="CU62" s="185"/>
      <c r="CV62" s="183"/>
      <c r="CW62" s="184"/>
      <c r="CX62" s="185"/>
      <c r="CY62" s="186"/>
      <c r="CZ62" s="188">
        <f t="shared" si="85"/>
        <v>0</v>
      </c>
      <c r="DA62" s="187">
        <f t="shared" si="86"/>
        <v>0</v>
      </c>
      <c r="DB62" s="183"/>
      <c r="DC62" s="184"/>
      <c r="DD62" s="185"/>
      <c r="DE62" s="183"/>
      <c r="DF62" s="184"/>
      <c r="DG62" s="185"/>
      <c r="DH62" s="183"/>
      <c r="DI62" s="184"/>
      <c r="DJ62" s="185"/>
      <c r="DK62" s="183"/>
      <c r="DL62" s="184"/>
      <c r="DM62" s="185"/>
      <c r="DN62" s="186"/>
      <c r="DO62" s="188">
        <f t="shared" si="87"/>
        <v>0</v>
      </c>
      <c r="DP62" s="187">
        <f t="shared" si="88"/>
        <v>0</v>
      </c>
      <c r="DQ62" s="183"/>
      <c r="DR62" s="184"/>
      <c r="DS62" s="185"/>
      <c r="DT62" s="183"/>
      <c r="DU62" s="184"/>
      <c r="DV62" s="185"/>
      <c r="DW62" s="183"/>
      <c r="DX62" s="184"/>
      <c r="DY62" s="185"/>
      <c r="DZ62" s="183"/>
      <c r="EA62" s="184"/>
      <c r="EB62" s="185"/>
      <c r="EC62" s="186"/>
      <c r="ED62" s="188">
        <f t="shared" si="89"/>
        <v>0</v>
      </c>
      <c r="EE62" s="187">
        <f t="shared" si="90"/>
        <v>0</v>
      </c>
    </row>
    <row r="63" spans="1:135" ht="15.75" customHeight="1">
      <c r="A63" s="198" t="str">
        <f>IFERROR(VLOOKUP(L63,'Base dados Exercicios'!$C$4:$J$305,3,FALSE),"")</f>
        <v/>
      </c>
      <c r="B63" s="199" t="str">
        <f>IFERROR(VLOOKUP(L63,'Base dados Exercicios'!$C$4:$J$305,4,FALSE),"")</f>
        <v/>
      </c>
      <c r="C63" s="200" t="str">
        <f>IFERROR(VLOOKUP(L63,'Base dados Exercicios'!$C$4:$J$305,5,FALSE),"")</f>
        <v/>
      </c>
      <c r="D63" s="200" t="str">
        <f>IFERROR(VLOOKUP(L63,'Base dados Exercicios'!$C$4:$J$305,6,FALSE),"")</f>
        <v/>
      </c>
      <c r="E63" s="200" t="str">
        <f>IFERROR(VLOOKUP(L63,'Base dados Exercicios'!$C$4:$J$305,7,FALSE),"")</f>
        <v/>
      </c>
      <c r="F63" s="201" t="str">
        <f>IFERROR(VLOOKUP(L63,'Base dados Exercicios'!$C$4:$J$305,8,FALSE),"")</f>
        <v/>
      </c>
      <c r="K63" s="437"/>
      <c r="L63" s="220"/>
      <c r="M63" s="179" t="str">
        <f>IF(L63&lt;&gt;"", HYPERLINK(VLOOKUP(L63,'Base dados Exercicios'!$C$4:$D$83,2,FALSE),"Check"),"")</f>
        <v/>
      </c>
      <c r="N63" s="202"/>
      <c r="O63" s="203"/>
      <c r="P63" s="204"/>
      <c r="Q63" s="214" t="s">
        <v>154</v>
      </c>
      <c r="R63" s="206"/>
      <c r="S63" s="206"/>
      <c r="T63" s="206"/>
      <c r="U63" s="206"/>
      <c r="V63" s="206"/>
      <c r="W63" s="206"/>
      <c r="X63" s="206"/>
      <c r="Y63" s="206"/>
      <c r="Z63" s="206"/>
      <c r="AA63" s="206"/>
      <c r="AB63" s="206"/>
      <c r="AC63" s="206"/>
      <c r="AD63" s="207"/>
      <c r="AE63" s="214" t="s">
        <v>154</v>
      </c>
      <c r="AF63" s="206"/>
      <c r="AG63" s="206"/>
      <c r="AH63" s="206"/>
      <c r="AI63" s="206"/>
      <c r="AJ63" s="206"/>
      <c r="AK63" s="206"/>
      <c r="AL63" s="206"/>
      <c r="AM63" s="206"/>
      <c r="AN63" s="206"/>
      <c r="AO63" s="206"/>
      <c r="AP63" s="206"/>
      <c r="AQ63" s="206"/>
      <c r="AR63" s="206"/>
      <c r="AS63" s="207"/>
      <c r="AT63" s="214" t="s">
        <v>154</v>
      </c>
      <c r="AU63" s="206"/>
      <c r="AV63" s="206"/>
      <c r="AW63" s="206"/>
      <c r="AX63" s="206"/>
      <c r="AY63" s="206"/>
      <c r="AZ63" s="206"/>
      <c r="BA63" s="206"/>
      <c r="BB63" s="206"/>
      <c r="BC63" s="206"/>
      <c r="BD63" s="206"/>
      <c r="BE63" s="206"/>
      <c r="BF63" s="206"/>
      <c r="BG63" s="206"/>
      <c r="BH63" s="207"/>
      <c r="BI63" s="214" t="s">
        <v>154</v>
      </c>
      <c r="BJ63" s="206"/>
      <c r="BK63" s="206"/>
      <c r="BL63" s="206"/>
      <c r="BM63" s="206"/>
      <c r="BN63" s="206"/>
      <c r="BO63" s="206"/>
      <c r="BP63" s="206"/>
      <c r="BQ63" s="206"/>
      <c r="BR63" s="206"/>
      <c r="BS63" s="206"/>
      <c r="BT63" s="206"/>
      <c r="BU63" s="206"/>
      <c r="BV63" s="206"/>
      <c r="BW63" s="207"/>
      <c r="BX63" s="214" t="s">
        <v>154</v>
      </c>
      <c r="BY63" s="206"/>
      <c r="BZ63" s="206"/>
      <c r="CA63" s="206"/>
      <c r="CB63" s="206"/>
      <c r="CC63" s="206"/>
      <c r="CD63" s="206"/>
      <c r="CE63" s="206"/>
      <c r="CF63" s="206"/>
      <c r="CG63" s="206"/>
      <c r="CH63" s="206"/>
      <c r="CI63" s="206"/>
      <c r="CJ63" s="206"/>
      <c r="CK63" s="206"/>
      <c r="CL63" s="207"/>
      <c r="CM63" s="214" t="s">
        <v>154</v>
      </c>
      <c r="CN63" s="206"/>
      <c r="CO63" s="206"/>
      <c r="CP63" s="206"/>
      <c r="CQ63" s="206"/>
      <c r="CR63" s="206"/>
      <c r="CS63" s="206"/>
      <c r="CT63" s="206"/>
      <c r="CU63" s="206"/>
      <c r="CV63" s="206"/>
      <c r="CW63" s="206"/>
      <c r="CX63" s="206"/>
      <c r="CY63" s="206"/>
      <c r="CZ63" s="206"/>
      <c r="DA63" s="207"/>
      <c r="DB63" s="214" t="s">
        <v>154</v>
      </c>
      <c r="DC63" s="206"/>
      <c r="DD63" s="206"/>
      <c r="DE63" s="206"/>
      <c r="DF63" s="206"/>
      <c r="DG63" s="206"/>
      <c r="DH63" s="206"/>
      <c r="DI63" s="206"/>
      <c r="DJ63" s="206"/>
      <c r="DK63" s="206"/>
      <c r="DL63" s="206"/>
      <c r="DM63" s="206"/>
      <c r="DN63" s="206"/>
      <c r="DO63" s="206"/>
      <c r="DP63" s="207"/>
      <c r="DQ63" s="214" t="s">
        <v>154</v>
      </c>
      <c r="DR63" s="206"/>
      <c r="DS63" s="206"/>
      <c r="DT63" s="206"/>
      <c r="DU63" s="206"/>
      <c r="DV63" s="206"/>
      <c r="DW63" s="206"/>
      <c r="DX63" s="206"/>
      <c r="DY63" s="206"/>
      <c r="DZ63" s="206"/>
      <c r="EA63" s="206"/>
      <c r="EB63" s="206"/>
      <c r="EC63" s="206"/>
      <c r="ED63" s="206"/>
      <c r="EE63" s="207"/>
    </row>
    <row r="64" spans="1:135" ht="15.75" customHeight="1">
      <c r="A64" s="171" t="str">
        <f>IFERROR(VLOOKUP(L64,'Base dados Exercicios'!$C$4:$J$305,3,FALSE),"")</f>
        <v/>
      </c>
      <c r="B64" s="172" t="str">
        <f>IFERROR(VLOOKUP(L64,'Base dados Exercicios'!$C$4:$J$305,4,FALSE),"")</f>
        <v/>
      </c>
      <c r="C64" s="173" t="str">
        <f>IFERROR(VLOOKUP(L64,'Base dados Exercicios'!$C$4:$J$305,5,FALSE),"")</f>
        <v/>
      </c>
      <c r="D64" s="173" t="str">
        <f>IFERROR(VLOOKUP(L64,'Base dados Exercicios'!$C$4:$J$305,6,FALSE),"")</f>
        <v/>
      </c>
      <c r="E64" s="173" t="str">
        <f>IFERROR(VLOOKUP(L64,'Base dados Exercicios'!$C$4:$J$305,7,FALSE),"")</f>
        <v/>
      </c>
      <c r="F64" s="174" t="str">
        <f>IFERROR(VLOOKUP(L64,'Base dados Exercicios'!$C$4:$J$305,8,FALSE),"")</f>
        <v/>
      </c>
      <c r="K64" s="435">
        <f>I29</f>
        <v>0</v>
      </c>
      <c r="L64" s="178"/>
      <c r="M64" s="208" t="str">
        <f>IF(L64&lt;&gt;"", HYPERLINK(VLOOKUP(L64,'Base dados Exercicios'!$C$4:$D$83,2,FALSE),"Check"),"")</f>
        <v/>
      </c>
      <c r="N64" s="180"/>
      <c r="O64" s="181"/>
      <c r="P64" s="182"/>
      <c r="Q64" s="183"/>
      <c r="R64" s="184"/>
      <c r="S64" s="185"/>
      <c r="T64" s="183"/>
      <c r="U64" s="184"/>
      <c r="V64" s="185"/>
      <c r="W64" s="183"/>
      <c r="X64" s="184"/>
      <c r="Y64" s="185"/>
      <c r="Z64" s="183"/>
      <c r="AA64" s="184"/>
      <c r="AB64" s="185"/>
      <c r="AC64" s="186"/>
      <c r="AD64" s="187">
        <f t="shared" ref="AD64:AD72" si="91">(R64*S64)+(U64*V64)+(X64*Y64)+(AA64*AB64)</f>
        <v>0</v>
      </c>
      <c r="AE64" s="183"/>
      <c r="AF64" s="184"/>
      <c r="AG64" s="185"/>
      <c r="AH64" s="183"/>
      <c r="AI64" s="184"/>
      <c r="AJ64" s="185"/>
      <c r="AK64" s="183"/>
      <c r="AL64" s="184"/>
      <c r="AM64" s="185"/>
      <c r="AN64" s="183"/>
      <c r="AO64" s="184"/>
      <c r="AP64" s="185"/>
      <c r="AQ64" s="186"/>
      <c r="AR64" s="188">
        <f t="shared" ref="AR64:AR72" si="92">(AF64*AG64)+(AI64*AJ64)+(AL64*AM64)+(AO64*AP64)</f>
        <v>0</v>
      </c>
      <c r="AS64" s="187">
        <f t="shared" ref="AS64:AS72" si="93">AR64-AD64</f>
        <v>0</v>
      </c>
      <c r="AT64" s="183"/>
      <c r="AU64" s="184"/>
      <c r="AV64" s="185"/>
      <c r="AW64" s="183"/>
      <c r="AX64" s="184"/>
      <c r="AY64" s="185"/>
      <c r="AZ64" s="183"/>
      <c r="BA64" s="184"/>
      <c r="BB64" s="185"/>
      <c r="BC64" s="183"/>
      <c r="BD64" s="184"/>
      <c r="BE64" s="185"/>
      <c r="BF64" s="186"/>
      <c r="BG64" s="188">
        <f t="shared" ref="BG64:BG72" si="94">(AU64*AV64)+(AX64*AY64)+(BA64*BB64)+(BD64*BE64)</f>
        <v>0</v>
      </c>
      <c r="BH64" s="187">
        <f t="shared" ref="BH64:BH72" si="95">BG64-AR64</f>
        <v>0</v>
      </c>
      <c r="BI64" s="183"/>
      <c r="BJ64" s="184"/>
      <c r="BK64" s="185"/>
      <c r="BL64" s="183"/>
      <c r="BM64" s="184"/>
      <c r="BN64" s="185"/>
      <c r="BO64" s="183"/>
      <c r="BP64" s="184"/>
      <c r="BQ64" s="185"/>
      <c r="BR64" s="183"/>
      <c r="BS64" s="184"/>
      <c r="BT64" s="185"/>
      <c r="BU64" s="186"/>
      <c r="BV64" s="188">
        <f t="shared" ref="BV64:BV72" si="96">(BJ64*BK64)+(BM64*BN64)+(BP64*BQ64)+(BS64*BT64)</f>
        <v>0</v>
      </c>
      <c r="BW64" s="187">
        <f t="shared" ref="BW64:BW72" si="97">BV64-BG64</f>
        <v>0</v>
      </c>
      <c r="BX64" s="183"/>
      <c r="BY64" s="184"/>
      <c r="BZ64" s="185"/>
      <c r="CA64" s="183"/>
      <c r="CB64" s="184"/>
      <c r="CC64" s="185"/>
      <c r="CD64" s="183"/>
      <c r="CE64" s="184"/>
      <c r="CF64" s="185"/>
      <c r="CG64" s="183"/>
      <c r="CH64" s="184"/>
      <c r="CI64" s="185"/>
      <c r="CJ64" s="186"/>
      <c r="CK64" s="188">
        <f t="shared" ref="CK64:CK72" si="98">(BY64*BZ64)+(CB64*CC64)+(CE64*CF64)+(CH64*CI64)</f>
        <v>0</v>
      </c>
      <c r="CL64" s="187">
        <f t="shared" ref="CL64:CL72" si="99">CK64-BV64</f>
        <v>0</v>
      </c>
      <c r="CM64" s="183"/>
      <c r="CN64" s="184"/>
      <c r="CO64" s="185"/>
      <c r="CP64" s="183"/>
      <c r="CQ64" s="184"/>
      <c r="CR64" s="185"/>
      <c r="CS64" s="183"/>
      <c r="CT64" s="184"/>
      <c r="CU64" s="185"/>
      <c r="CV64" s="183"/>
      <c r="CW64" s="184"/>
      <c r="CX64" s="185"/>
      <c r="CY64" s="186"/>
      <c r="CZ64" s="188">
        <f t="shared" ref="CZ64:CZ72" si="100">(CN64*CO64)+(CQ64*CR64)+(CT64*CU64)+(CW64*CX64)</f>
        <v>0</v>
      </c>
      <c r="DA64" s="187">
        <f t="shared" ref="DA64:DA72" si="101">CZ64-CK64</f>
        <v>0</v>
      </c>
      <c r="DB64" s="183"/>
      <c r="DC64" s="184"/>
      <c r="DD64" s="185"/>
      <c r="DE64" s="183"/>
      <c r="DF64" s="184"/>
      <c r="DG64" s="185"/>
      <c r="DH64" s="183"/>
      <c r="DI64" s="184"/>
      <c r="DJ64" s="185"/>
      <c r="DK64" s="183"/>
      <c r="DL64" s="184"/>
      <c r="DM64" s="185"/>
      <c r="DN64" s="186"/>
      <c r="DO64" s="188">
        <f t="shared" ref="DO64:DO72" si="102">(DC64*DD64)+(DF64*DG64)+(DI64*DJ64)+(DL64*DM64)</f>
        <v>0</v>
      </c>
      <c r="DP64" s="187">
        <f t="shared" ref="DP64:DP72" si="103">DO64-CZ64</f>
        <v>0</v>
      </c>
      <c r="DQ64" s="183"/>
      <c r="DR64" s="184"/>
      <c r="DS64" s="185"/>
      <c r="DT64" s="183"/>
      <c r="DU64" s="184"/>
      <c r="DV64" s="185"/>
      <c r="DW64" s="183"/>
      <c r="DX64" s="184"/>
      <c r="DY64" s="185"/>
      <c r="DZ64" s="183"/>
      <c r="EA64" s="184"/>
      <c r="EB64" s="185"/>
      <c r="EC64" s="186"/>
      <c r="ED64" s="188">
        <f t="shared" ref="ED64:ED72" si="104">(DR64*DS64)+(DU64*DV64)+(DX64*DY64)+(EA64*EB64)</f>
        <v>0</v>
      </c>
      <c r="EE64" s="187">
        <f t="shared" ref="EE64:EE72" si="105">ED64-DO64</f>
        <v>0</v>
      </c>
    </row>
    <row r="65" spans="1:135" ht="15.75" customHeight="1">
      <c r="A65" s="189" t="str">
        <f>IFERROR(VLOOKUP(L65,'Base dados Exercicios'!$C$4:$J$305,3,FALSE),"")</f>
        <v/>
      </c>
      <c r="B65" s="190" t="str">
        <f>IFERROR(VLOOKUP(L65,'Base dados Exercicios'!$C$4:$J$305,4,FALSE),"")</f>
        <v/>
      </c>
      <c r="C65" s="191" t="str">
        <f>IFERROR(VLOOKUP(L65,'Base dados Exercicios'!$C$4:$J$305,5,FALSE),"")</f>
        <v/>
      </c>
      <c r="D65" s="191" t="str">
        <f>IFERROR(VLOOKUP(L65,'Base dados Exercicios'!$C$4:$J$305,6,FALSE),"")</f>
        <v/>
      </c>
      <c r="E65" s="191" t="str">
        <f>IFERROR(VLOOKUP(L65,'Base dados Exercicios'!$C$4:$J$305,7,FALSE),"")</f>
        <v/>
      </c>
      <c r="F65" s="192" t="str">
        <f>IFERROR(VLOOKUP(L65,'Base dados Exercicios'!$C$4:$J$305,8,FALSE),"")</f>
        <v/>
      </c>
      <c r="K65" s="436"/>
      <c r="L65" s="194"/>
      <c r="M65" s="179" t="str">
        <f>IF(L65&lt;&gt;"", HYPERLINK(VLOOKUP(L65,'Base dados Exercicios'!$C$4:$D$83,2,FALSE),"Check"),"")</f>
        <v/>
      </c>
      <c r="N65" s="195"/>
      <c r="O65" s="196"/>
      <c r="P65" s="197"/>
      <c r="Q65" s="183"/>
      <c r="R65" s="184"/>
      <c r="S65" s="185"/>
      <c r="T65" s="183"/>
      <c r="U65" s="184"/>
      <c r="V65" s="185"/>
      <c r="W65" s="183"/>
      <c r="X65" s="184"/>
      <c r="Y65" s="185"/>
      <c r="Z65" s="183"/>
      <c r="AA65" s="184"/>
      <c r="AB65" s="185"/>
      <c r="AC65" s="186"/>
      <c r="AD65" s="187">
        <f t="shared" si="91"/>
        <v>0</v>
      </c>
      <c r="AE65" s="183"/>
      <c r="AF65" s="184"/>
      <c r="AG65" s="185"/>
      <c r="AH65" s="183"/>
      <c r="AI65" s="184"/>
      <c r="AJ65" s="185"/>
      <c r="AK65" s="183"/>
      <c r="AL65" s="184"/>
      <c r="AM65" s="185"/>
      <c r="AN65" s="183"/>
      <c r="AO65" s="184"/>
      <c r="AP65" s="185"/>
      <c r="AQ65" s="186"/>
      <c r="AR65" s="188">
        <f t="shared" si="92"/>
        <v>0</v>
      </c>
      <c r="AS65" s="187">
        <f t="shared" si="93"/>
        <v>0</v>
      </c>
      <c r="AT65" s="183"/>
      <c r="AU65" s="184"/>
      <c r="AV65" s="185"/>
      <c r="AW65" s="183"/>
      <c r="AX65" s="184"/>
      <c r="AY65" s="185"/>
      <c r="AZ65" s="183"/>
      <c r="BA65" s="184"/>
      <c r="BB65" s="185"/>
      <c r="BC65" s="183"/>
      <c r="BD65" s="184"/>
      <c r="BE65" s="185"/>
      <c r="BF65" s="186"/>
      <c r="BG65" s="188">
        <f t="shared" si="94"/>
        <v>0</v>
      </c>
      <c r="BH65" s="187">
        <f t="shared" si="95"/>
        <v>0</v>
      </c>
      <c r="BI65" s="183"/>
      <c r="BJ65" s="184"/>
      <c r="BK65" s="185"/>
      <c r="BL65" s="183"/>
      <c r="BM65" s="184"/>
      <c r="BN65" s="185"/>
      <c r="BO65" s="183"/>
      <c r="BP65" s="184"/>
      <c r="BQ65" s="185"/>
      <c r="BR65" s="183"/>
      <c r="BS65" s="184"/>
      <c r="BT65" s="185"/>
      <c r="BU65" s="186"/>
      <c r="BV65" s="188">
        <f t="shared" si="96"/>
        <v>0</v>
      </c>
      <c r="BW65" s="187">
        <f t="shared" si="97"/>
        <v>0</v>
      </c>
      <c r="BX65" s="183"/>
      <c r="BY65" s="184"/>
      <c r="BZ65" s="185"/>
      <c r="CA65" s="183"/>
      <c r="CB65" s="184"/>
      <c r="CC65" s="185"/>
      <c r="CD65" s="183"/>
      <c r="CE65" s="184"/>
      <c r="CF65" s="185"/>
      <c r="CG65" s="183"/>
      <c r="CH65" s="184"/>
      <c r="CI65" s="185"/>
      <c r="CJ65" s="186"/>
      <c r="CK65" s="188">
        <f t="shared" si="98"/>
        <v>0</v>
      </c>
      <c r="CL65" s="187">
        <f t="shared" si="99"/>
        <v>0</v>
      </c>
      <c r="CM65" s="183"/>
      <c r="CN65" s="184"/>
      <c r="CO65" s="185"/>
      <c r="CP65" s="183"/>
      <c r="CQ65" s="184"/>
      <c r="CR65" s="185"/>
      <c r="CS65" s="183"/>
      <c r="CT65" s="184"/>
      <c r="CU65" s="185"/>
      <c r="CV65" s="183"/>
      <c r="CW65" s="184"/>
      <c r="CX65" s="185"/>
      <c r="CY65" s="186"/>
      <c r="CZ65" s="188">
        <f t="shared" si="100"/>
        <v>0</v>
      </c>
      <c r="DA65" s="187">
        <f t="shared" si="101"/>
        <v>0</v>
      </c>
      <c r="DB65" s="183"/>
      <c r="DC65" s="184"/>
      <c r="DD65" s="185"/>
      <c r="DE65" s="183"/>
      <c r="DF65" s="184"/>
      <c r="DG65" s="185"/>
      <c r="DH65" s="183"/>
      <c r="DI65" s="184"/>
      <c r="DJ65" s="185"/>
      <c r="DK65" s="183"/>
      <c r="DL65" s="184"/>
      <c r="DM65" s="185"/>
      <c r="DN65" s="186"/>
      <c r="DO65" s="188">
        <f t="shared" si="102"/>
        <v>0</v>
      </c>
      <c r="DP65" s="187">
        <f t="shared" si="103"/>
        <v>0</v>
      </c>
      <c r="DQ65" s="183"/>
      <c r="DR65" s="184"/>
      <c r="DS65" s="185"/>
      <c r="DT65" s="183"/>
      <c r="DU65" s="184"/>
      <c r="DV65" s="185"/>
      <c r="DW65" s="183"/>
      <c r="DX65" s="184"/>
      <c r="DY65" s="185"/>
      <c r="DZ65" s="183"/>
      <c r="EA65" s="184"/>
      <c r="EB65" s="185"/>
      <c r="EC65" s="186"/>
      <c r="ED65" s="188">
        <f t="shared" si="104"/>
        <v>0</v>
      </c>
      <c r="EE65" s="187">
        <f t="shared" si="105"/>
        <v>0</v>
      </c>
    </row>
    <row r="66" spans="1:135" ht="15.75" customHeight="1">
      <c r="A66" s="189" t="str">
        <f>IFERROR(VLOOKUP(L66,'Base dados Exercicios'!$C$4:$J$305,3,FALSE),"")</f>
        <v/>
      </c>
      <c r="B66" s="190" t="str">
        <f>IFERROR(VLOOKUP(L66,'Base dados Exercicios'!$C$4:$J$305,4,FALSE),"")</f>
        <v/>
      </c>
      <c r="C66" s="191" t="str">
        <f>IFERROR(VLOOKUP(L66,'Base dados Exercicios'!$C$4:$J$305,5,FALSE),"")</f>
        <v/>
      </c>
      <c r="D66" s="191" t="str">
        <f>IFERROR(VLOOKUP(L66,'Base dados Exercicios'!$C$4:$J$305,6,FALSE),"")</f>
        <v/>
      </c>
      <c r="E66" s="191" t="str">
        <f>IFERROR(VLOOKUP(L66,'Base dados Exercicios'!$C$4:$J$305,7,FALSE),"")</f>
        <v/>
      </c>
      <c r="F66" s="192" t="str">
        <f>IFERROR(VLOOKUP(L66,'Base dados Exercicios'!$C$4:$J$305,8,FALSE),"")</f>
        <v/>
      </c>
      <c r="K66" s="436"/>
      <c r="L66" s="194"/>
      <c r="M66" s="179" t="str">
        <f>IF(L66&lt;&gt;"", HYPERLINK(VLOOKUP(L66,'Base dados Exercicios'!$C$4:$D$83,2,FALSE),"Check"),"")</f>
        <v/>
      </c>
      <c r="N66" s="195"/>
      <c r="O66" s="196"/>
      <c r="P66" s="197"/>
      <c r="Q66" s="183"/>
      <c r="R66" s="184"/>
      <c r="S66" s="185"/>
      <c r="T66" s="183"/>
      <c r="U66" s="184"/>
      <c r="V66" s="185"/>
      <c r="W66" s="183"/>
      <c r="X66" s="184"/>
      <c r="Y66" s="185"/>
      <c r="Z66" s="183"/>
      <c r="AA66" s="184"/>
      <c r="AB66" s="185"/>
      <c r="AC66" s="186"/>
      <c r="AD66" s="187">
        <f t="shared" si="91"/>
        <v>0</v>
      </c>
      <c r="AE66" s="183"/>
      <c r="AF66" s="184"/>
      <c r="AG66" s="185"/>
      <c r="AH66" s="183"/>
      <c r="AI66" s="184"/>
      <c r="AJ66" s="185"/>
      <c r="AK66" s="183"/>
      <c r="AL66" s="184"/>
      <c r="AM66" s="185"/>
      <c r="AN66" s="183"/>
      <c r="AO66" s="184"/>
      <c r="AP66" s="185"/>
      <c r="AQ66" s="186"/>
      <c r="AR66" s="188">
        <f t="shared" si="92"/>
        <v>0</v>
      </c>
      <c r="AS66" s="187">
        <f t="shared" si="93"/>
        <v>0</v>
      </c>
      <c r="AT66" s="183"/>
      <c r="AU66" s="184"/>
      <c r="AV66" s="185"/>
      <c r="AW66" s="183"/>
      <c r="AX66" s="184"/>
      <c r="AY66" s="185"/>
      <c r="AZ66" s="183"/>
      <c r="BA66" s="184"/>
      <c r="BB66" s="185"/>
      <c r="BC66" s="183"/>
      <c r="BD66" s="184"/>
      <c r="BE66" s="185"/>
      <c r="BF66" s="186"/>
      <c r="BG66" s="188">
        <f t="shared" si="94"/>
        <v>0</v>
      </c>
      <c r="BH66" s="187">
        <f t="shared" si="95"/>
        <v>0</v>
      </c>
      <c r="BI66" s="183"/>
      <c r="BJ66" s="184"/>
      <c r="BK66" s="185"/>
      <c r="BL66" s="183"/>
      <c r="BM66" s="184"/>
      <c r="BN66" s="185"/>
      <c r="BO66" s="183"/>
      <c r="BP66" s="184"/>
      <c r="BQ66" s="185"/>
      <c r="BR66" s="183"/>
      <c r="BS66" s="184"/>
      <c r="BT66" s="185"/>
      <c r="BU66" s="186"/>
      <c r="BV66" s="188">
        <f t="shared" si="96"/>
        <v>0</v>
      </c>
      <c r="BW66" s="187">
        <f t="shared" si="97"/>
        <v>0</v>
      </c>
      <c r="BX66" s="183"/>
      <c r="BY66" s="184"/>
      <c r="BZ66" s="185"/>
      <c r="CA66" s="183"/>
      <c r="CB66" s="184"/>
      <c r="CC66" s="185"/>
      <c r="CD66" s="183"/>
      <c r="CE66" s="184"/>
      <c r="CF66" s="185"/>
      <c r="CG66" s="183"/>
      <c r="CH66" s="184"/>
      <c r="CI66" s="185"/>
      <c r="CJ66" s="186"/>
      <c r="CK66" s="188">
        <f t="shared" si="98"/>
        <v>0</v>
      </c>
      <c r="CL66" s="187">
        <f t="shared" si="99"/>
        <v>0</v>
      </c>
      <c r="CM66" s="183"/>
      <c r="CN66" s="184"/>
      <c r="CO66" s="185"/>
      <c r="CP66" s="183"/>
      <c r="CQ66" s="184"/>
      <c r="CR66" s="185"/>
      <c r="CS66" s="183"/>
      <c r="CT66" s="184"/>
      <c r="CU66" s="185"/>
      <c r="CV66" s="183"/>
      <c r="CW66" s="184"/>
      <c r="CX66" s="185"/>
      <c r="CY66" s="186"/>
      <c r="CZ66" s="188">
        <f t="shared" si="100"/>
        <v>0</v>
      </c>
      <c r="DA66" s="187">
        <f t="shared" si="101"/>
        <v>0</v>
      </c>
      <c r="DB66" s="183"/>
      <c r="DC66" s="184"/>
      <c r="DD66" s="185"/>
      <c r="DE66" s="183"/>
      <c r="DF66" s="184"/>
      <c r="DG66" s="185"/>
      <c r="DH66" s="183"/>
      <c r="DI66" s="184"/>
      <c r="DJ66" s="185"/>
      <c r="DK66" s="183"/>
      <c r="DL66" s="184"/>
      <c r="DM66" s="185"/>
      <c r="DN66" s="186"/>
      <c r="DO66" s="188">
        <f t="shared" si="102"/>
        <v>0</v>
      </c>
      <c r="DP66" s="187">
        <f t="shared" si="103"/>
        <v>0</v>
      </c>
      <c r="DQ66" s="183"/>
      <c r="DR66" s="184"/>
      <c r="DS66" s="185"/>
      <c r="DT66" s="183"/>
      <c r="DU66" s="184"/>
      <c r="DV66" s="185"/>
      <c r="DW66" s="183"/>
      <c r="DX66" s="184"/>
      <c r="DY66" s="185"/>
      <c r="DZ66" s="183"/>
      <c r="EA66" s="184"/>
      <c r="EB66" s="185"/>
      <c r="EC66" s="186"/>
      <c r="ED66" s="188">
        <f t="shared" si="104"/>
        <v>0</v>
      </c>
      <c r="EE66" s="187">
        <f t="shared" si="105"/>
        <v>0</v>
      </c>
    </row>
    <row r="67" spans="1:135" ht="15.75" customHeight="1">
      <c r="A67" s="189" t="str">
        <f>IFERROR(VLOOKUP(L67,'Base dados Exercicios'!$C$4:$J$305,3,FALSE),"")</f>
        <v/>
      </c>
      <c r="B67" s="190" t="str">
        <f>IFERROR(VLOOKUP(L67,'Base dados Exercicios'!$C$4:$J$305,4,FALSE),"")</f>
        <v/>
      </c>
      <c r="C67" s="191" t="str">
        <f>IFERROR(VLOOKUP(L67,'Base dados Exercicios'!$C$4:$J$305,5,FALSE),"")</f>
        <v/>
      </c>
      <c r="D67" s="191" t="str">
        <f>IFERROR(VLOOKUP(L67,'Base dados Exercicios'!$C$4:$J$305,6,FALSE),"")</f>
        <v/>
      </c>
      <c r="E67" s="191" t="str">
        <f>IFERROR(VLOOKUP(L67,'Base dados Exercicios'!$C$4:$J$305,7,FALSE),"")</f>
        <v/>
      </c>
      <c r="F67" s="192" t="str">
        <f>IFERROR(VLOOKUP(L67,'Base dados Exercicios'!$C$4:$J$305,8,FALSE),"")</f>
        <v/>
      </c>
      <c r="K67" s="436"/>
      <c r="L67" s="194"/>
      <c r="M67" s="179" t="str">
        <f>IF(L67&lt;&gt;"", HYPERLINK(VLOOKUP(L67,'Base dados Exercicios'!$C$4:$D$83,2,FALSE),"Check"),"")</f>
        <v/>
      </c>
      <c r="N67" s="195"/>
      <c r="O67" s="196"/>
      <c r="P67" s="197"/>
      <c r="Q67" s="183"/>
      <c r="R67" s="184"/>
      <c r="S67" s="185"/>
      <c r="T67" s="183"/>
      <c r="U67" s="184"/>
      <c r="V67" s="185"/>
      <c r="W67" s="183"/>
      <c r="X67" s="184"/>
      <c r="Y67" s="185"/>
      <c r="Z67" s="183"/>
      <c r="AA67" s="184"/>
      <c r="AB67" s="185"/>
      <c r="AC67" s="186"/>
      <c r="AD67" s="187">
        <f t="shared" si="91"/>
        <v>0</v>
      </c>
      <c r="AE67" s="183"/>
      <c r="AF67" s="184"/>
      <c r="AG67" s="185"/>
      <c r="AH67" s="183"/>
      <c r="AI67" s="184"/>
      <c r="AJ67" s="185"/>
      <c r="AK67" s="183"/>
      <c r="AL67" s="184"/>
      <c r="AM67" s="185"/>
      <c r="AN67" s="183"/>
      <c r="AO67" s="184"/>
      <c r="AP67" s="185"/>
      <c r="AQ67" s="186"/>
      <c r="AR67" s="188">
        <f t="shared" si="92"/>
        <v>0</v>
      </c>
      <c r="AS67" s="187">
        <f t="shared" si="93"/>
        <v>0</v>
      </c>
      <c r="AT67" s="183"/>
      <c r="AU67" s="184"/>
      <c r="AV67" s="185"/>
      <c r="AW67" s="183"/>
      <c r="AX67" s="184"/>
      <c r="AY67" s="185"/>
      <c r="AZ67" s="183"/>
      <c r="BA67" s="184"/>
      <c r="BB67" s="185"/>
      <c r="BC67" s="183"/>
      <c r="BD67" s="184"/>
      <c r="BE67" s="185"/>
      <c r="BF67" s="186"/>
      <c r="BG67" s="188">
        <f t="shared" si="94"/>
        <v>0</v>
      </c>
      <c r="BH67" s="187">
        <f t="shared" si="95"/>
        <v>0</v>
      </c>
      <c r="BI67" s="183"/>
      <c r="BJ67" s="184"/>
      <c r="BK67" s="185"/>
      <c r="BL67" s="183"/>
      <c r="BM67" s="184"/>
      <c r="BN67" s="185"/>
      <c r="BO67" s="183"/>
      <c r="BP67" s="184"/>
      <c r="BQ67" s="185"/>
      <c r="BR67" s="183"/>
      <c r="BS67" s="184"/>
      <c r="BT67" s="185"/>
      <c r="BU67" s="186"/>
      <c r="BV67" s="188">
        <f t="shared" si="96"/>
        <v>0</v>
      </c>
      <c r="BW67" s="187">
        <f t="shared" si="97"/>
        <v>0</v>
      </c>
      <c r="BX67" s="183"/>
      <c r="BY67" s="184"/>
      <c r="BZ67" s="185"/>
      <c r="CA67" s="183"/>
      <c r="CB67" s="184"/>
      <c r="CC67" s="185"/>
      <c r="CD67" s="183"/>
      <c r="CE67" s="184"/>
      <c r="CF67" s="185"/>
      <c r="CG67" s="183"/>
      <c r="CH67" s="184"/>
      <c r="CI67" s="185"/>
      <c r="CJ67" s="186"/>
      <c r="CK67" s="188">
        <f t="shared" si="98"/>
        <v>0</v>
      </c>
      <c r="CL67" s="187">
        <f t="shared" si="99"/>
        <v>0</v>
      </c>
      <c r="CM67" s="183"/>
      <c r="CN67" s="184"/>
      <c r="CO67" s="185"/>
      <c r="CP67" s="183"/>
      <c r="CQ67" s="184"/>
      <c r="CR67" s="185"/>
      <c r="CS67" s="183"/>
      <c r="CT67" s="184"/>
      <c r="CU67" s="185"/>
      <c r="CV67" s="183"/>
      <c r="CW67" s="184"/>
      <c r="CX67" s="185"/>
      <c r="CY67" s="186"/>
      <c r="CZ67" s="188">
        <f t="shared" si="100"/>
        <v>0</v>
      </c>
      <c r="DA67" s="187">
        <f t="shared" si="101"/>
        <v>0</v>
      </c>
      <c r="DB67" s="183"/>
      <c r="DC67" s="184"/>
      <c r="DD67" s="185"/>
      <c r="DE67" s="183"/>
      <c r="DF67" s="184"/>
      <c r="DG67" s="185"/>
      <c r="DH67" s="183"/>
      <c r="DI67" s="184"/>
      <c r="DJ67" s="185"/>
      <c r="DK67" s="183"/>
      <c r="DL67" s="184"/>
      <c r="DM67" s="185"/>
      <c r="DN67" s="186"/>
      <c r="DO67" s="188">
        <f t="shared" si="102"/>
        <v>0</v>
      </c>
      <c r="DP67" s="187">
        <f t="shared" si="103"/>
        <v>0</v>
      </c>
      <c r="DQ67" s="183"/>
      <c r="DR67" s="184"/>
      <c r="DS67" s="185"/>
      <c r="DT67" s="183"/>
      <c r="DU67" s="184"/>
      <c r="DV67" s="185"/>
      <c r="DW67" s="183"/>
      <c r="DX67" s="184"/>
      <c r="DY67" s="185"/>
      <c r="DZ67" s="183"/>
      <c r="EA67" s="184"/>
      <c r="EB67" s="185"/>
      <c r="EC67" s="186"/>
      <c r="ED67" s="188">
        <f t="shared" si="104"/>
        <v>0</v>
      </c>
      <c r="EE67" s="187">
        <f t="shared" si="105"/>
        <v>0</v>
      </c>
    </row>
    <row r="68" spans="1:135" ht="15.75" customHeight="1">
      <c r="A68" s="189" t="str">
        <f>IFERROR(VLOOKUP(L68,'Base dados Exercicios'!$C$4:$J$305,3,FALSE),"")</f>
        <v/>
      </c>
      <c r="B68" s="190" t="str">
        <f>IFERROR(VLOOKUP(L68,'Base dados Exercicios'!$C$4:$J$305,4,FALSE),"")</f>
        <v/>
      </c>
      <c r="C68" s="191" t="str">
        <f>IFERROR(VLOOKUP(L68,'Base dados Exercicios'!$C$4:$J$305,5,FALSE),"")</f>
        <v/>
      </c>
      <c r="D68" s="191" t="str">
        <f>IFERROR(VLOOKUP(L68,'Base dados Exercicios'!$C$4:$J$305,6,FALSE),"")</f>
        <v/>
      </c>
      <c r="E68" s="191" t="str">
        <f>IFERROR(VLOOKUP(L68,'Base dados Exercicios'!$C$4:$J$305,7,FALSE),"")</f>
        <v/>
      </c>
      <c r="F68" s="192" t="str">
        <f>IFERROR(VLOOKUP(L68,'Base dados Exercicios'!$C$4:$J$305,8,FALSE),"")</f>
        <v/>
      </c>
      <c r="K68" s="436"/>
      <c r="L68" s="194"/>
      <c r="M68" s="179" t="str">
        <f>IF(L68&lt;&gt;"", HYPERLINK(VLOOKUP(L68,'Base dados Exercicios'!$C$4:$D$83,2,FALSE),"Check"),"")</f>
        <v/>
      </c>
      <c r="N68" s="195"/>
      <c r="O68" s="196"/>
      <c r="P68" s="197"/>
      <c r="Q68" s="183"/>
      <c r="R68" s="184"/>
      <c r="S68" s="185"/>
      <c r="T68" s="183"/>
      <c r="U68" s="184"/>
      <c r="V68" s="185"/>
      <c r="W68" s="183"/>
      <c r="X68" s="184"/>
      <c r="Y68" s="185"/>
      <c r="Z68" s="183"/>
      <c r="AA68" s="184"/>
      <c r="AB68" s="185"/>
      <c r="AC68" s="186"/>
      <c r="AD68" s="187">
        <f t="shared" si="91"/>
        <v>0</v>
      </c>
      <c r="AE68" s="183"/>
      <c r="AF68" s="184"/>
      <c r="AG68" s="185"/>
      <c r="AH68" s="183"/>
      <c r="AI68" s="184"/>
      <c r="AJ68" s="185"/>
      <c r="AK68" s="183"/>
      <c r="AL68" s="184"/>
      <c r="AM68" s="185"/>
      <c r="AN68" s="183"/>
      <c r="AO68" s="184"/>
      <c r="AP68" s="185"/>
      <c r="AQ68" s="186"/>
      <c r="AR68" s="188">
        <f t="shared" si="92"/>
        <v>0</v>
      </c>
      <c r="AS68" s="187">
        <f t="shared" si="93"/>
        <v>0</v>
      </c>
      <c r="AT68" s="183"/>
      <c r="AU68" s="184"/>
      <c r="AV68" s="185"/>
      <c r="AW68" s="183"/>
      <c r="AX68" s="184"/>
      <c r="AY68" s="185"/>
      <c r="AZ68" s="183"/>
      <c r="BA68" s="184"/>
      <c r="BB68" s="185"/>
      <c r="BC68" s="183"/>
      <c r="BD68" s="184"/>
      <c r="BE68" s="185"/>
      <c r="BF68" s="186"/>
      <c r="BG68" s="188">
        <f t="shared" si="94"/>
        <v>0</v>
      </c>
      <c r="BH68" s="187">
        <f t="shared" si="95"/>
        <v>0</v>
      </c>
      <c r="BI68" s="183"/>
      <c r="BJ68" s="184"/>
      <c r="BK68" s="185"/>
      <c r="BL68" s="183"/>
      <c r="BM68" s="184"/>
      <c r="BN68" s="185"/>
      <c r="BO68" s="183"/>
      <c r="BP68" s="184"/>
      <c r="BQ68" s="185"/>
      <c r="BR68" s="183"/>
      <c r="BS68" s="184"/>
      <c r="BT68" s="185"/>
      <c r="BU68" s="186"/>
      <c r="BV68" s="188">
        <f t="shared" si="96"/>
        <v>0</v>
      </c>
      <c r="BW68" s="187">
        <f t="shared" si="97"/>
        <v>0</v>
      </c>
      <c r="BX68" s="183"/>
      <c r="BY68" s="184"/>
      <c r="BZ68" s="185"/>
      <c r="CA68" s="183"/>
      <c r="CB68" s="184"/>
      <c r="CC68" s="185"/>
      <c r="CD68" s="183"/>
      <c r="CE68" s="184"/>
      <c r="CF68" s="185"/>
      <c r="CG68" s="183"/>
      <c r="CH68" s="184"/>
      <c r="CI68" s="185"/>
      <c r="CJ68" s="186"/>
      <c r="CK68" s="188">
        <f t="shared" si="98"/>
        <v>0</v>
      </c>
      <c r="CL68" s="187">
        <f t="shared" si="99"/>
        <v>0</v>
      </c>
      <c r="CM68" s="183"/>
      <c r="CN68" s="184"/>
      <c r="CO68" s="185"/>
      <c r="CP68" s="183"/>
      <c r="CQ68" s="184"/>
      <c r="CR68" s="185"/>
      <c r="CS68" s="183"/>
      <c r="CT68" s="184"/>
      <c r="CU68" s="185"/>
      <c r="CV68" s="183"/>
      <c r="CW68" s="184"/>
      <c r="CX68" s="185"/>
      <c r="CY68" s="186"/>
      <c r="CZ68" s="188">
        <f t="shared" si="100"/>
        <v>0</v>
      </c>
      <c r="DA68" s="187">
        <f t="shared" si="101"/>
        <v>0</v>
      </c>
      <c r="DB68" s="183"/>
      <c r="DC68" s="184"/>
      <c r="DD68" s="185"/>
      <c r="DE68" s="183"/>
      <c r="DF68" s="184"/>
      <c r="DG68" s="185"/>
      <c r="DH68" s="183"/>
      <c r="DI68" s="184"/>
      <c r="DJ68" s="185"/>
      <c r="DK68" s="183"/>
      <c r="DL68" s="184"/>
      <c r="DM68" s="185"/>
      <c r="DN68" s="186"/>
      <c r="DO68" s="188">
        <f t="shared" si="102"/>
        <v>0</v>
      </c>
      <c r="DP68" s="187">
        <f t="shared" si="103"/>
        <v>0</v>
      </c>
      <c r="DQ68" s="183"/>
      <c r="DR68" s="184"/>
      <c r="DS68" s="185"/>
      <c r="DT68" s="183"/>
      <c r="DU68" s="184"/>
      <c r="DV68" s="185"/>
      <c r="DW68" s="183"/>
      <c r="DX68" s="184"/>
      <c r="DY68" s="185"/>
      <c r="DZ68" s="183"/>
      <c r="EA68" s="184"/>
      <c r="EB68" s="185"/>
      <c r="EC68" s="186"/>
      <c r="ED68" s="188">
        <f t="shared" si="104"/>
        <v>0</v>
      </c>
      <c r="EE68" s="187">
        <f t="shared" si="105"/>
        <v>0</v>
      </c>
    </row>
    <row r="69" spans="1:135" ht="15.75" customHeight="1">
      <c r="A69" s="189" t="str">
        <f>IFERROR(VLOOKUP(L69,'Base dados Exercicios'!$C$4:$J$305,3,FALSE),"")</f>
        <v/>
      </c>
      <c r="B69" s="190" t="str">
        <f>IFERROR(VLOOKUP(L69,'Base dados Exercicios'!$C$4:$J$305,4,FALSE),"")</f>
        <v/>
      </c>
      <c r="C69" s="191" t="str">
        <f>IFERROR(VLOOKUP(L69,'Base dados Exercicios'!$C$4:$J$305,5,FALSE),"")</f>
        <v/>
      </c>
      <c r="D69" s="191" t="str">
        <f>IFERROR(VLOOKUP(L69,'Base dados Exercicios'!$C$4:$J$305,6,FALSE),"")</f>
        <v/>
      </c>
      <c r="E69" s="191" t="str">
        <f>IFERROR(VLOOKUP(L69,'Base dados Exercicios'!$C$4:$J$305,7,FALSE),"")</f>
        <v/>
      </c>
      <c r="F69" s="192" t="str">
        <f>IFERROR(VLOOKUP(L69,'Base dados Exercicios'!$C$4:$J$305,8,FALSE),"")</f>
        <v/>
      </c>
      <c r="K69" s="436"/>
      <c r="L69" s="194"/>
      <c r="M69" s="179" t="str">
        <f>IF(L69&lt;&gt;"", HYPERLINK(VLOOKUP(L69,'Base dados Exercicios'!$C$4:$D$83,2,FALSE),"Check"),"")</f>
        <v/>
      </c>
      <c r="N69" s="195"/>
      <c r="O69" s="196"/>
      <c r="P69" s="197"/>
      <c r="Q69" s="183"/>
      <c r="R69" s="184"/>
      <c r="S69" s="185"/>
      <c r="T69" s="183"/>
      <c r="U69" s="184"/>
      <c r="V69" s="185"/>
      <c r="W69" s="183"/>
      <c r="X69" s="184"/>
      <c r="Y69" s="185"/>
      <c r="Z69" s="183"/>
      <c r="AA69" s="184"/>
      <c r="AB69" s="185"/>
      <c r="AC69" s="186"/>
      <c r="AD69" s="187">
        <f t="shared" si="91"/>
        <v>0</v>
      </c>
      <c r="AE69" s="183"/>
      <c r="AF69" s="184"/>
      <c r="AG69" s="185"/>
      <c r="AH69" s="183"/>
      <c r="AI69" s="184"/>
      <c r="AJ69" s="185"/>
      <c r="AK69" s="183"/>
      <c r="AL69" s="184"/>
      <c r="AM69" s="185"/>
      <c r="AN69" s="183"/>
      <c r="AO69" s="184"/>
      <c r="AP69" s="185"/>
      <c r="AQ69" s="186"/>
      <c r="AR69" s="188">
        <f t="shared" si="92"/>
        <v>0</v>
      </c>
      <c r="AS69" s="187">
        <f t="shared" si="93"/>
        <v>0</v>
      </c>
      <c r="AT69" s="183"/>
      <c r="AU69" s="184"/>
      <c r="AV69" s="185"/>
      <c r="AW69" s="183"/>
      <c r="AX69" s="184"/>
      <c r="AY69" s="185"/>
      <c r="AZ69" s="183"/>
      <c r="BA69" s="184"/>
      <c r="BB69" s="185"/>
      <c r="BC69" s="183"/>
      <c r="BD69" s="184"/>
      <c r="BE69" s="185"/>
      <c r="BF69" s="186"/>
      <c r="BG69" s="188">
        <f t="shared" si="94"/>
        <v>0</v>
      </c>
      <c r="BH69" s="187">
        <f t="shared" si="95"/>
        <v>0</v>
      </c>
      <c r="BI69" s="183"/>
      <c r="BJ69" s="184"/>
      <c r="BK69" s="185"/>
      <c r="BL69" s="183"/>
      <c r="BM69" s="184"/>
      <c r="BN69" s="185"/>
      <c r="BO69" s="183"/>
      <c r="BP69" s="184"/>
      <c r="BQ69" s="185"/>
      <c r="BR69" s="183"/>
      <c r="BS69" s="184"/>
      <c r="BT69" s="185"/>
      <c r="BU69" s="186"/>
      <c r="BV69" s="188">
        <f t="shared" si="96"/>
        <v>0</v>
      </c>
      <c r="BW69" s="187">
        <f t="shared" si="97"/>
        <v>0</v>
      </c>
      <c r="BX69" s="183"/>
      <c r="BY69" s="184"/>
      <c r="BZ69" s="185"/>
      <c r="CA69" s="183"/>
      <c r="CB69" s="184"/>
      <c r="CC69" s="185"/>
      <c r="CD69" s="183"/>
      <c r="CE69" s="184"/>
      <c r="CF69" s="185"/>
      <c r="CG69" s="183"/>
      <c r="CH69" s="184"/>
      <c r="CI69" s="185"/>
      <c r="CJ69" s="186"/>
      <c r="CK69" s="188">
        <f t="shared" si="98"/>
        <v>0</v>
      </c>
      <c r="CL69" s="187">
        <f t="shared" si="99"/>
        <v>0</v>
      </c>
      <c r="CM69" s="183"/>
      <c r="CN69" s="184"/>
      <c r="CO69" s="185"/>
      <c r="CP69" s="183"/>
      <c r="CQ69" s="184"/>
      <c r="CR69" s="185"/>
      <c r="CS69" s="183"/>
      <c r="CT69" s="184"/>
      <c r="CU69" s="185"/>
      <c r="CV69" s="183"/>
      <c r="CW69" s="184"/>
      <c r="CX69" s="185"/>
      <c r="CY69" s="186"/>
      <c r="CZ69" s="188">
        <f t="shared" si="100"/>
        <v>0</v>
      </c>
      <c r="DA69" s="187">
        <f t="shared" si="101"/>
        <v>0</v>
      </c>
      <c r="DB69" s="183"/>
      <c r="DC69" s="184"/>
      <c r="DD69" s="185"/>
      <c r="DE69" s="183"/>
      <c r="DF69" s="184"/>
      <c r="DG69" s="185"/>
      <c r="DH69" s="183"/>
      <c r="DI69" s="184"/>
      <c r="DJ69" s="185"/>
      <c r="DK69" s="183"/>
      <c r="DL69" s="184"/>
      <c r="DM69" s="185"/>
      <c r="DN69" s="186"/>
      <c r="DO69" s="188">
        <f t="shared" si="102"/>
        <v>0</v>
      </c>
      <c r="DP69" s="187">
        <f t="shared" si="103"/>
        <v>0</v>
      </c>
      <c r="DQ69" s="183"/>
      <c r="DR69" s="184"/>
      <c r="DS69" s="185"/>
      <c r="DT69" s="183"/>
      <c r="DU69" s="184"/>
      <c r="DV69" s="185"/>
      <c r="DW69" s="183"/>
      <c r="DX69" s="184"/>
      <c r="DY69" s="185"/>
      <c r="DZ69" s="183"/>
      <c r="EA69" s="184"/>
      <c r="EB69" s="185"/>
      <c r="EC69" s="186"/>
      <c r="ED69" s="188">
        <f t="shared" si="104"/>
        <v>0</v>
      </c>
      <c r="EE69" s="187">
        <f t="shared" si="105"/>
        <v>0</v>
      </c>
    </row>
    <row r="70" spans="1:135" ht="15.75" customHeight="1">
      <c r="A70" s="189" t="str">
        <f>IFERROR(VLOOKUP(L70,'Base dados Exercicios'!$C$4:$J$305,3,FALSE),"")</f>
        <v/>
      </c>
      <c r="B70" s="190" t="str">
        <f>IFERROR(VLOOKUP(L70,'Base dados Exercicios'!$C$4:$J$305,4,FALSE),"")</f>
        <v/>
      </c>
      <c r="C70" s="191" t="str">
        <f>IFERROR(VLOOKUP(L70,'Base dados Exercicios'!$C$4:$J$305,5,FALSE),"")</f>
        <v/>
      </c>
      <c r="D70" s="191" t="str">
        <f>IFERROR(VLOOKUP(L70,'Base dados Exercicios'!$C$4:$J$305,6,FALSE),"")</f>
        <v/>
      </c>
      <c r="E70" s="191" t="str">
        <f>IFERROR(VLOOKUP(L70,'Base dados Exercicios'!$C$4:$J$305,7,FALSE),"")</f>
        <v/>
      </c>
      <c r="F70" s="192" t="str">
        <f>IFERROR(VLOOKUP(L70,'Base dados Exercicios'!$C$4:$J$305,8,FALSE),"")</f>
        <v/>
      </c>
      <c r="K70" s="436"/>
      <c r="L70" s="194"/>
      <c r="M70" s="179" t="str">
        <f>IF(L70&lt;&gt;"", HYPERLINK(VLOOKUP(L70,'Base dados Exercicios'!$C$4:$D$83,2,FALSE),"Check"),"")</f>
        <v/>
      </c>
      <c r="N70" s="195"/>
      <c r="O70" s="196"/>
      <c r="P70" s="197"/>
      <c r="Q70" s="183"/>
      <c r="R70" s="184"/>
      <c r="S70" s="185"/>
      <c r="T70" s="183"/>
      <c r="U70" s="184"/>
      <c r="V70" s="185"/>
      <c r="W70" s="183"/>
      <c r="X70" s="184"/>
      <c r="Y70" s="185"/>
      <c r="Z70" s="183"/>
      <c r="AA70" s="184"/>
      <c r="AB70" s="185"/>
      <c r="AC70" s="186"/>
      <c r="AD70" s="187">
        <f t="shared" si="91"/>
        <v>0</v>
      </c>
      <c r="AE70" s="183"/>
      <c r="AF70" s="184"/>
      <c r="AG70" s="185"/>
      <c r="AH70" s="183"/>
      <c r="AI70" s="184"/>
      <c r="AJ70" s="185"/>
      <c r="AK70" s="183"/>
      <c r="AL70" s="184"/>
      <c r="AM70" s="185"/>
      <c r="AN70" s="183"/>
      <c r="AO70" s="184"/>
      <c r="AP70" s="185"/>
      <c r="AQ70" s="186"/>
      <c r="AR70" s="188">
        <f t="shared" si="92"/>
        <v>0</v>
      </c>
      <c r="AS70" s="187">
        <f t="shared" si="93"/>
        <v>0</v>
      </c>
      <c r="AT70" s="183"/>
      <c r="AU70" s="184"/>
      <c r="AV70" s="185"/>
      <c r="AW70" s="183"/>
      <c r="AX70" s="184"/>
      <c r="AY70" s="185"/>
      <c r="AZ70" s="183"/>
      <c r="BA70" s="184"/>
      <c r="BB70" s="185"/>
      <c r="BC70" s="183"/>
      <c r="BD70" s="184"/>
      <c r="BE70" s="185"/>
      <c r="BF70" s="186"/>
      <c r="BG70" s="188">
        <f t="shared" si="94"/>
        <v>0</v>
      </c>
      <c r="BH70" s="187">
        <f t="shared" si="95"/>
        <v>0</v>
      </c>
      <c r="BI70" s="183"/>
      <c r="BJ70" s="184"/>
      <c r="BK70" s="185"/>
      <c r="BL70" s="183"/>
      <c r="BM70" s="184"/>
      <c r="BN70" s="185"/>
      <c r="BO70" s="183"/>
      <c r="BP70" s="184"/>
      <c r="BQ70" s="185"/>
      <c r="BR70" s="183"/>
      <c r="BS70" s="184"/>
      <c r="BT70" s="185"/>
      <c r="BU70" s="186"/>
      <c r="BV70" s="188">
        <f t="shared" si="96"/>
        <v>0</v>
      </c>
      <c r="BW70" s="187">
        <f t="shared" si="97"/>
        <v>0</v>
      </c>
      <c r="BX70" s="183"/>
      <c r="BY70" s="184"/>
      <c r="BZ70" s="185"/>
      <c r="CA70" s="183"/>
      <c r="CB70" s="184"/>
      <c r="CC70" s="185"/>
      <c r="CD70" s="183"/>
      <c r="CE70" s="184"/>
      <c r="CF70" s="185"/>
      <c r="CG70" s="183"/>
      <c r="CH70" s="184"/>
      <c r="CI70" s="185"/>
      <c r="CJ70" s="186"/>
      <c r="CK70" s="188">
        <f t="shared" si="98"/>
        <v>0</v>
      </c>
      <c r="CL70" s="187">
        <f t="shared" si="99"/>
        <v>0</v>
      </c>
      <c r="CM70" s="183"/>
      <c r="CN70" s="184"/>
      <c r="CO70" s="185"/>
      <c r="CP70" s="183"/>
      <c r="CQ70" s="184"/>
      <c r="CR70" s="185"/>
      <c r="CS70" s="183"/>
      <c r="CT70" s="184"/>
      <c r="CU70" s="185"/>
      <c r="CV70" s="183"/>
      <c r="CW70" s="184"/>
      <c r="CX70" s="185"/>
      <c r="CY70" s="186"/>
      <c r="CZ70" s="188">
        <f t="shared" si="100"/>
        <v>0</v>
      </c>
      <c r="DA70" s="187">
        <f t="shared" si="101"/>
        <v>0</v>
      </c>
      <c r="DB70" s="183"/>
      <c r="DC70" s="184"/>
      <c r="DD70" s="185"/>
      <c r="DE70" s="183"/>
      <c r="DF70" s="184"/>
      <c r="DG70" s="185"/>
      <c r="DH70" s="183"/>
      <c r="DI70" s="184"/>
      <c r="DJ70" s="185"/>
      <c r="DK70" s="183"/>
      <c r="DL70" s="184"/>
      <c r="DM70" s="185"/>
      <c r="DN70" s="186"/>
      <c r="DO70" s="188">
        <f t="shared" si="102"/>
        <v>0</v>
      </c>
      <c r="DP70" s="187">
        <f t="shared" si="103"/>
        <v>0</v>
      </c>
      <c r="DQ70" s="183"/>
      <c r="DR70" s="184"/>
      <c r="DS70" s="185"/>
      <c r="DT70" s="183"/>
      <c r="DU70" s="184"/>
      <c r="DV70" s="185"/>
      <c r="DW70" s="183"/>
      <c r="DX70" s="184"/>
      <c r="DY70" s="185"/>
      <c r="DZ70" s="183"/>
      <c r="EA70" s="184"/>
      <c r="EB70" s="185"/>
      <c r="EC70" s="186"/>
      <c r="ED70" s="188">
        <f t="shared" si="104"/>
        <v>0</v>
      </c>
      <c r="EE70" s="187">
        <f t="shared" si="105"/>
        <v>0</v>
      </c>
    </row>
    <row r="71" spans="1:135" ht="15.75" customHeight="1">
      <c r="A71" s="189" t="str">
        <f>IFERROR(VLOOKUP(L71,'Base dados Exercicios'!$C$4:$J$305,3,FALSE),"")</f>
        <v/>
      </c>
      <c r="B71" s="190" t="str">
        <f>IFERROR(VLOOKUP(L71,'Base dados Exercicios'!$C$4:$J$305,4,FALSE),"")</f>
        <v/>
      </c>
      <c r="C71" s="191" t="str">
        <f>IFERROR(VLOOKUP(L71,'Base dados Exercicios'!$C$4:$J$305,5,FALSE),"")</f>
        <v/>
      </c>
      <c r="D71" s="191" t="str">
        <f>IFERROR(VLOOKUP(L71,'Base dados Exercicios'!$C$4:$J$305,6,FALSE),"")</f>
        <v/>
      </c>
      <c r="E71" s="191" t="str">
        <f>IFERROR(VLOOKUP(L71,'Base dados Exercicios'!$C$4:$J$305,7,FALSE),"")</f>
        <v/>
      </c>
      <c r="F71" s="192" t="str">
        <f>IFERROR(VLOOKUP(L71,'Base dados Exercicios'!$C$4:$J$305,8,FALSE),"")</f>
        <v/>
      </c>
      <c r="K71" s="436"/>
      <c r="L71" s="194"/>
      <c r="M71" s="179" t="str">
        <f>IF(L71&lt;&gt;"", HYPERLINK(VLOOKUP(L71,'Base dados Exercicios'!$C$4:$D$83,2,FALSE),"Check"),"")</f>
        <v/>
      </c>
      <c r="N71" s="195"/>
      <c r="O71" s="196"/>
      <c r="P71" s="197"/>
      <c r="Q71" s="183"/>
      <c r="R71" s="184"/>
      <c r="S71" s="185"/>
      <c r="T71" s="183"/>
      <c r="U71" s="184"/>
      <c r="V71" s="185"/>
      <c r="W71" s="183"/>
      <c r="X71" s="184"/>
      <c r="Y71" s="185"/>
      <c r="Z71" s="183"/>
      <c r="AA71" s="184"/>
      <c r="AB71" s="185"/>
      <c r="AC71" s="186"/>
      <c r="AD71" s="187">
        <f t="shared" si="91"/>
        <v>0</v>
      </c>
      <c r="AE71" s="183"/>
      <c r="AF71" s="184"/>
      <c r="AG71" s="185"/>
      <c r="AH71" s="183"/>
      <c r="AI71" s="184"/>
      <c r="AJ71" s="185"/>
      <c r="AK71" s="183"/>
      <c r="AL71" s="184"/>
      <c r="AM71" s="185"/>
      <c r="AN71" s="183"/>
      <c r="AO71" s="184"/>
      <c r="AP71" s="185"/>
      <c r="AQ71" s="186"/>
      <c r="AR71" s="188">
        <f t="shared" si="92"/>
        <v>0</v>
      </c>
      <c r="AS71" s="187">
        <f t="shared" si="93"/>
        <v>0</v>
      </c>
      <c r="AT71" s="183"/>
      <c r="AU71" s="184"/>
      <c r="AV71" s="185"/>
      <c r="AW71" s="183"/>
      <c r="AX71" s="184"/>
      <c r="AY71" s="185"/>
      <c r="AZ71" s="183"/>
      <c r="BA71" s="184"/>
      <c r="BB71" s="185"/>
      <c r="BC71" s="183"/>
      <c r="BD71" s="184"/>
      <c r="BE71" s="185"/>
      <c r="BF71" s="186"/>
      <c r="BG71" s="188">
        <f t="shared" si="94"/>
        <v>0</v>
      </c>
      <c r="BH71" s="187">
        <f t="shared" si="95"/>
        <v>0</v>
      </c>
      <c r="BI71" s="183"/>
      <c r="BJ71" s="184"/>
      <c r="BK71" s="185"/>
      <c r="BL71" s="183"/>
      <c r="BM71" s="184"/>
      <c r="BN71" s="185"/>
      <c r="BO71" s="183"/>
      <c r="BP71" s="184"/>
      <c r="BQ71" s="185"/>
      <c r="BR71" s="183"/>
      <c r="BS71" s="184"/>
      <c r="BT71" s="185"/>
      <c r="BU71" s="186"/>
      <c r="BV71" s="188">
        <f t="shared" si="96"/>
        <v>0</v>
      </c>
      <c r="BW71" s="187">
        <f t="shared" si="97"/>
        <v>0</v>
      </c>
      <c r="BX71" s="183"/>
      <c r="BY71" s="184"/>
      <c r="BZ71" s="185"/>
      <c r="CA71" s="183"/>
      <c r="CB71" s="184"/>
      <c r="CC71" s="185"/>
      <c r="CD71" s="183"/>
      <c r="CE71" s="184"/>
      <c r="CF71" s="185"/>
      <c r="CG71" s="183"/>
      <c r="CH71" s="184"/>
      <c r="CI71" s="185"/>
      <c r="CJ71" s="186"/>
      <c r="CK71" s="188">
        <f t="shared" si="98"/>
        <v>0</v>
      </c>
      <c r="CL71" s="187">
        <f t="shared" si="99"/>
        <v>0</v>
      </c>
      <c r="CM71" s="183"/>
      <c r="CN71" s="184"/>
      <c r="CO71" s="185"/>
      <c r="CP71" s="183"/>
      <c r="CQ71" s="184"/>
      <c r="CR71" s="185"/>
      <c r="CS71" s="183"/>
      <c r="CT71" s="184"/>
      <c r="CU71" s="185"/>
      <c r="CV71" s="183"/>
      <c r="CW71" s="184"/>
      <c r="CX71" s="185"/>
      <c r="CY71" s="186"/>
      <c r="CZ71" s="188">
        <f t="shared" si="100"/>
        <v>0</v>
      </c>
      <c r="DA71" s="187">
        <f t="shared" si="101"/>
        <v>0</v>
      </c>
      <c r="DB71" s="183"/>
      <c r="DC71" s="184"/>
      <c r="DD71" s="185"/>
      <c r="DE71" s="183"/>
      <c r="DF71" s="184"/>
      <c r="DG71" s="185"/>
      <c r="DH71" s="183"/>
      <c r="DI71" s="184"/>
      <c r="DJ71" s="185"/>
      <c r="DK71" s="183"/>
      <c r="DL71" s="184"/>
      <c r="DM71" s="185"/>
      <c r="DN71" s="186"/>
      <c r="DO71" s="188">
        <f t="shared" si="102"/>
        <v>0</v>
      </c>
      <c r="DP71" s="187">
        <f t="shared" si="103"/>
        <v>0</v>
      </c>
      <c r="DQ71" s="183"/>
      <c r="DR71" s="184"/>
      <c r="DS71" s="185"/>
      <c r="DT71" s="183"/>
      <c r="DU71" s="184"/>
      <c r="DV71" s="185"/>
      <c r="DW71" s="183"/>
      <c r="DX71" s="184"/>
      <c r="DY71" s="185"/>
      <c r="DZ71" s="183"/>
      <c r="EA71" s="184"/>
      <c r="EB71" s="185"/>
      <c r="EC71" s="186"/>
      <c r="ED71" s="188">
        <f t="shared" si="104"/>
        <v>0</v>
      </c>
      <c r="EE71" s="187">
        <f t="shared" si="105"/>
        <v>0</v>
      </c>
    </row>
    <row r="72" spans="1:135" ht="15.75" customHeight="1">
      <c r="A72" s="189" t="str">
        <f>IFERROR(VLOOKUP(L72,'Base dados Exercicios'!$C$4:$J$305,3,FALSE),"")</f>
        <v/>
      </c>
      <c r="B72" s="190" t="str">
        <f>IFERROR(VLOOKUP(L72,'Base dados Exercicios'!$C$4:$J$305,4,FALSE),"")</f>
        <v/>
      </c>
      <c r="C72" s="191" t="str">
        <f>IFERROR(VLOOKUP(L72,'Base dados Exercicios'!$C$4:$J$305,5,FALSE),"")</f>
        <v/>
      </c>
      <c r="D72" s="191" t="str">
        <f>IFERROR(VLOOKUP(L72,'Base dados Exercicios'!$C$4:$J$305,6,FALSE),"")</f>
        <v/>
      </c>
      <c r="E72" s="191" t="str">
        <f>IFERROR(VLOOKUP(L72,'Base dados Exercicios'!$C$4:$J$305,7,FALSE),"")</f>
        <v/>
      </c>
      <c r="F72" s="192" t="str">
        <f>IFERROR(VLOOKUP(L72,'Base dados Exercicios'!$C$4:$J$305,8,FALSE),"")</f>
        <v/>
      </c>
      <c r="K72" s="436"/>
      <c r="L72" s="194"/>
      <c r="M72" s="179" t="str">
        <f>IF(L72&lt;&gt;"", HYPERLINK(VLOOKUP(L72,'Base dados Exercicios'!$C$4:$D$83,2,FALSE),"Check"),"")</f>
        <v/>
      </c>
      <c r="N72" s="195"/>
      <c r="O72" s="196"/>
      <c r="P72" s="197"/>
      <c r="Q72" s="183"/>
      <c r="R72" s="184"/>
      <c r="S72" s="185"/>
      <c r="T72" s="183"/>
      <c r="U72" s="184"/>
      <c r="V72" s="185"/>
      <c r="W72" s="183"/>
      <c r="X72" s="184"/>
      <c r="Y72" s="185"/>
      <c r="Z72" s="183"/>
      <c r="AA72" s="184"/>
      <c r="AB72" s="185"/>
      <c r="AC72" s="186"/>
      <c r="AD72" s="187">
        <f t="shared" si="91"/>
        <v>0</v>
      </c>
      <c r="AE72" s="183"/>
      <c r="AF72" s="184"/>
      <c r="AG72" s="185"/>
      <c r="AH72" s="183"/>
      <c r="AI72" s="184"/>
      <c r="AJ72" s="185"/>
      <c r="AK72" s="183"/>
      <c r="AL72" s="184"/>
      <c r="AM72" s="185"/>
      <c r="AN72" s="183"/>
      <c r="AO72" s="184"/>
      <c r="AP72" s="185"/>
      <c r="AQ72" s="186"/>
      <c r="AR72" s="188">
        <f t="shared" si="92"/>
        <v>0</v>
      </c>
      <c r="AS72" s="187">
        <f t="shared" si="93"/>
        <v>0</v>
      </c>
      <c r="AT72" s="183"/>
      <c r="AU72" s="184"/>
      <c r="AV72" s="185"/>
      <c r="AW72" s="183"/>
      <c r="AX72" s="184"/>
      <c r="AY72" s="185"/>
      <c r="AZ72" s="183"/>
      <c r="BA72" s="184"/>
      <c r="BB72" s="185"/>
      <c r="BC72" s="183"/>
      <c r="BD72" s="184"/>
      <c r="BE72" s="185"/>
      <c r="BF72" s="186"/>
      <c r="BG72" s="188">
        <f t="shared" si="94"/>
        <v>0</v>
      </c>
      <c r="BH72" s="187">
        <f t="shared" si="95"/>
        <v>0</v>
      </c>
      <c r="BI72" s="183"/>
      <c r="BJ72" s="184"/>
      <c r="BK72" s="185"/>
      <c r="BL72" s="183"/>
      <c r="BM72" s="184"/>
      <c r="BN72" s="185"/>
      <c r="BO72" s="183"/>
      <c r="BP72" s="184"/>
      <c r="BQ72" s="185"/>
      <c r="BR72" s="183"/>
      <c r="BS72" s="184"/>
      <c r="BT72" s="185"/>
      <c r="BU72" s="186"/>
      <c r="BV72" s="188">
        <f t="shared" si="96"/>
        <v>0</v>
      </c>
      <c r="BW72" s="187">
        <f t="shared" si="97"/>
        <v>0</v>
      </c>
      <c r="BX72" s="183"/>
      <c r="BY72" s="184"/>
      <c r="BZ72" s="185"/>
      <c r="CA72" s="183"/>
      <c r="CB72" s="184"/>
      <c r="CC72" s="185"/>
      <c r="CD72" s="183"/>
      <c r="CE72" s="184"/>
      <c r="CF72" s="185"/>
      <c r="CG72" s="183"/>
      <c r="CH72" s="184"/>
      <c r="CI72" s="185"/>
      <c r="CJ72" s="186"/>
      <c r="CK72" s="188">
        <f t="shared" si="98"/>
        <v>0</v>
      </c>
      <c r="CL72" s="187">
        <f t="shared" si="99"/>
        <v>0</v>
      </c>
      <c r="CM72" s="183"/>
      <c r="CN72" s="184"/>
      <c r="CO72" s="185"/>
      <c r="CP72" s="183"/>
      <c r="CQ72" s="184"/>
      <c r="CR72" s="185"/>
      <c r="CS72" s="183"/>
      <c r="CT72" s="184"/>
      <c r="CU72" s="185"/>
      <c r="CV72" s="183"/>
      <c r="CW72" s="184"/>
      <c r="CX72" s="185"/>
      <c r="CY72" s="186"/>
      <c r="CZ72" s="188">
        <f t="shared" si="100"/>
        <v>0</v>
      </c>
      <c r="DA72" s="187">
        <f t="shared" si="101"/>
        <v>0</v>
      </c>
      <c r="DB72" s="183"/>
      <c r="DC72" s="184"/>
      <c r="DD72" s="185"/>
      <c r="DE72" s="183"/>
      <c r="DF72" s="184"/>
      <c r="DG72" s="185"/>
      <c r="DH72" s="183"/>
      <c r="DI72" s="184"/>
      <c r="DJ72" s="185"/>
      <c r="DK72" s="183"/>
      <c r="DL72" s="184"/>
      <c r="DM72" s="185"/>
      <c r="DN72" s="186"/>
      <c r="DO72" s="188">
        <f t="shared" si="102"/>
        <v>0</v>
      </c>
      <c r="DP72" s="187">
        <f t="shared" si="103"/>
        <v>0</v>
      </c>
      <c r="DQ72" s="183"/>
      <c r="DR72" s="184"/>
      <c r="DS72" s="185"/>
      <c r="DT72" s="183"/>
      <c r="DU72" s="184"/>
      <c r="DV72" s="185"/>
      <c r="DW72" s="183"/>
      <c r="DX72" s="184"/>
      <c r="DY72" s="185"/>
      <c r="DZ72" s="183"/>
      <c r="EA72" s="184"/>
      <c r="EB72" s="185"/>
      <c r="EC72" s="186"/>
      <c r="ED72" s="188">
        <f t="shared" si="104"/>
        <v>0</v>
      </c>
      <c r="EE72" s="187">
        <f t="shared" si="105"/>
        <v>0</v>
      </c>
    </row>
    <row r="73" spans="1:135" ht="15.75" customHeight="1">
      <c r="A73" s="221" t="str">
        <f>IFERROR(VLOOKUP(L73,'Base dados Exercicios'!$C$4:$J$305,3,FALSE),"")</f>
        <v/>
      </c>
      <c r="B73" s="222" t="str">
        <f>IFERROR(VLOOKUP(L73,'Base dados Exercicios'!$C$4:$J$305,4,FALSE),"")</f>
        <v/>
      </c>
      <c r="C73" s="223" t="str">
        <f>IFERROR(VLOOKUP(L73,'Base dados Exercicios'!$C$4:$J$305,5,FALSE),"")</f>
        <v/>
      </c>
      <c r="D73" s="223" t="str">
        <f>IFERROR(VLOOKUP(L73,'Base dados Exercicios'!$C$4:$J$305,6,FALSE),"")</f>
        <v/>
      </c>
      <c r="E73" s="223" t="str">
        <f>IFERROR(VLOOKUP(L73,'Base dados Exercicios'!$C$4:$J$305,7,FALSE),"")</f>
        <v/>
      </c>
      <c r="F73" s="224" t="str">
        <f>IFERROR(VLOOKUP(L73,'Base dados Exercicios'!$C$4:$J$305,8,FALSE),"")</f>
        <v/>
      </c>
      <c r="K73" s="437"/>
      <c r="L73" s="225"/>
      <c r="M73" s="226" t="str">
        <f>IF(L73&lt;&gt;"", HYPERLINK(VLOOKUP(L73,'Base dados Exercicios'!$C$4:$D$83,2,FALSE),"Check"),"")</f>
        <v/>
      </c>
      <c r="N73" s="202"/>
      <c r="O73" s="203"/>
      <c r="P73" s="204"/>
      <c r="Q73" s="205" t="s">
        <v>154</v>
      </c>
      <c r="R73" s="206"/>
      <c r="S73" s="206"/>
      <c r="T73" s="206"/>
      <c r="U73" s="206"/>
      <c r="V73" s="206"/>
      <c r="W73" s="206"/>
      <c r="X73" s="206"/>
      <c r="Y73" s="206"/>
      <c r="Z73" s="206"/>
      <c r="AA73" s="206"/>
      <c r="AB73" s="206"/>
      <c r="AC73" s="206"/>
      <c r="AD73" s="207"/>
      <c r="AE73" s="205"/>
      <c r="AF73" s="206"/>
      <c r="AG73" s="206"/>
      <c r="AH73" s="206"/>
      <c r="AI73" s="206"/>
      <c r="AJ73" s="206"/>
      <c r="AK73" s="206"/>
      <c r="AL73" s="206"/>
      <c r="AM73" s="206"/>
      <c r="AN73" s="206"/>
      <c r="AO73" s="206"/>
      <c r="AP73" s="206"/>
      <c r="AQ73" s="206"/>
      <c r="AR73" s="206"/>
      <c r="AS73" s="207"/>
      <c r="AT73" s="205"/>
      <c r="AU73" s="206"/>
      <c r="AV73" s="206"/>
      <c r="AW73" s="206"/>
      <c r="AX73" s="206"/>
      <c r="AY73" s="206"/>
      <c r="AZ73" s="206"/>
      <c r="BA73" s="206"/>
      <c r="BB73" s="206"/>
      <c r="BC73" s="206"/>
      <c r="BD73" s="206"/>
      <c r="BE73" s="206"/>
      <c r="BF73" s="206"/>
      <c r="BG73" s="206"/>
      <c r="BH73" s="207"/>
      <c r="BI73" s="205"/>
      <c r="BJ73" s="206"/>
      <c r="BK73" s="206"/>
      <c r="BL73" s="206"/>
      <c r="BM73" s="206"/>
      <c r="BN73" s="206"/>
      <c r="BO73" s="206"/>
      <c r="BP73" s="206"/>
      <c r="BQ73" s="206"/>
      <c r="BR73" s="206"/>
      <c r="BS73" s="206"/>
      <c r="BT73" s="206"/>
      <c r="BU73" s="206"/>
      <c r="BV73" s="206"/>
      <c r="BW73" s="207"/>
      <c r="BX73" s="205"/>
      <c r="BY73" s="206"/>
      <c r="BZ73" s="206"/>
      <c r="CA73" s="206"/>
      <c r="CB73" s="206"/>
      <c r="CC73" s="206"/>
      <c r="CD73" s="206"/>
      <c r="CE73" s="206"/>
      <c r="CF73" s="206"/>
      <c r="CG73" s="206"/>
      <c r="CH73" s="206"/>
      <c r="CI73" s="206"/>
      <c r="CJ73" s="206"/>
      <c r="CK73" s="206"/>
      <c r="CL73" s="207"/>
      <c r="CM73" s="205"/>
      <c r="CN73" s="206"/>
      <c r="CO73" s="206"/>
      <c r="CP73" s="206"/>
      <c r="CQ73" s="206"/>
      <c r="CR73" s="206"/>
      <c r="CS73" s="206"/>
      <c r="CT73" s="206"/>
      <c r="CU73" s="206"/>
      <c r="CV73" s="206"/>
      <c r="CW73" s="206"/>
      <c r="CX73" s="206"/>
      <c r="CY73" s="206"/>
      <c r="CZ73" s="206"/>
      <c r="DA73" s="207"/>
      <c r="DB73" s="205"/>
      <c r="DC73" s="206"/>
      <c r="DD73" s="206"/>
      <c r="DE73" s="206"/>
      <c r="DF73" s="206"/>
      <c r="DG73" s="206"/>
      <c r="DH73" s="206"/>
      <c r="DI73" s="206"/>
      <c r="DJ73" s="206"/>
      <c r="DK73" s="206"/>
      <c r="DL73" s="206"/>
      <c r="DM73" s="206"/>
      <c r="DN73" s="206"/>
      <c r="DO73" s="206"/>
      <c r="DP73" s="207"/>
      <c r="DQ73" s="205"/>
      <c r="DR73" s="206"/>
      <c r="DS73" s="206"/>
      <c r="DT73" s="206"/>
      <c r="DU73" s="206"/>
      <c r="DV73" s="206"/>
      <c r="DW73" s="206"/>
      <c r="DX73" s="206"/>
      <c r="DY73" s="206"/>
      <c r="DZ73" s="206"/>
      <c r="EA73" s="206"/>
      <c r="EB73" s="206"/>
      <c r="EC73" s="206"/>
      <c r="ED73" s="206"/>
      <c r="EE73" s="207"/>
    </row>
    <row r="74" spans="1:135" ht="15.75" customHeight="1">
      <c r="K74" s="227"/>
      <c r="M74" s="228"/>
    </row>
    <row r="75" spans="1:135" ht="15.75" customHeight="1">
      <c r="M75" s="228"/>
    </row>
    <row r="76" spans="1:135" ht="15.75" customHeight="1">
      <c r="M76" s="228"/>
    </row>
    <row r="77" spans="1:135" ht="15.75" customHeight="1">
      <c r="M77" s="228"/>
    </row>
    <row r="78" spans="1:135" ht="15.75" customHeight="1">
      <c r="M78" s="228"/>
    </row>
    <row r="79" spans="1:135" ht="15.75" customHeight="1">
      <c r="M79" s="228"/>
    </row>
    <row r="80" spans="1:135" ht="15.75" customHeight="1">
      <c r="M80" s="228"/>
    </row>
    <row r="81" spans="13:13" ht="15.75" customHeight="1">
      <c r="M81" s="228"/>
    </row>
    <row r="82" spans="13:13" ht="15.75" customHeight="1">
      <c r="M82" s="228"/>
    </row>
    <row r="83" spans="13:13" ht="15.75" customHeight="1">
      <c r="M83" s="228"/>
    </row>
    <row r="84" spans="13:13" ht="15.75" customHeight="1">
      <c r="M84" s="228"/>
    </row>
    <row r="85" spans="13:13" ht="15.75" customHeight="1">
      <c r="M85" s="228"/>
    </row>
    <row r="86" spans="13:13" ht="15.75" customHeight="1">
      <c r="M86" s="228"/>
    </row>
    <row r="87" spans="13:13" ht="15.75" customHeight="1">
      <c r="M87" s="228"/>
    </row>
    <row r="88" spans="13:13" ht="15.75" customHeight="1">
      <c r="M88" s="228"/>
    </row>
    <row r="89" spans="13:13" ht="15.75" customHeight="1">
      <c r="M89" s="228"/>
    </row>
    <row r="90" spans="13:13" ht="15.75" customHeight="1">
      <c r="M90" s="228"/>
    </row>
    <row r="91" spans="13:13" ht="15.75" customHeight="1">
      <c r="M91" s="228"/>
    </row>
    <row r="92" spans="13:13" ht="15.75" customHeight="1">
      <c r="M92" s="228"/>
    </row>
    <row r="93" spans="13:13" ht="15.75" customHeight="1">
      <c r="M93" s="228"/>
    </row>
    <row r="94" spans="13:13" ht="15.75" customHeight="1">
      <c r="M94" s="228"/>
    </row>
    <row r="95" spans="13:13" ht="15.75" customHeight="1">
      <c r="M95" s="228"/>
    </row>
    <row r="96" spans="13:13" ht="15.75" customHeight="1">
      <c r="M96" s="228"/>
    </row>
    <row r="97" spans="13:13" ht="15.75" customHeight="1">
      <c r="M97" s="228"/>
    </row>
    <row r="98" spans="13:13" ht="15.75" customHeight="1">
      <c r="M98" s="228"/>
    </row>
    <row r="99" spans="13:13" ht="15.75" customHeight="1">
      <c r="M99" s="228"/>
    </row>
    <row r="100" spans="13:13" ht="15.75" customHeight="1">
      <c r="M100" s="228"/>
    </row>
    <row r="101" spans="13:13" ht="15.75" customHeight="1">
      <c r="M101" s="228"/>
    </row>
    <row r="102" spans="13:13" ht="15.75" customHeight="1">
      <c r="M102" s="228"/>
    </row>
    <row r="103" spans="13:13" ht="15.75" customHeight="1">
      <c r="M103" s="228"/>
    </row>
    <row r="104" spans="13:13" ht="15.75" customHeight="1">
      <c r="M104" s="228"/>
    </row>
    <row r="105" spans="13:13" ht="15.75" customHeight="1">
      <c r="M105" s="228"/>
    </row>
    <row r="106" spans="13:13" ht="15.75" customHeight="1">
      <c r="M106" s="228"/>
    </row>
    <row r="107" spans="13:13" ht="15.75" customHeight="1">
      <c r="M107" s="228"/>
    </row>
    <row r="108" spans="13:13" ht="15.75" customHeight="1">
      <c r="M108" s="228"/>
    </row>
    <row r="109" spans="13:13" ht="15.75" customHeight="1">
      <c r="M109" s="228"/>
    </row>
    <row r="110" spans="13:13" ht="15.75" customHeight="1">
      <c r="M110" s="228"/>
    </row>
    <row r="111" spans="13:13" ht="15.75" customHeight="1">
      <c r="M111" s="228"/>
    </row>
    <row r="112" spans="13:13" ht="15.75" customHeight="1">
      <c r="M112" s="228"/>
    </row>
    <row r="113" spans="13:13" ht="15.75" customHeight="1">
      <c r="M113" s="228"/>
    </row>
    <row r="114" spans="13:13" ht="15.75" customHeight="1">
      <c r="M114" s="228"/>
    </row>
    <row r="115" spans="13:13" ht="15.75" customHeight="1">
      <c r="M115" s="228"/>
    </row>
    <row r="116" spans="13:13" ht="15.75" customHeight="1">
      <c r="M116" s="228"/>
    </row>
    <row r="117" spans="13:13" ht="15.75" customHeight="1">
      <c r="M117" s="228"/>
    </row>
    <row r="118" spans="13:13" ht="15.75" customHeight="1">
      <c r="M118" s="228"/>
    </row>
    <row r="119" spans="13:13" ht="15.75" customHeight="1">
      <c r="M119" s="228"/>
    </row>
    <row r="120" spans="13:13" ht="15.75" customHeight="1">
      <c r="M120" s="228"/>
    </row>
    <row r="121" spans="13:13" ht="15.75" customHeight="1">
      <c r="M121" s="228"/>
    </row>
    <row r="122" spans="13:13" ht="15.75" customHeight="1">
      <c r="M122" s="228"/>
    </row>
    <row r="123" spans="13:13" ht="15.75" customHeight="1">
      <c r="M123" s="228"/>
    </row>
    <row r="124" spans="13:13" ht="15.75" customHeight="1">
      <c r="M124" s="228"/>
    </row>
    <row r="125" spans="13:13" ht="15.75" customHeight="1">
      <c r="M125" s="228"/>
    </row>
    <row r="126" spans="13:13" ht="15.75" customHeight="1">
      <c r="M126" s="228"/>
    </row>
    <row r="127" spans="13:13" ht="15.75" customHeight="1">
      <c r="M127" s="228"/>
    </row>
    <row r="128" spans="13:13" ht="15.75" customHeight="1">
      <c r="M128" s="228"/>
    </row>
    <row r="129" spans="13:13" ht="15.75" customHeight="1">
      <c r="M129" s="228"/>
    </row>
    <row r="130" spans="13:13" ht="15.75" customHeight="1">
      <c r="M130" s="228"/>
    </row>
    <row r="131" spans="13:13" ht="15.75" customHeight="1">
      <c r="M131" s="228"/>
    </row>
    <row r="132" spans="13:13" ht="15.75" customHeight="1">
      <c r="M132" s="228"/>
    </row>
    <row r="133" spans="13:13" ht="15.75" customHeight="1">
      <c r="M133" s="228"/>
    </row>
    <row r="134" spans="13:13" ht="15.75" customHeight="1">
      <c r="M134" s="228"/>
    </row>
    <row r="135" spans="13:13" ht="15.75" customHeight="1">
      <c r="M135" s="228"/>
    </row>
    <row r="136" spans="13:13" ht="15.75" customHeight="1">
      <c r="M136" s="228"/>
    </row>
    <row r="137" spans="13:13" ht="15.75" customHeight="1">
      <c r="M137" s="228"/>
    </row>
    <row r="138" spans="13:13" ht="15.75" customHeight="1">
      <c r="M138" s="228"/>
    </row>
    <row r="139" spans="13:13" ht="15.75" customHeight="1">
      <c r="M139" s="228"/>
    </row>
    <row r="140" spans="13:13" ht="15.75" customHeight="1">
      <c r="M140" s="228"/>
    </row>
    <row r="141" spans="13:13" ht="15.75" customHeight="1">
      <c r="M141" s="228"/>
    </row>
    <row r="142" spans="13:13" ht="15.75" customHeight="1">
      <c r="M142" s="228"/>
    </row>
    <row r="143" spans="13:13" ht="15.75" customHeight="1">
      <c r="M143" s="228"/>
    </row>
    <row r="144" spans="13:13" ht="15.75" customHeight="1">
      <c r="M144" s="228"/>
    </row>
    <row r="145" spans="13:13" ht="15.75" customHeight="1">
      <c r="M145" s="228"/>
    </row>
    <row r="146" spans="13:13" ht="15.75" customHeight="1">
      <c r="M146" s="228"/>
    </row>
    <row r="147" spans="13:13" ht="15.75" customHeight="1">
      <c r="M147" s="228"/>
    </row>
    <row r="148" spans="13:13" ht="15.75" customHeight="1">
      <c r="M148" s="228"/>
    </row>
    <row r="149" spans="13:13" ht="15.75" customHeight="1">
      <c r="M149" s="228"/>
    </row>
    <row r="150" spans="13:13" ht="15.75" customHeight="1">
      <c r="M150" s="228"/>
    </row>
    <row r="151" spans="13:13" ht="15.75" customHeight="1">
      <c r="M151" s="228"/>
    </row>
    <row r="152" spans="13:13" ht="15.75" customHeight="1">
      <c r="M152" s="228"/>
    </row>
    <row r="153" spans="13:13" ht="15.75" customHeight="1">
      <c r="M153" s="228"/>
    </row>
    <row r="154" spans="13:13" ht="15.75" customHeight="1">
      <c r="M154" s="228"/>
    </row>
    <row r="155" spans="13:13" ht="15.75" customHeight="1">
      <c r="M155" s="228"/>
    </row>
    <row r="156" spans="13:13" ht="15.75" customHeight="1">
      <c r="M156" s="228"/>
    </row>
    <row r="157" spans="13:13" ht="15.75" customHeight="1">
      <c r="M157" s="228"/>
    </row>
    <row r="158" spans="13:13" ht="15.75" customHeight="1">
      <c r="M158" s="228"/>
    </row>
    <row r="159" spans="13:13" ht="15.75" customHeight="1">
      <c r="M159" s="228"/>
    </row>
    <row r="160" spans="13:13" ht="15.75" customHeight="1">
      <c r="M160" s="228"/>
    </row>
    <row r="161" spans="13:13" ht="15.75" customHeight="1">
      <c r="M161" s="228"/>
    </row>
    <row r="162" spans="13:13" ht="15.75" customHeight="1">
      <c r="M162" s="228"/>
    </row>
    <row r="163" spans="13:13" ht="15.75" customHeight="1">
      <c r="M163" s="228"/>
    </row>
    <row r="164" spans="13:13" ht="15.75" customHeight="1">
      <c r="M164" s="228"/>
    </row>
    <row r="165" spans="13:13" ht="15.75" customHeight="1">
      <c r="M165" s="228"/>
    </row>
    <row r="166" spans="13:13" ht="15.75" customHeight="1">
      <c r="M166" s="228"/>
    </row>
    <row r="167" spans="13:13" ht="15.75" customHeight="1">
      <c r="M167" s="228"/>
    </row>
    <row r="168" spans="13:13" ht="15.75" customHeight="1">
      <c r="M168" s="228"/>
    </row>
    <row r="169" spans="13:13" ht="15.75" customHeight="1">
      <c r="M169" s="228"/>
    </row>
    <row r="170" spans="13:13" ht="15.75" customHeight="1">
      <c r="M170" s="228"/>
    </row>
    <row r="171" spans="13:13" ht="15.75" customHeight="1">
      <c r="M171" s="228"/>
    </row>
    <row r="172" spans="13:13" ht="15.75" customHeight="1">
      <c r="M172" s="228"/>
    </row>
    <row r="173" spans="13:13" ht="15.75" customHeight="1">
      <c r="M173" s="228"/>
    </row>
    <row r="174" spans="13:13" ht="15.75" customHeight="1">
      <c r="M174" s="228"/>
    </row>
    <row r="175" spans="13:13" ht="15.75" customHeight="1">
      <c r="M175" s="228"/>
    </row>
    <row r="176" spans="13:13" ht="15.75" customHeight="1">
      <c r="M176" s="228"/>
    </row>
    <row r="177" spans="13:13" ht="15.75" customHeight="1">
      <c r="M177" s="228"/>
    </row>
    <row r="178" spans="13:13" ht="15.75" customHeight="1">
      <c r="M178" s="228"/>
    </row>
    <row r="179" spans="13:13" ht="15.75" customHeight="1">
      <c r="M179" s="228"/>
    </row>
    <row r="180" spans="13:13" ht="15.75" customHeight="1">
      <c r="M180" s="228"/>
    </row>
    <row r="181" spans="13:13" ht="15.75" customHeight="1">
      <c r="M181" s="228"/>
    </row>
    <row r="182" spans="13:13" ht="15.75" customHeight="1">
      <c r="M182" s="228"/>
    </row>
    <row r="183" spans="13:13" ht="15.75" customHeight="1">
      <c r="M183" s="228"/>
    </row>
    <row r="184" spans="13:13" ht="15.75" customHeight="1">
      <c r="M184" s="228"/>
    </row>
    <row r="185" spans="13:13" ht="15.75" customHeight="1">
      <c r="M185" s="228"/>
    </row>
    <row r="186" spans="13:13" ht="15.75" customHeight="1">
      <c r="M186" s="228"/>
    </row>
    <row r="187" spans="13:13" ht="15.75" customHeight="1">
      <c r="M187" s="228"/>
    </row>
    <row r="188" spans="13:13" ht="15.75" customHeight="1">
      <c r="M188" s="228"/>
    </row>
    <row r="189" spans="13:13" ht="15.75" customHeight="1">
      <c r="M189" s="228"/>
    </row>
    <row r="190" spans="13:13" ht="15.75" customHeight="1">
      <c r="M190" s="228"/>
    </row>
    <row r="191" spans="13:13" ht="15.75" customHeight="1">
      <c r="M191" s="228"/>
    </row>
    <row r="192" spans="13:13" ht="15.75" customHeight="1">
      <c r="M192" s="228"/>
    </row>
    <row r="193" spans="13:13" ht="15.75" customHeight="1">
      <c r="M193" s="228"/>
    </row>
    <row r="194" spans="13:13" ht="15.75" customHeight="1">
      <c r="M194" s="228"/>
    </row>
    <row r="195" spans="13:13" ht="15.75" customHeight="1">
      <c r="M195" s="228"/>
    </row>
    <row r="196" spans="13:13" ht="15.75" customHeight="1">
      <c r="M196" s="228"/>
    </row>
    <row r="197" spans="13:13" ht="15.75" customHeight="1">
      <c r="M197" s="228"/>
    </row>
    <row r="198" spans="13:13" ht="15.75" customHeight="1">
      <c r="M198" s="228"/>
    </row>
    <row r="199" spans="13:13" ht="15.75" customHeight="1">
      <c r="M199" s="228"/>
    </row>
    <row r="200" spans="13:13" ht="15.75" customHeight="1">
      <c r="M200" s="228"/>
    </row>
    <row r="201" spans="13:13" ht="15.75" customHeight="1">
      <c r="M201" s="228"/>
    </row>
    <row r="202" spans="13:13" ht="15.75" customHeight="1">
      <c r="M202" s="228"/>
    </row>
    <row r="203" spans="13:13" ht="15.75" customHeight="1">
      <c r="M203" s="228"/>
    </row>
    <row r="204" spans="13:13" ht="15.75" customHeight="1">
      <c r="M204" s="228"/>
    </row>
    <row r="205" spans="13:13" ht="15.75" customHeight="1">
      <c r="M205" s="228"/>
    </row>
    <row r="206" spans="13:13" ht="15.75" customHeight="1">
      <c r="M206" s="228"/>
    </row>
    <row r="207" spans="13:13" ht="15.75" customHeight="1">
      <c r="M207" s="228"/>
    </row>
    <row r="208" spans="13:13" ht="15.75" customHeight="1">
      <c r="M208" s="228"/>
    </row>
    <row r="209" spans="13:13" ht="15.75" customHeight="1">
      <c r="M209" s="228"/>
    </row>
    <row r="210" spans="13:13" ht="15.75" customHeight="1">
      <c r="M210" s="228"/>
    </row>
    <row r="211" spans="13:13" ht="15.75" customHeight="1">
      <c r="M211" s="228"/>
    </row>
    <row r="212" spans="13:13" ht="15.75" customHeight="1">
      <c r="M212" s="228"/>
    </row>
    <row r="213" spans="13:13" ht="15.75" customHeight="1">
      <c r="M213" s="228"/>
    </row>
    <row r="214" spans="13:13" ht="15.75" customHeight="1">
      <c r="M214" s="228"/>
    </row>
    <row r="215" spans="13:13" ht="15.75" customHeight="1">
      <c r="M215" s="228"/>
    </row>
    <row r="216" spans="13:13" ht="15.75" customHeight="1">
      <c r="M216" s="228"/>
    </row>
    <row r="217" spans="13:13" ht="15.75" customHeight="1">
      <c r="M217" s="228"/>
    </row>
    <row r="218" spans="13:13" ht="15.75" customHeight="1">
      <c r="M218" s="228"/>
    </row>
    <row r="219" spans="13:13" ht="15.75" customHeight="1">
      <c r="M219" s="228"/>
    </row>
    <row r="220" spans="13:13" ht="15.75" customHeight="1">
      <c r="M220" s="228"/>
    </row>
    <row r="221" spans="13:13" ht="15.75" customHeight="1">
      <c r="M221" s="228"/>
    </row>
    <row r="222" spans="13:13" ht="15.75" customHeight="1">
      <c r="M222" s="228"/>
    </row>
    <row r="223" spans="13:13" ht="15.75" customHeight="1">
      <c r="M223" s="228"/>
    </row>
    <row r="224" spans="13:13" ht="15.75" customHeight="1">
      <c r="M224" s="228"/>
    </row>
    <row r="225" spans="13:13" ht="15.75" customHeight="1">
      <c r="M225" s="228"/>
    </row>
    <row r="226" spans="13:13" ht="15.75" customHeight="1">
      <c r="M226" s="228"/>
    </row>
    <row r="227" spans="13:13" ht="15.75" customHeight="1">
      <c r="M227" s="228"/>
    </row>
    <row r="228" spans="13:13" ht="15.75" customHeight="1">
      <c r="M228" s="228"/>
    </row>
    <row r="229" spans="13:13" ht="15.75" customHeight="1">
      <c r="M229" s="228"/>
    </row>
    <row r="230" spans="13:13" ht="15.75" customHeight="1">
      <c r="M230" s="228"/>
    </row>
    <row r="231" spans="13:13" ht="15.75" customHeight="1">
      <c r="M231" s="228"/>
    </row>
    <row r="232" spans="13:13" ht="15.75" customHeight="1">
      <c r="M232" s="228"/>
    </row>
    <row r="233" spans="13:13" ht="15.75" customHeight="1">
      <c r="M233" s="228"/>
    </row>
    <row r="234" spans="13:13" ht="15.75" customHeight="1">
      <c r="M234" s="228"/>
    </row>
    <row r="235" spans="13:13" ht="15.75" customHeight="1">
      <c r="M235" s="228"/>
    </row>
    <row r="236" spans="13:13" ht="15.75" customHeight="1">
      <c r="M236" s="228"/>
    </row>
    <row r="237" spans="13:13" ht="15.75" customHeight="1">
      <c r="M237" s="228"/>
    </row>
    <row r="238" spans="13:13" ht="15.75" customHeight="1">
      <c r="M238" s="228"/>
    </row>
    <row r="239" spans="13:13" ht="15.75" customHeight="1">
      <c r="M239" s="228"/>
    </row>
    <row r="240" spans="13:13" ht="15.75" customHeight="1">
      <c r="M240" s="228"/>
    </row>
    <row r="241" spans="13:13" ht="15.75" customHeight="1">
      <c r="M241" s="228"/>
    </row>
    <row r="242" spans="13:13" ht="15.75" customHeight="1">
      <c r="M242" s="228"/>
    </row>
    <row r="243" spans="13:13" ht="15.75" customHeight="1">
      <c r="M243" s="228"/>
    </row>
    <row r="244" spans="13:13" ht="15.75" customHeight="1">
      <c r="M244" s="228"/>
    </row>
    <row r="245" spans="13:13" ht="15.75" customHeight="1">
      <c r="M245" s="228"/>
    </row>
    <row r="246" spans="13:13" ht="15.75" customHeight="1">
      <c r="M246" s="228"/>
    </row>
    <row r="247" spans="13:13" ht="15.75" customHeight="1">
      <c r="M247" s="228"/>
    </row>
    <row r="248" spans="13:13" ht="15.75" customHeight="1">
      <c r="M248" s="228"/>
    </row>
    <row r="249" spans="13:13" ht="15.75" customHeight="1">
      <c r="M249" s="228"/>
    </row>
    <row r="250" spans="13:13" ht="15.75" customHeight="1">
      <c r="M250" s="228"/>
    </row>
    <row r="251" spans="13:13" ht="15.75" customHeight="1">
      <c r="M251" s="228"/>
    </row>
    <row r="252" spans="13:13" ht="15.75" customHeight="1">
      <c r="M252" s="228"/>
    </row>
    <row r="253" spans="13:13" ht="15.75" customHeight="1">
      <c r="M253" s="228"/>
    </row>
    <row r="254" spans="13:13" ht="15.75" customHeight="1">
      <c r="M254" s="228"/>
    </row>
    <row r="255" spans="13:13" ht="15.75" customHeight="1">
      <c r="M255" s="228"/>
    </row>
    <row r="256" spans="13:13" ht="15.75" customHeight="1">
      <c r="M256" s="228"/>
    </row>
    <row r="257" spans="13:13" ht="15.75" customHeight="1">
      <c r="M257" s="228"/>
    </row>
    <row r="258" spans="13:13" ht="15.75" customHeight="1">
      <c r="M258" s="228"/>
    </row>
    <row r="259" spans="13:13" ht="15.75" customHeight="1">
      <c r="M259" s="228"/>
    </row>
    <row r="260" spans="13:13" ht="15.75" customHeight="1">
      <c r="M260" s="228"/>
    </row>
    <row r="261" spans="13:13" ht="15.75" customHeight="1">
      <c r="M261" s="228"/>
    </row>
    <row r="262" spans="13:13" ht="15.75" customHeight="1">
      <c r="M262" s="228"/>
    </row>
    <row r="263" spans="13:13" ht="15.75" customHeight="1">
      <c r="M263" s="228"/>
    </row>
    <row r="264" spans="13:13" ht="15.75" customHeight="1">
      <c r="M264" s="228"/>
    </row>
    <row r="265" spans="13:13" ht="15.75" customHeight="1">
      <c r="M265" s="228"/>
    </row>
    <row r="266" spans="13:13" ht="15.75" customHeight="1">
      <c r="M266" s="228"/>
    </row>
    <row r="267" spans="13:13" ht="15.75" customHeight="1">
      <c r="M267" s="228"/>
    </row>
    <row r="268" spans="13:13" ht="15.75" customHeight="1">
      <c r="M268" s="228"/>
    </row>
    <row r="269" spans="13:13" ht="15.75" customHeight="1">
      <c r="M269" s="228"/>
    </row>
    <row r="270" spans="13:13" ht="15.75" customHeight="1">
      <c r="M270" s="228"/>
    </row>
    <row r="271" spans="13:13" ht="15.75" customHeight="1">
      <c r="M271" s="228"/>
    </row>
    <row r="272" spans="13:13" ht="15.75" customHeight="1">
      <c r="M272" s="228"/>
    </row>
    <row r="273" spans="13:13" ht="15.75" customHeight="1">
      <c r="M273" s="228"/>
    </row>
    <row r="274" spans="13:13" ht="15.75" customHeight="1"/>
    <row r="275" spans="13:13" ht="15.75" customHeight="1"/>
    <row r="276" spans="13:13" ht="15.75" customHeight="1"/>
    <row r="277" spans="13:13" ht="15.75" customHeight="1"/>
    <row r="278" spans="13:13" ht="15.75" customHeight="1"/>
    <row r="279" spans="13:13" ht="15.75" customHeight="1"/>
    <row r="280" spans="13:13" ht="15.75" customHeight="1"/>
    <row r="281" spans="13:13" ht="15.75" customHeight="1"/>
    <row r="282" spans="13:13" ht="15.75" customHeight="1"/>
    <row r="283" spans="13:13" ht="15.75" customHeight="1"/>
    <row r="284" spans="13:13" ht="15.75" customHeight="1"/>
    <row r="285" spans="13:13" ht="15.75" customHeight="1"/>
    <row r="286" spans="13:13" ht="15.75" customHeight="1"/>
    <row r="287" spans="13:13" ht="15.75" customHeight="1"/>
    <row r="288" spans="13:13"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72">
    <mergeCell ref="K4:K13"/>
    <mergeCell ref="K14:K23"/>
    <mergeCell ref="H18:I19"/>
    <mergeCell ref="H20:I21"/>
    <mergeCell ref="K24:K33"/>
    <mergeCell ref="CK2:CL2"/>
    <mergeCell ref="CN2:CP2"/>
    <mergeCell ref="CQ2:CS2"/>
    <mergeCell ref="CT2:CV2"/>
    <mergeCell ref="BG2:BH2"/>
    <mergeCell ref="BJ2:BL2"/>
    <mergeCell ref="BV2:BW2"/>
    <mergeCell ref="BY2:CA2"/>
    <mergeCell ref="CB2:CD2"/>
    <mergeCell ref="CE2:CG2"/>
    <mergeCell ref="CH2:CJ2"/>
    <mergeCell ref="K44:K53"/>
    <mergeCell ref="K54:K63"/>
    <mergeCell ref="K64:K73"/>
    <mergeCell ref="H31:I31"/>
    <mergeCell ref="H32:I37"/>
    <mergeCell ref="K34:K43"/>
    <mergeCell ref="H38:I40"/>
    <mergeCell ref="H41:I45"/>
    <mergeCell ref="H46:I47"/>
    <mergeCell ref="H48:I49"/>
    <mergeCell ref="DL2:DN2"/>
    <mergeCell ref="DO2:DP2"/>
    <mergeCell ref="DQ2:DQ3"/>
    <mergeCell ref="DB1:DP1"/>
    <mergeCell ref="DQ1:EE1"/>
    <mergeCell ref="DR2:DT2"/>
    <mergeCell ref="DU2:DW2"/>
    <mergeCell ref="DX2:DZ2"/>
    <mergeCell ref="EA2:EC2"/>
    <mergeCell ref="ED2:EE2"/>
    <mergeCell ref="DB2:DB3"/>
    <mergeCell ref="CZ2:DA2"/>
    <mergeCell ref="DC2:DE2"/>
    <mergeCell ref="DF2:DH2"/>
    <mergeCell ref="DI2:DK2"/>
    <mergeCell ref="AT1:BH1"/>
    <mergeCell ref="BI1:BW1"/>
    <mergeCell ref="BX1:CL1"/>
    <mergeCell ref="CM1:DA1"/>
    <mergeCell ref="BA2:BC2"/>
    <mergeCell ref="BD2:BF2"/>
    <mergeCell ref="BI2:BI3"/>
    <mergeCell ref="BX2:BX3"/>
    <mergeCell ref="CM2:CM3"/>
    <mergeCell ref="CW2:CY2"/>
    <mergeCell ref="AT2:AT3"/>
    <mergeCell ref="AU2:AW2"/>
    <mergeCell ref="AX2:AZ2"/>
    <mergeCell ref="BM2:BO2"/>
    <mergeCell ref="BP2:BR2"/>
    <mergeCell ref="BS2:BU2"/>
    <mergeCell ref="AA2:AC2"/>
    <mergeCell ref="AF2:AH2"/>
    <mergeCell ref="H1:P2"/>
    <mergeCell ref="Q1:AD1"/>
    <mergeCell ref="AE1:AS1"/>
    <mergeCell ref="Q2:Q3"/>
    <mergeCell ref="R2:T2"/>
    <mergeCell ref="U2:W2"/>
    <mergeCell ref="X2:Z2"/>
    <mergeCell ref="AD2:AD3"/>
    <mergeCell ref="AE2:AE3"/>
    <mergeCell ref="AI2:AK2"/>
    <mergeCell ref="AL2:AN2"/>
    <mergeCell ref="AO2:AQ2"/>
    <mergeCell ref="AR2:AS2"/>
  </mergeCells>
  <hyperlinks>
    <hyperlink ref="H32" r:id="rId1" xr:uid="{00000000-0004-0000-0300-000000000000}"/>
  </hyperlinks>
  <pageMargins left="0.7" right="0.7" top="0.75" bottom="0.75" header="0" footer="0"/>
  <pageSetup orientation="portrait"/>
  <rowBreaks count="1" manualBreakCount="1">
    <brk id="56" man="1"/>
  </rowBreaks>
  <colBreaks count="1" manualBreakCount="1">
    <brk id="135" man="1"/>
  </colBreaks>
  <extLst>
    <ext xmlns:x14="http://schemas.microsoft.com/office/spreadsheetml/2009/9/main" uri="{CCE6A557-97BC-4b89-ADB6-D9C93CAAB3DF}">
      <x14:dataValidations xmlns:xm="http://schemas.microsoft.com/office/excel/2006/main" count="3">
        <x14:dataValidation type="list" allowBlank="1" xr:uid="{00000000-0002-0000-0300-000000000000}">
          <x14:formula1>
            <xm:f>'Base dados Exercicios'!$C$4:$C$279</xm:f>
          </x14:formula1>
          <xm:sqref>L4:L73</xm:sqref>
        </x14:dataValidation>
        <x14:dataValidation type="list" allowBlank="1" showInputMessage="1" showErrorMessage="1" prompt="Clique e introduza um valor do intervalo." xr:uid="{00000000-0002-0000-0300-000001000000}">
          <x14:formula1>
            <xm:f>'Base dados Exercicios'!$N$4:$N$8</xm:f>
          </x14:formula1>
          <xm:sqref>Q4:Q12 AE4:AE12 AT4:AT12 BI4:BI12 BX4:BX12 CM4:CM12 DB4:DB12 DQ4:DQ12 Q14:Q22 AE14:AE22 AT14:AT22 BI14:BI22 BX14:BX22 CM14:CM22 DB14:DB22 DQ14:DQ22 Q24:Q32 AE24:AE32 AT24:AT32 BI24:BI32 BX24:BX32 CM24:CM32 DB24:DB32 DQ24:DQ32 Q34:Q42 AE34:AE42 AT34:AT42 BI34:BI42 BX34:BX42 CM34:CM42 DB34:DB42 DQ34:DQ42 Q44:Q52 AE44:AE52 AT44:AT52 BI44:BI52 BX44:BX52 CM44:CM52 DB44:DB52 DQ44:DQ52 Q54:Q62 AE54:AE62 AT54:AT62 BI54:BI62 BX54:BX62 CM54:CM62 DB54:DB62 DQ54:DQ62 Q64:Q72 AE64:AE72 AT64:AT72 BI64:BI72 BX64:BX72 CM64:CM72 DB64:DB72 DQ64:DQ72</xm:sqref>
        </x14:dataValidation>
        <x14:dataValidation type="list" allowBlank="1" showInputMessage="1" showErrorMessage="1" prompt="Clique e introduza um valor do intervalo." xr:uid="{00000000-0002-0000-0300-000002000000}">
          <x14:formula1>
            <xm:f>'Base dados Exercicios'!$O$4:$O$8</xm:f>
          </x14:formula1>
          <xm:sqref>T4:T12 W4:W12 Z4:Z12 AC4:AC12 AH4:AH12 AK4:AK12 AN4:AN12 AQ4:AQ12 AW4:AW12 AZ4:AZ12 BC4:BC12 BF4:BF12 BL4:BL12 BO4:BO12 BR4:BR12 BU4:BU12 CA4:CA12 CD4:CD12 CG4:CG12 CJ4:CJ12 CP4:CP12 CS4:CS12 CV4:CV12 CY4:CY12 DE4:DE12 DH4:DH12 DK4:DK12 DN4:DN12 DT4:DT12 DW4:DW12 DZ4:DZ12 EC4:EC12 T14:T22 W14:W22 Z14:Z22 AC14:AC22 AH14:AH22 AK14:AK22 AN14:AN22 AQ14:AQ22 AW14:AW22 AZ14:AZ22 BC14:BC22 BF14:BF22 BL14:BL22 BO14:BO22 BR14:BR22 BU14:BU22 CA14:CA22 CD14:CD22 CG14:CG22 CJ14:CJ22 CP14:CP22 CS14:CS22 CV14:CV22 CY14:CY22 DE14:DE22 DH14:DH22 DK14:DK22 DN14:DN22 DT14:DT22 DW14:DW22 DZ14:DZ22 EC14:EC22 T24:T32 W24:W32 Z24:Z32 AC24:AC32 AH24:AH32 AK24:AK32 AN24:AN32 AQ24:AQ32 AW24:AW32 AZ24:AZ32 BC24:BC32 BF24:BF32 BL24:BL32 BO24:BO32 BR24:BR32 BU24:BU32 CA24:CA32 CD24:CD32 CG24:CG32 CJ24:CJ32 CP24:CP32 CS24:CS32 CV24:CV32 CY24:CY32 DE24:DE32 DH24:DH32 DK24:DK32 DN24:DN32 DT24:DT32 DW24:DW32 DZ24:DZ32 EC24:EC32 T34:T42 W34:W42 Z34:Z42 AC34:AC42 AH34:AH42 AK34:AK42 AN34:AN42 AQ34:AQ42 AW34:AW42 AZ34:AZ42 BC34:BC42 BF34:BF42 BL34:BL42 BO34:BO42 BR34:BR42 BU34:BU42 CA34:CA42 CD34:CD42 CG34:CG42 CJ34:CJ42 CP34:CP42 CS34:CS42 CV34:CV42 CY34:CY42 DE34:DE42 DH34:DH42 DK34:DK42 DN34:DN42 DT34:DT42 DW34:DW42 DZ34:DZ42 EC34:EC42 T44:T52 W44:W52 Z44:Z52 AC44:AC52 AH44:AH52 AK44:AK52 AN44:AN52 AQ44:AQ52 AW44:AW52 AZ44:AZ52 BC44:BC52 BF44:BF52 BL44:BL52 BO44:BO52 BR44:BR52 BU44:BU52 CA44:CA52 CD44:CD52 CG44:CG52 CJ44:CJ52 CP44:CP52 CS44:CS52 CV44:CV52 CY44:CY52 DE44:DE52 DH44:DH52 DK44:DK52 DN44:DN52 DT44:DT52 DW44:DW52 DZ44:DZ52 EC44:EC52 T54:T62 W54:W62 Z54:Z62 AC54:AC62 AH54:AH62 AK54:AK62 AN54:AN62 AQ54:AQ62 AW54:AW62 AZ54:AZ62 BC54:BC62 BF54:BF62 BL54:BL62 BO54:BO62 BR54:BR62 BU54:BU62 CA54:CA62 CD54:CD62 CG54:CG62 CJ54:CJ62 CP54:CP62 CS54:CS62 CV54:CV62 CY54:CY62 DE54:DE62 DH54:DH62 DK54:DK62 DN54:DN62 DT54:DT62 DW54:DW62 DZ54:DZ62 EC54:EC62 T64:T72 W64:W72 Z64:Z72 AC64:AC72 AH64:AH72 AK64:AK72 AN64:AN72 AQ64:AQ72 AW64:AW72 AZ64:AZ72 BC64:BC72 BF64:BF72 BL64:BL72 BO64:BO72 BR64:BR72 BU64:BU72 CA64:CA72 CD64:CD72 CG64:CG72 CJ64:CJ72 CP64:CP72 CS64:CS72 CV64:CV72 CY64:CY72 DE64:DE72 DH64:DH72 DK64:DK72 DN64:DN72 DT64:DT72 DW64:DW72 DZ64:DZ72 EC64:EC72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000"/>
  <sheetViews>
    <sheetView workbookViewId="0"/>
  </sheetViews>
  <sheetFormatPr defaultColWidth="12.6328125" defaultRowHeight="15" customHeight="1"/>
  <cols>
    <col min="1" max="1" width="49.08984375" customWidth="1"/>
    <col min="2" max="2" width="96.7265625" customWidth="1"/>
  </cols>
  <sheetData>
    <row r="1" spans="1:2" ht="15" customHeight="1">
      <c r="A1" s="229" t="s">
        <v>174</v>
      </c>
      <c r="B1" s="230">
        <v>1</v>
      </c>
    </row>
    <row r="2" spans="1:2" ht="15" customHeight="1">
      <c r="A2" s="452" t="s">
        <v>175</v>
      </c>
      <c r="B2" s="361"/>
    </row>
    <row r="3" spans="1:2" ht="15" customHeight="1">
      <c r="A3" s="447" t="s">
        <v>176</v>
      </c>
      <c r="B3" s="450"/>
    </row>
    <row r="4" spans="1:2" ht="15" customHeight="1">
      <c r="A4" s="448"/>
      <c r="B4" s="372"/>
    </row>
    <row r="5" spans="1:2" ht="15" customHeight="1">
      <c r="A5" s="449"/>
      <c r="B5" s="451"/>
    </row>
    <row r="6" spans="1:2" ht="12.5">
      <c r="A6" s="447" t="s">
        <v>177</v>
      </c>
      <c r="B6" s="450"/>
    </row>
    <row r="7" spans="1:2" ht="12.5">
      <c r="A7" s="448"/>
      <c r="B7" s="372"/>
    </row>
    <row r="8" spans="1:2" ht="12.5">
      <c r="A8" s="449"/>
      <c r="B8" s="451"/>
    </row>
    <row r="9" spans="1:2" ht="12.5">
      <c r="A9" s="447" t="s">
        <v>178</v>
      </c>
      <c r="B9" s="450"/>
    </row>
    <row r="10" spans="1:2" ht="12.5">
      <c r="A10" s="448"/>
      <c r="B10" s="372"/>
    </row>
    <row r="11" spans="1:2" ht="12.5">
      <c r="A11" s="449"/>
      <c r="B11" s="451"/>
    </row>
    <row r="12" spans="1:2" ht="12.5">
      <c r="A12" s="447" t="s">
        <v>179</v>
      </c>
      <c r="B12" s="450"/>
    </row>
    <row r="13" spans="1:2" ht="12.5">
      <c r="A13" s="448"/>
      <c r="B13" s="372"/>
    </row>
    <row r="14" spans="1:2" ht="12.5">
      <c r="A14" s="449"/>
      <c r="B14" s="451"/>
    </row>
    <row r="15" spans="1:2" ht="29">
      <c r="A15" s="231" t="s">
        <v>180</v>
      </c>
      <c r="B15" s="232"/>
    </row>
    <row r="16" spans="1:2" ht="26">
      <c r="A16" s="233" t="s">
        <v>174</v>
      </c>
      <c r="B16" s="234">
        <f>1+B1</f>
        <v>2</v>
      </c>
    </row>
    <row r="17" spans="1:2" ht="15.5">
      <c r="A17" s="452" t="s">
        <v>175</v>
      </c>
      <c r="B17" s="361"/>
    </row>
    <row r="18" spans="1:2" ht="12.5">
      <c r="A18" s="447" t="s">
        <v>181</v>
      </c>
      <c r="B18" s="450"/>
    </row>
    <row r="19" spans="1:2" ht="12.5">
      <c r="A19" s="448"/>
      <c r="B19" s="372"/>
    </row>
    <row r="20" spans="1:2" ht="12.5">
      <c r="A20" s="449"/>
      <c r="B20" s="451"/>
    </row>
    <row r="21" spans="1:2" ht="12.5">
      <c r="A21" s="447" t="s">
        <v>182</v>
      </c>
      <c r="B21" s="450"/>
    </row>
    <row r="22" spans="1:2" ht="12.5">
      <c r="A22" s="448"/>
      <c r="B22" s="372"/>
    </row>
    <row r="23" spans="1:2" ht="12.5">
      <c r="A23" s="449"/>
      <c r="B23" s="451"/>
    </row>
    <row r="24" spans="1:2" ht="12.5">
      <c r="A24" s="447" t="s">
        <v>183</v>
      </c>
      <c r="B24" s="450"/>
    </row>
    <row r="25" spans="1:2" ht="12.5">
      <c r="A25" s="448"/>
      <c r="B25" s="372"/>
    </row>
    <row r="26" spans="1:2" ht="12.5">
      <c r="A26" s="449"/>
      <c r="B26" s="451"/>
    </row>
    <row r="27" spans="1:2" ht="12.5">
      <c r="A27" s="447" t="s">
        <v>184</v>
      </c>
      <c r="B27" s="450"/>
    </row>
    <row r="28" spans="1:2" ht="12.5">
      <c r="A28" s="448"/>
      <c r="B28" s="372"/>
    </row>
    <row r="29" spans="1:2" ht="12.5">
      <c r="A29" s="449"/>
      <c r="B29" s="451"/>
    </row>
    <row r="30" spans="1:2" ht="29">
      <c r="A30" s="231" t="s">
        <v>185</v>
      </c>
      <c r="B30" s="232"/>
    </row>
    <row r="31" spans="1:2" ht="26">
      <c r="A31" s="233" t="s">
        <v>174</v>
      </c>
      <c r="B31" s="234">
        <f>1+B16</f>
        <v>3</v>
      </c>
    </row>
    <row r="32" spans="1:2" ht="15.5">
      <c r="A32" s="452" t="s">
        <v>175</v>
      </c>
      <c r="B32" s="361"/>
    </row>
    <row r="33" spans="1:2" ht="12.5">
      <c r="A33" s="447" t="s">
        <v>186</v>
      </c>
      <c r="B33" s="450"/>
    </row>
    <row r="34" spans="1:2" ht="12.5">
      <c r="A34" s="448"/>
      <c r="B34" s="372"/>
    </row>
    <row r="35" spans="1:2" ht="12.5">
      <c r="A35" s="449"/>
      <c r="B35" s="451"/>
    </row>
    <row r="36" spans="1:2" ht="12.5">
      <c r="A36" s="447" t="s">
        <v>187</v>
      </c>
      <c r="B36" s="450"/>
    </row>
    <row r="37" spans="1:2" ht="12.5">
      <c r="A37" s="448"/>
      <c r="B37" s="372"/>
    </row>
    <row r="38" spans="1:2" ht="12.5">
      <c r="A38" s="449"/>
      <c r="B38" s="451"/>
    </row>
    <row r="39" spans="1:2" ht="12.5">
      <c r="A39" s="447" t="s">
        <v>188</v>
      </c>
      <c r="B39" s="450"/>
    </row>
    <row r="40" spans="1:2" ht="12.5">
      <c r="A40" s="448"/>
      <c r="B40" s="372"/>
    </row>
    <row r="41" spans="1:2" ht="12.5">
      <c r="A41" s="449"/>
      <c r="B41" s="451"/>
    </row>
    <row r="42" spans="1:2" ht="12.5">
      <c r="A42" s="447" t="s">
        <v>189</v>
      </c>
      <c r="B42" s="450"/>
    </row>
    <row r="43" spans="1:2" ht="12.5">
      <c r="A43" s="448"/>
      <c r="B43" s="372"/>
    </row>
    <row r="44" spans="1:2" ht="12.5">
      <c r="A44" s="449"/>
      <c r="B44" s="451"/>
    </row>
    <row r="45" spans="1:2" ht="29">
      <c r="A45" s="231" t="s">
        <v>190</v>
      </c>
      <c r="B45" s="232"/>
    </row>
    <row r="46" spans="1:2" ht="26">
      <c r="A46" s="233" t="s">
        <v>174</v>
      </c>
      <c r="B46" s="234">
        <f>1+B31</f>
        <v>4</v>
      </c>
    </row>
    <row r="47" spans="1:2" ht="15.5">
      <c r="A47" s="452" t="s">
        <v>175</v>
      </c>
      <c r="B47" s="361"/>
    </row>
    <row r="48" spans="1:2" ht="12.5">
      <c r="A48" s="447" t="s">
        <v>191</v>
      </c>
      <c r="B48" s="450"/>
    </row>
    <row r="49" spans="1:2" ht="12.5">
      <c r="A49" s="448"/>
      <c r="B49" s="372"/>
    </row>
    <row r="50" spans="1:2" ht="12.5">
      <c r="A50" s="449"/>
      <c r="B50" s="451"/>
    </row>
    <row r="51" spans="1:2" ht="12.5">
      <c r="A51" s="447" t="s">
        <v>192</v>
      </c>
      <c r="B51" s="450"/>
    </row>
    <row r="52" spans="1:2" ht="12.5">
      <c r="A52" s="448"/>
      <c r="B52" s="372"/>
    </row>
    <row r="53" spans="1:2" ht="12.5">
      <c r="A53" s="449"/>
      <c r="B53" s="451"/>
    </row>
    <row r="54" spans="1:2" ht="12.5">
      <c r="A54" s="447" t="s">
        <v>193</v>
      </c>
      <c r="B54" s="450"/>
    </row>
    <row r="55" spans="1:2" ht="12.5">
      <c r="A55" s="448"/>
      <c r="B55" s="372"/>
    </row>
    <row r="56" spans="1:2" ht="12.5">
      <c r="A56" s="449"/>
      <c r="B56" s="451"/>
    </row>
    <row r="57" spans="1:2" ht="12.5">
      <c r="A57" s="447" t="s">
        <v>194</v>
      </c>
      <c r="B57" s="450"/>
    </row>
    <row r="58" spans="1:2" ht="12.5">
      <c r="A58" s="448"/>
      <c r="B58" s="372"/>
    </row>
    <row r="59" spans="1:2" ht="12.5">
      <c r="A59" s="449"/>
      <c r="B59" s="451"/>
    </row>
    <row r="60" spans="1:2" ht="29">
      <c r="A60" s="231" t="s">
        <v>195</v>
      </c>
      <c r="B60" s="232"/>
    </row>
    <row r="61" spans="1:2" ht="26">
      <c r="A61" s="233" t="s">
        <v>174</v>
      </c>
      <c r="B61" s="234">
        <f>1+B46</f>
        <v>5</v>
      </c>
    </row>
    <row r="62" spans="1:2" ht="15.5">
      <c r="A62" s="452" t="s">
        <v>175</v>
      </c>
      <c r="B62" s="361"/>
    </row>
    <row r="63" spans="1:2" ht="12.5">
      <c r="A63" s="447" t="s">
        <v>196</v>
      </c>
      <c r="B63" s="450"/>
    </row>
    <row r="64" spans="1:2" ht="12.5">
      <c r="A64" s="448"/>
      <c r="B64" s="372"/>
    </row>
    <row r="65" spans="1:2" ht="12.5">
      <c r="A65" s="449"/>
      <c r="B65" s="451"/>
    </row>
    <row r="66" spans="1:2" ht="12.5">
      <c r="A66" s="447" t="s">
        <v>197</v>
      </c>
      <c r="B66" s="450"/>
    </row>
    <row r="67" spans="1:2" ht="12.5">
      <c r="A67" s="448"/>
      <c r="B67" s="372"/>
    </row>
    <row r="68" spans="1:2" ht="12.5">
      <c r="A68" s="449"/>
      <c r="B68" s="451"/>
    </row>
    <row r="69" spans="1:2" ht="12.5">
      <c r="A69" s="447" t="s">
        <v>198</v>
      </c>
      <c r="B69" s="450"/>
    </row>
    <row r="70" spans="1:2" ht="12.5">
      <c r="A70" s="448"/>
      <c r="B70" s="372"/>
    </row>
    <row r="71" spans="1:2" ht="12.5">
      <c r="A71" s="449"/>
      <c r="B71" s="451"/>
    </row>
    <row r="72" spans="1:2" ht="12.5">
      <c r="A72" s="447" t="s">
        <v>199</v>
      </c>
      <c r="B72" s="450"/>
    </row>
    <row r="73" spans="1:2" ht="12.5">
      <c r="A73" s="448"/>
      <c r="B73" s="372"/>
    </row>
    <row r="74" spans="1:2" ht="12.5">
      <c r="A74" s="449"/>
      <c r="B74" s="451"/>
    </row>
    <row r="75" spans="1:2" ht="29">
      <c r="A75" s="231" t="s">
        <v>200</v>
      </c>
      <c r="B75" s="232"/>
    </row>
    <row r="76" spans="1:2" ht="26">
      <c r="A76" s="233" t="s">
        <v>174</v>
      </c>
      <c r="B76" s="234">
        <f>1+B61</f>
        <v>6</v>
      </c>
    </row>
    <row r="77" spans="1:2" ht="15.5">
      <c r="A77" s="452" t="s">
        <v>175</v>
      </c>
      <c r="B77" s="361"/>
    </row>
    <row r="78" spans="1:2" ht="12.5">
      <c r="A78" s="447" t="s">
        <v>201</v>
      </c>
      <c r="B78" s="450"/>
    </row>
    <row r="79" spans="1:2" ht="12.5">
      <c r="A79" s="448"/>
      <c r="B79" s="372"/>
    </row>
    <row r="80" spans="1:2" ht="12.5">
      <c r="A80" s="449"/>
      <c r="B80" s="451"/>
    </row>
    <row r="81" spans="1:2" ht="12.5">
      <c r="A81" s="447" t="s">
        <v>202</v>
      </c>
      <c r="B81" s="450"/>
    </row>
    <row r="82" spans="1:2" ht="12.5">
      <c r="A82" s="448"/>
      <c r="B82" s="372"/>
    </row>
    <row r="83" spans="1:2" ht="12.5">
      <c r="A83" s="449"/>
      <c r="B83" s="451"/>
    </row>
    <row r="84" spans="1:2" ht="12.5">
      <c r="A84" s="447" t="s">
        <v>203</v>
      </c>
      <c r="B84" s="450"/>
    </row>
    <row r="85" spans="1:2" ht="12.5">
      <c r="A85" s="448"/>
      <c r="B85" s="372"/>
    </row>
    <row r="86" spans="1:2" ht="12.5">
      <c r="A86" s="449"/>
      <c r="B86" s="451"/>
    </row>
    <row r="87" spans="1:2" ht="12.5">
      <c r="A87" s="447" t="s">
        <v>204</v>
      </c>
      <c r="B87" s="450"/>
    </row>
    <row r="88" spans="1:2" ht="12.5">
      <c r="A88" s="448"/>
      <c r="B88" s="372"/>
    </row>
    <row r="89" spans="1:2" ht="12.5">
      <c r="A89" s="449"/>
      <c r="B89" s="451"/>
    </row>
    <row r="90" spans="1:2" ht="29">
      <c r="A90" s="231" t="s">
        <v>205</v>
      </c>
      <c r="B90" s="232"/>
    </row>
    <row r="91" spans="1:2" ht="26">
      <c r="A91" s="229" t="s">
        <v>174</v>
      </c>
      <c r="B91" s="230">
        <f>1+B76</f>
        <v>7</v>
      </c>
    </row>
    <row r="92" spans="1:2" ht="15.5">
      <c r="A92" s="452" t="s">
        <v>175</v>
      </c>
      <c r="B92" s="361"/>
    </row>
    <row r="93" spans="1:2" ht="12.5">
      <c r="A93" s="447" t="s">
        <v>206</v>
      </c>
      <c r="B93" s="450"/>
    </row>
    <row r="94" spans="1:2" ht="12.5">
      <c r="A94" s="448"/>
      <c r="B94" s="372"/>
    </row>
    <row r="95" spans="1:2" ht="12.5">
      <c r="A95" s="449"/>
      <c r="B95" s="451"/>
    </row>
    <row r="96" spans="1:2" ht="12.5">
      <c r="A96" s="447" t="s">
        <v>207</v>
      </c>
      <c r="B96" s="450"/>
    </row>
    <row r="97" spans="1:2" ht="12.5">
      <c r="A97" s="448"/>
      <c r="B97" s="372"/>
    </row>
    <row r="98" spans="1:2" ht="12.5">
      <c r="A98" s="449"/>
      <c r="B98" s="451"/>
    </row>
    <row r="99" spans="1:2" ht="12.5">
      <c r="A99" s="447" t="s">
        <v>208</v>
      </c>
      <c r="B99" s="450"/>
    </row>
    <row r="100" spans="1:2" ht="12.5">
      <c r="A100" s="448"/>
      <c r="B100" s="372"/>
    </row>
    <row r="101" spans="1:2" ht="12.5">
      <c r="A101" s="449"/>
      <c r="B101" s="451"/>
    </row>
    <row r="102" spans="1:2" ht="12.5">
      <c r="A102" s="447" t="s">
        <v>209</v>
      </c>
      <c r="B102" s="450"/>
    </row>
    <row r="103" spans="1:2" ht="12.5">
      <c r="A103" s="448"/>
      <c r="B103" s="372"/>
    </row>
    <row r="104" spans="1:2" ht="12.5">
      <c r="A104" s="449"/>
      <c r="B104" s="451"/>
    </row>
    <row r="105" spans="1:2" ht="29">
      <c r="A105" s="231" t="s">
        <v>210</v>
      </c>
      <c r="B105" s="232"/>
    </row>
    <row r="106" spans="1:2" ht="26">
      <c r="A106" s="233" t="s">
        <v>174</v>
      </c>
      <c r="B106" s="234">
        <f>1+B91</f>
        <v>8</v>
      </c>
    </row>
    <row r="107" spans="1:2" ht="15.5">
      <c r="A107" s="452" t="s">
        <v>175</v>
      </c>
      <c r="B107" s="361"/>
    </row>
    <row r="108" spans="1:2" ht="12.5">
      <c r="A108" s="447" t="s">
        <v>211</v>
      </c>
      <c r="B108" s="450"/>
    </row>
    <row r="109" spans="1:2" ht="12.5">
      <c r="A109" s="448"/>
      <c r="B109" s="372"/>
    </row>
    <row r="110" spans="1:2" ht="12.5">
      <c r="A110" s="449"/>
      <c r="B110" s="451"/>
    </row>
    <row r="111" spans="1:2" ht="12.5">
      <c r="A111" s="447" t="s">
        <v>212</v>
      </c>
      <c r="B111" s="450"/>
    </row>
    <row r="112" spans="1:2" ht="12.5">
      <c r="A112" s="448"/>
      <c r="B112" s="372"/>
    </row>
    <row r="113" spans="1:2" ht="12.5">
      <c r="A113" s="449"/>
      <c r="B113" s="451"/>
    </row>
    <row r="114" spans="1:2" ht="12.5">
      <c r="A114" s="447" t="s">
        <v>213</v>
      </c>
      <c r="B114" s="450"/>
    </row>
    <row r="115" spans="1:2" ht="12.5">
      <c r="A115" s="448"/>
      <c r="B115" s="372"/>
    </row>
    <row r="116" spans="1:2" ht="12.5">
      <c r="A116" s="449"/>
      <c r="B116" s="451"/>
    </row>
    <row r="117" spans="1:2" ht="12.5">
      <c r="A117" s="447" t="s">
        <v>214</v>
      </c>
      <c r="B117" s="450"/>
    </row>
    <row r="118" spans="1:2" ht="12.5">
      <c r="A118" s="448"/>
      <c r="B118" s="372"/>
    </row>
    <row r="119" spans="1:2" ht="12.5">
      <c r="A119" s="449"/>
      <c r="B119" s="451"/>
    </row>
    <row r="120" spans="1:2" ht="29">
      <c r="A120" s="231" t="s">
        <v>215</v>
      </c>
      <c r="B120" s="232"/>
    </row>
    <row r="121" spans="1:2" ht="14.5">
      <c r="A121" s="6"/>
      <c r="B121" s="6"/>
    </row>
    <row r="122" spans="1:2" ht="14.5">
      <c r="A122" s="6"/>
      <c r="B122" s="6"/>
    </row>
    <row r="123" spans="1:2" ht="14.5">
      <c r="A123" s="6"/>
      <c r="B123" s="6"/>
    </row>
    <row r="124" spans="1:2" ht="14.5">
      <c r="A124" s="6"/>
      <c r="B124" s="6"/>
    </row>
    <row r="125" spans="1:2" ht="14.5">
      <c r="A125" s="6"/>
      <c r="B125" s="6"/>
    </row>
    <row r="126" spans="1:2" ht="14.5">
      <c r="A126" s="6"/>
      <c r="B126" s="6"/>
    </row>
    <row r="127" spans="1:2" ht="14.5">
      <c r="A127" s="6"/>
      <c r="B127" s="6"/>
    </row>
    <row r="128" spans="1:2" ht="14.5">
      <c r="A128" s="6"/>
      <c r="B128" s="6"/>
    </row>
    <row r="129" spans="1:2" ht="14.5">
      <c r="A129" s="6"/>
      <c r="B129" s="6"/>
    </row>
    <row r="130" spans="1:2" ht="14.5">
      <c r="A130" s="6"/>
      <c r="B130" s="6"/>
    </row>
    <row r="131" spans="1:2" ht="14.5">
      <c r="A131" s="6"/>
      <c r="B131" s="6"/>
    </row>
    <row r="132" spans="1:2" ht="14.5">
      <c r="A132" s="6"/>
      <c r="B132" s="6"/>
    </row>
    <row r="133" spans="1:2" ht="14.5">
      <c r="A133" s="6"/>
      <c r="B133" s="6"/>
    </row>
    <row r="134" spans="1:2" ht="14.5">
      <c r="A134" s="6"/>
      <c r="B134" s="6"/>
    </row>
    <row r="135" spans="1:2" ht="14.5">
      <c r="A135" s="6"/>
      <c r="B135" s="6"/>
    </row>
    <row r="136" spans="1:2" ht="14.5">
      <c r="A136" s="6"/>
      <c r="B136" s="6"/>
    </row>
    <row r="137" spans="1:2" ht="14.5">
      <c r="A137" s="6"/>
      <c r="B137" s="6"/>
    </row>
    <row r="138" spans="1:2" ht="14.5">
      <c r="A138" s="6"/>
      <c r="B138" s="6"/>
    </row>
    <row r="139" spans="1:2" ht="14.5">
      <c r="A139" s="6"/>
      <c r="B139" s="6"/>
    </row>
    <row r="140" spans="1:2" ht="14.5">
      <c r="A140" s="6"/>
      <c r="B140" s="6"/>
    </row>
    <row r="141" spans="1:2" ht="14.5">
      <c r="A141" s="6"/>
      <c r="B141" s="6"/>
    </row>
    <row r="142" spans="1:2" ht="14.5">
      <c r="A142" s="6"/>
      <c r="B142" s="6"/>
    </row>
    <row r="143" spans="1:2" ht="14.5">
      <c r="A143" s="6"/>
      <c r="B143" s="6"/>
    </row>
    <row r="144" spans="1:2" ht="14.5">
      <c r="A144" s="6"/>
      <c r="B144" s="6"/>
    </row>
    <row r="145" spans="1:2" ht="14.5">
      <c r="A145" s="6"/>
      <c r="B145" s="6"/>
    </row>
    <row r="146" spans="1:2" ht="14.5">
      <c r="A146" s="6"/>
      <c r="B146" s="6"/>
    </row>
    <row r="147" spans="1:2" ht="14.5">
      <c r="A147" s="6"/>
      <c r="B147" s="6"/>
    </row>
    <row r="148" spans="1:2" ht="14.5">
      <c r="A148" s="6"/>
      <c r="B148" s="6"/>
    </row>
    <row r="149" spans="1:2" ht="14.5">
      <c r="A149" s="6"/>
      <c r="B149" s="6"/>
    </row>
    <row r="150" spans="1:2" ht="14.5">
      <c r="A150" s="6"/>
      <c r="B150" s="6"/>
    </row>
    <row r="151" spans="1:2" ht="14.5">
      <c r="A151" s="6"/>
      <c r="B151" s="6"/>
    </row>
    <row r="152" spans="1:2" ht="14.5">
      <c r="A152" s="6"/>
      <c r="B152" s="6"/>
    </row>
    <row r="153" spans="1:2" ht="14.5">
      <c r="A153" s="6"/>
      <c r="B153" s="6"/>
    </row>
    <row r="154" spans="1:2" ht="14.5">
      <c r="A154" s="6"/>
      <c r="B154" s="6"/>
    </row>
    <row r="155" spans="1:2" ht="14.5">
      <c r="A155" s="6"/>
      <c r="B155" s="6"/>
    </row>
    <row r="156" spans="1:2" ht="14.5">
      <c r="A156" s="6"/>
      <c r="B156" s="6"/>
    </row>
    <row r="157" spans="1:2" ht="14.5">
      <c r="A157" s="6"/>
      <c r="B157" s="6"/>
    </row>
    <row r="158" spans="1:2" ht="14.5">
      <c r="A158" s="6"/>
      <c r="B158" s="6"/>
    </row>
    <row r="159" spans="1:2" ht="14.5">
      <c r="A159" s="6"/>
      <c r="B159" s="6"/>
    </row>
    <row r="160" spans="1:2" ht="14.5">
      <c r="A160" s="6"/>
      <c r="B160" s="6"/>
    </row>
    <row r="161" spans="1:2" ht="14.5">
      <c r="A161" s="6"/>
      <c r="B161" s="6"/>
    </row>
    <row r="162" spans="1:2" ht="14.5">
      <c r="A162" s="6"/>
      <c r="B162" s="6"/>
    </row>
    <row r="163" spans="1:2" ht="14.5">
      <c r="A163" s="6"/>
      <c r="B163" s="6"/>
    </row>
    <row r="164" spans="1:2" ht="14.5">
      <c r="A164" s="6"/>
      <c r="B164" s="6"/>
    </row>
    <row r="165" spans="1:2" ht="14.5">
      <c r="A165" s="6"/>
      <c r="B165" s="6"/>
    </row>
    <row r="166" spans="1:2" ht="14.5">
      <c r="A166" s="6"/>
      <c r="B166" s="6"/>
    </row>
    <row r="167" spans="1:2" ht="14.5">
      <c r="A167" s="6"/>
      <c r="B167" s="6"/>
    </row>
    <row r="168" spans="1:2" ht="14.5">
      <c r="A168" s="6"/>
      <c r="B168" s="6"/>
    </row>
    <row r="169" spans="1:2" ht="14.5">
      <c r="A169" s="6"/>
      <c r="B169" s="6"/>
    </row>
    <row r="170" spans="1:2" ht="14.5">
      <c r="A170" s="6"/>
      <c r="B170" s="6"/>
    </row>
    <row r="171" spans="1:2" ht="14.5">
      <c r="A171" s="6"/>
      <c r="B171" s="6"/>
    </row>
    <row r="172" spans="1:2" ht="14.5">
      <c r="A172" s="6"/>
      <c r="B172" s="6"/>
    </row>
    <row r="173" spans="1:2" ht="14.5">
      <c r="A173" s="6"/>
      <c r="B173" s="6"/>
    </row>
    <row r="174" spans="1:2" ht="14.5">
      <c r="A174" s="6"/>
      <c r="B174" s="6"/>
    </row>
    <row r="175" spans="1:2" ht="14.5">
      <c r="A175" s="6"/>
      <c r="B175" s="6"/>
    </row>
    <row r="176" spans="1:2" ht="14.5">
      <c r="A176" s="6"/>
      <c r="B176" s="6"/>
    </row>
    <row r="177" spans="1:2" ht="14.5">
      <c r="A177" s="6"/>
      <c r="B177" s="6"/>
    </row>
    <row r="178" spans="1:2" ht="14.5">
      <c r="A178" s="6"/>
      <c r="B178" s="6"/>
    </row>
    <row r="179" spans="1:2" ht="14.5">
      <c r="A179" s="6"/>
      <c r="B179" s="6"/>
    </row>
    <row r="180" spans="1:2" ht="14.5">
      <c r="A180" s="6"/>
      <c r="B180" s="6"/>
    </row>
    <row r="181" spans="1:2" ht="14.5">
      <c r="A181" s="6"/>
      <c r="B181" s="6"/>
    </row>
    <row r="182" spans="1:2" ht="14.5">
      <c r="A182" s="6"/>
      <c r="B182" s="6"/>
    </row>
    <row r="183" spans="1:2" ht="14.5">
      <c r="A183" s="6"/>
      <c r="B183" s="6"/>
    </row>
    <row r="184" spans="1:2" ht="14.5">
      <c r="A184" s="6"/>
      <c r="B184" s="6"/>
    </row>
    <row r="185" spans="1:2" ht="14.5">
      <c r="A185" s="6"/>
      <c r="B185" s="6"/>
    </row>
    <row r="186" spans="1:2" ht="14.5">
      <c r="A186" s="6"/>
      <c r="B186" s="6"/>
    </row>
    <row r="187" spans="1:2" ht="14.5">
      <c r="A187" s="6"/>
      <c r="B187" s="6"/>
    </row>
    <row r="188" spans="1:2" ht="14.5">
      <c r="A188" s="6"/>
      <c r="B188" s="6"/>
    </row>
    <row r="189" spans="1:2" ht="14.5">
      <c r="A189" s="6"/>
      <c r="B189" s="6"/>
    </row>
    <row r="190" spans="1:2" ht="14.5">
      <c r="A190" s="6"/>
      <c r="B190" s="6"/>
    </row>
    <row r="191" spans="1:2" ht="14.5">
      <c r="A191" s="6"/>
      <c r="B191" s="6"/>
    </row>
    <row r="192" spans="1:2" ht="14.5">
      <c r="A192" s="6"/>
      <c r="B192" s="6"/>
    </row>
    <row r="193" spans="1:2" ht="14.5">
      <c r="A193" s="6"/>
      <c r="B193" s="6"/>
    </row>
    <row r="194" spans="1:2" ht="14.5">
      <c r="A194" s="6"/>
      <c r="B194" s="6"/>
    </row>
    <row r="195" spans="1:2" ht="14.5">
      <c r="A195" s="6"/>
      <c r="B195" s="6"/>
    </row>
    <row r="196" spans="1:2" ht="14.5">
      <c r="A196" s="6"/>
      <c r="B196" s="6"/>
    </row>
    <row r="197" spans="1:2" ht="14.5">
      <c r="A197" s="6"/>
      <c r="B197" s="6"/>
    </row>
    <row r="198" spans="1:2" ht="14.5">
      <c r="A198" s="6"/>
      <c r="B198" s="6"/>
    </row>
    <row r="199" spans="1:2" ht="14.5">
      <c r="A199" s="6"/>
      <c r="B199" s="6"/>
    </row>
    <row r="200" spans="1:2" ht="14.5">
      <c r="A200" s="6"/>
      <c r="B200" s="6"/>
    </row>
    <row r="201" spans="1:2" ht="14.5">
      <c r="A201" s="6"/>
      <c r="B201" s="6"/>
    </row>
    <row r="202" spans="1:2" ht="14.5">
      <c r="A202" s="6"/>
      <c r="B202" s="6"/>
    </row>
    <row r="203" spans="1:2" ht="14.5">
      <c r="A203" s="6"/>
      <c r="B203" s="6"/>
    </row>
    <row r="204" spans="1:2" ht="14.5">
      <c r="A204" s="6"/>
      <c r="B204" s="6"/>
    </row>
    <row r="205" spans="1:2" ht="14.5">
      <c r="A205" s="6"/>
      <c r="B205" s="6"/>
    </row>
    <row r="206" spans="1:2" ht="14.5">
      <c r="A206" s="6"/>
      <c r="B206" s="6"/>
    </row>
    <row r="207" spans="1:2" ht="14.5">
      <c r="A207" s="6"/>
      <c r="B207" s="6"/>
    </row>
    <row r="208" spans="1:2" ht="14.5">
      <c r="A208" s="6"/>
      <c r="B208" s="6"/>
    </row>
    <row r="209" spans="1:2" ht="14.5">
      <c r="A209" s="6"/>
      <c r="B209" s="6"/>
    </row>
    <row r="210" spans="1:2" ht="14.5">
      <c r="A210" s="6"/>
      <c r="B210" s="6"/>
    </row>
    <row r="211" spans="1:2" ht="14.5">
      <c r="A211" s="6"/>
      <c r="B211" s="6"/>
    </row>
    <row r="212" spans="1:2" ht="14.5">
      <c r="A212" s="6"/>
      <c r="B212" s="6"/>
    </row>
    <row r="213" spans="1:2" ht="14.5">
      <c r="A213" s="6"/>
      <c r="B213" s="6"/>
    </row>
    <row r="214" spans="1:2" ht="14.5">
      <c r="A214" s="6"/>
      <c r="B214" s="6"/>
    </row>
    <row r="215" spans="1:2" ht="14.5">
      <c r="A215" s="6"/>
      <c r="B215" s="6"/>
    </row>
    <row r="216" spans="1:2" ht="14.5">
      <c r="A216" s="6"/>
      <c r="B216" s="6"/>
    </row>
    <row r="217" spans="1:2" ht="14.5">
      <c r="A217" s="6"/>
      <c r="B217" s="6"/>
    </row>
    <row r="218" spans="1:2" ht="14.5">
      <c r="A218" s="6"/>
      <c r="B218" s="6"/>
    </row>
    <row r="219" spans="1:2" ht="14.5">
      <c r="A219" s="6"/>
      <c r="B219" s="6"/>
    </row>
    <row r="220" spans="1:2" ht="14.5">
      <c r="A220" s="6"/>
      <c r="B220" s="6"/>
    </row>
    <row r="221" spans="1:2" ht="14.5">
      <c r="A221" s="6"/>
      <c r="B221" s="6"/>
    </row>
    <row r="222" spans="1:2" ht="14.5">
      <c r="A222" s="6"/>
      <c r="B222" s="6"/>
    </row>
    <row r="223" spans="1:2" ht="14.5">
      <c r="A223" s="6"/>
      <c r="B223" s="6"/>
    </row>
    <row r="224" spans="1:2" ht="14.5">
      <c r="A224" s="6"/>
      <c r="B224" s="6"/>
    </row>
    <row r="225" spans="1:2" ht="14.5">
      <c r="A225" s="6"/>
      <c r="B225" s="6"/>
    </row>
    <row r="226" spans="1:2" ht="14.5">
      <c r="A226" s="6"/>
      <c r="B226" s="6"/>
    </row>
    <row r="227" spans="1:2" ht="14.5">
      <c r="A227" s="6"/>
      <c r="B227" s="6"/>
    </row>
    <row r="228" spans="1:2" ht="14.5">
      <c r="A228" s="6"/>
      <c r="B228" s="6"/>
    </row>
    <row r="229" spans="1:2" ht="14.5">
      <c r="A229" s="6"/>
      <c r="B229" s="6"/>
    </row>
    <row r="230" spans="1:2" ht="14.5">
      <c r="A230" s="6"/>
      <c r="B230" s="6"/>
    </row>
    <row r="231" spans="1:2" ht="14.5">
      <c r="A231" s="6"/>
      <c r="B231" s="6"/>
    </row>
    <row r="232" spans="1:2" ht="14.5">
      <c r="A232" s="6"/>
      <c r="B232" s="6"/>
    </row>
    <row r="233" spans="1:2" ht="14.5">
      <c r="A233" s="6"/>
      <c r="B233" s="6"/>
    </row>
    <row r="234" spans="1:2" ht="14.5">
      <c r="A234" s="6"/>
      <c r="B234" s="6"/>
    </row>
    <row r="235" spans="1:2" ht="14.5">
      <c r="A235" s="6"/>
      <c r="B235" s="6"/>
    </row>
    <row r="236" spans="1:2" ht="14.5">
      <c r="A236" s="6"/>
      <c r="B236" s="6"/>
    </row>
    <row r="237" spans="1:2" ht="14.5">
      <c r="A237" s="6"/>
      <c r="B237" s="6"/>
    </row>
    <row r="238" spans="1:2" ht="14.5">
      <c r="A238" s="6"/>
      <c r="B238" s="6"/>
    </row>
    <row r="239" spans="1:2" ht="14.5">
      <c r="A239" s="6"/>
      <c r="B239" s="6"/>
    </row>
    <row r="240" spans="1:2" ht="14.5">
      <c r="A240" s="6"/>
      <c r="B240" s="6"/>
    </row>
    <row r="241" spans="1:2" ht="14.5">
      <c r="A241" s="6"/>
      <c r="B241" s="6"/>
    </row>
    <row r="242" spans="1:2" ht="14.5">
      <c r="A242" s="6"/>
      <c r="B242" s="6"/>
    </row>
    <row r="243" spans="1:2" ht="14.5">
      <c r="A243" s="6"/>
      <c r="B243" s="6"/>
    </row>
    <row r="244" spans="1:2" ht="14.5">
      <c r="A244" s="6"/>
      <c r="B244" s="6"/>
    </row>
    <row r="245" spans="1:2" ht="14.5">
      <c r="A245" s="6"/>
      <c r="B245" s="6"/>
    </row>
    <row r="246" spans="1:2" ht="14.5">
      <c r="A246" s="6"/>
      <c r="B246" s="6"/>
    </row>
    <row r="247" spans="1:2" ht="14.5">
      <c r="A247" s="6"/>
      <c r="B247" s="6"/>
    </row>
    <row r="248" spans="1:2" ht="14.5">
      <c r="A248" s="6"/>
      <c r="B248" s="6"/>
    </row>
    <row r="249" spans="1:2" ht="14.5">
      <c r="A249" s="6"/>
      <c r="B249" s="6"/>
    </row>
    <row r="250" spans="1:2" ht="14.5">
      <c r="A250" s="6"/>
      <c r="B250" s="6"/>
    </row>
    <row r="251" spans="1:2" ht="14.5">
      <c r="A251" s="6"/>
      <c r="B251" s="6"/>
    </row>
    <row r="252" spans="1:2" ht="14.5">
      <c r="A252" s="6"/>
      <c r="B252" s="6"/>
    </row>
    <row r="253" spans="1:2" ht="14.5">
      <c r="A253" s="6"/>
      <c r="B253" s="6"/>
    </row>
    <row r="254" spans="1:2" ht="14.5">
      <c r="A254" s="6"/>
      <c r="B254" s="6"/>
    </row>
    <row r="255" spans="1:2" ht="14.5">
      <c r="A255" s="6"/>
      <c r="B255" s="6"/>
    </row>
    <row r="256" spans="1:2" ht="14.5">
      <c r="A256" s="6"/>
      <c r="B256" s="6"/>
    </row>
    <row r="257" spans="1:2" ht="14.5">
      <c r="A257" s="6"/>
      <c r="B257" s="6"/>
    </row>
    <row r="258" spans="1:2" ht="14.5">
      <c r="A258" s="6"/>
      <c r="B258" s="6"/>
    </row>
    <row r="259" spans="1:2" ht="14.5">
      <c r="A259" s="6"/>
      <c r="B259" s="6"/>
    </row>
    <row r="260" spans="1:2" ht="14.5">
      <c r="A260" s="6"/>
      <c r="B260" s="6"/>
    </row>
    <row r="261" spans="1:2" ht="14.5">
      <c r="A261" s="6"/>
      <c r="B261" s="6"/>
    </row>
    <row r="262" spans="1:2" ht="14.5">
      <c r="A262" s="6"/>
      <c r="B262" s="6"/>
    </row>
    <row r="263" spans="1:2" ht="14.5">
      <c r="A263" s="6"/>
      <c r="B263" s="6"/>
    </row>
    <row r="264" spans="1:2" ht="14.5">
      <c r="A264" s="6"/>
      <c r="B264" s="6"/>
    </row>
    <row r="265" spans="1:2" ht="14.5">
      <c r="A265" s="6"/>
      <c r="B265" s="6"/>
    </row>
    <row r="266" spans="1:2" ht="14.5">
      <c r="A266" s="6"/>
      <c r="B266" s="6"/>
    </row>
    <row r="267" spans="1:2" ht="14.5">
      <c r="A267" s="6"/>
      <c r="B267" s="6"/>
    </row>
    <row r="268" spans="1:2" ht="14.5">
      <c r="A268" s="6"/>
      <c r="B268" s="6"/>
    </row>
    <row r="269" spans="1:2" ht="14.5">
      <c r="A269" s="6"/>
      <c r="B269" s="6"/>
    </row>
    <row r="270" spans="1:2" ht="14.5">
      <c r="A270" s="6"/>
      <c r="B270" s="6"/>
    </row>
    <row r="271" spans="1:2" ht="14.5">
      <c r="A271" s="6"/>
      <c r="B271" s="6"/>
    </row>
    <row r="272" spans="1:2" ht="14.5">
      <c r="A272" s="6"/>
      <c r="B272" s="6"/>
    </row>
    <row r="273" spans="1:2" ht="14.5">
      <c r="A273" s="6"/>
      <c r="B273" s="6"/>
    </row>
    <row r="274" spans="1:2" ht="14.5">
      <c r="A274" s="6"/>
      <c r="B274" s="6"/>
    </row>
    <row r="275" spans="1:2" ht="14.5">
      <c r="A275" s="6"/>
      <c r="B275" s="6"/>
    </row>
    <row r="276" spans="1:2" ht="14.5">
      <c r="A276" s="6"/>
      <c r="B276" s="6"/>
    </row>
    <row r="277" spans="1:2" ht="14.5">
      <c r="A277" s="6"/>
      <c r="B277" s="6"/>
    </row>
    <row r="278" spans="1:2" ht="14.5">
      <c r="A278" s="6"/>
      <c r="B278" s="6"/>
    </row>
    <row r="279" spans="1:2" ht="14.5">
      <c r="A279" s="6"/>
      <c r="B279" s="6"/>
    </row>
    <row r="280" spans="1:2" ht="14.5">
      <c r="A280" s="6"/>
      <c r="B280" s="6"/>
    </row>
    <row r="281" spans="1:2" ht="14.5">
      <c r="A281" s="6"/>
      <c r="B281" s="6"/>
    </row>
    <row r="282" spans="1:2" ht="14.5">
      <c r="A282" s="6"/>
      <c r="B282" s="6"/>
    </row>
    <row r="283" spans="1:2" ht="14.5">
      <c r="A283" s="6"/>
      <c r="B283" s="6"/>
    </row>
    <row r="284" spans="1:2" ht="14.5">
      <c r="A284" s="6"/>
      <c r="B284" s="6"/>
    </row>
    <row r="285" spans="1:2" ht="14.5">
      <c r="A285" s="6"/>
      <c r="B285" s="6"/>
    </row>
    <row r="286" spans="1:2" ht="14.5">
      <c r="A286" s="6"/>
      <c r="B286" s="6"/>
    </row>
    <row r="287" spans="1:2" ht="14.5">
      <c r="A287" s="6"/>
      <c r="B287" s="6"/>
    </row>
    <row r="288" spans="1:2" ht="14.5">
      <c r="A288" s="6"/>
      <c r="B288" s="6"/>
    </row>
    <row r="289" spans="1:2" ht="14.5">
      <c r="A289" s="6"/>
      <c r="B289" s="6"/>
    </row>
    <row r="290" spans="1:2" ht="14.5">
      <c r="A290" s="6"/>
      <c r="B290" s="6"/>
    </row>
    <row r="291" spans="1:2" ht="14.5">
      <c r="A291" s="6"/>
      <c r="B291" s="6"/>
    </row>
    <row r="292" spans="1:2" ht="14.5">
      <c r="A292" s="6"/>
      <c r="B292" s="6"/>
    </row>
    <row r="293" spans="1:2" ht="14.5">
      <c r="A293" s="6"/>
      <c r="B293" s="6"/>
    </row>
    <row r="294" spans="1:2" ht="14.5">
      <c r="A294" s="6"/>
      <c r="B294" s="6"/>
    </row>
    <row r="295" spans="1:2" ht="14.5">
      <c r="A295" s="6"/>
      <c r="B295" s="6"/>
    </row>
    <row r="296" spans="1:2" ht="14.5">
      <c r="A296" s="6"/>
      <c r="B296" s="6"/>
    </row>
    <row r="297" spans="1:2" ht="14.5">
      <c r="A297" s="6"/>
      <c r="B297" s="6"/>
    </row>
    <row r="298" spans="1:2" ht="14.5">
      <c r="A298" s="6"/>
      <c r="B298" s="6"/>
    </row>
    <row r="299" spans="1:2" ht="14.5">
      <c r="A299" s="6"/>
      <c r="B299" s="6"/>
    </row>
    <row r="300" spans="1:2" ht="14.5">
      <c r="A300" s="6"/>
      <c r="B300" s="6"/>
    </row>
    <row r="301" spans="1:2" ht="14.5">
      <c r="A301" s="6"/>
      <c r="B301" s="6"/>
    </row>
    <row r="302" spans="1:2" ht="14.5">
      <c r="A302" s="6"/>
      <c r="B302" s="6"/>
    </row>
    <row r="303" spans="1:2" ht="14.5">
      <c r="A303" s="6"/>
      <c r="B303" s="6"/>
    </row>
    <row r="304" spans="1:2" ht="14.5">
      <c r="A304" s="6"/>
      <c r="B304" s="6"/>
    </row>
    <row r="305" spans="1:2" ht="14.5">
      <c r="A305" s="6"/>
      <c r="B305" s="6"/>
    </row>
    <row r="306" spans="1:2" ht="14.5">
      <c r="A306" s="6"/>
      <c r="B306" s="6"/>
    </row>
    <row r="307" spans="1:2" ht="14.5">
      <c r="A307" s="6"/>
      <c r="B307" s="6"/>
    </row>
    <row r="308" spans="1:2" ht="14.5">
      <c r="A308" s="6"/>
      <c r="B308" s="6"/>
    </row>
    <row r="309" spans="1:2" ht="14.5">
      <c r="A309" s="6"/>
      <c r="B309" s="6"/>
    </row>
    <row r="310" spans="1:2" ht="14.5">
      <c r="A310" s="6"/>
      <c r="B310" s="6"/>
    </row>
    <row r="311" spans="1:2" ht="14.5">
      <c r="A311" s="6"/>
      <c r="B311" s="6"/>
    </row>
    <row r="312" spans="1:2" ht="14.5">
      <c r="A312" s="6"/>
      <c r="B312" s="6"/>
    </row>
    <row r="313" spans="1:2" ht="14.5">
      <c r="A313" s="6"/>
      <c r="B313" s="6"/>
    </row>
    <row r="314" spans="1:2" ht="14.5">
      <c r="A314" s="6"/>
      <c r="B314" s="6"/>
    </row>
    <row r="315" spans="1:2" ht="14.5">
      <c r="A315" s="6"/>
      <c r="B315" s="6"/>
    </row>
    <row r="316" spans="1:2" ht="14.5">
      <c r="A316" s="6"/>
      <c r="B316" s="6"/>
    </row>
    <row r="317" spans="1:2" ht="14.5">
      <c r="A317" s="6"/>
      <c r="B317" s="6"/>
    </row>
    <row r="318" spans="1:2" ht="14.5">
      <c r="A318" s="6"/>
      <c r="B318" s="6"/>
    </row>
    <row r="319" spans="1:2" ht="14.5">
      <c r="A319" s="6"/>
      <c r="B319" s="6"/>
    </row>
    <row r="320" spans="1:2" ht="14.5">
      <c r="A320" s="6"/>
      <c r="B320" s="6"/>
    </row>
    <row r="321" spans="1:2" ht="14.5">
      <c r="A321" s="6"/>
      <c r="B321" s="6"/>
    </row>
    <row r="322" spans="1:2" ht="14.5">
      <c r="A322" s="6"/>
      <c r="B322" s="6"/>
    </row>
    <row r="323" spans="1:2" ht="14.5">
      <c r="A323" s="6"/>
      <c r="B323" s="6"/>
    </row>
    <row r="324" spans="1:2" ht="14.5">
      <c r="A324" s="6"/>
      <c r="B324" s="6"/>
    </row>
    <row r="325" spans="1:2" ht="14.5">
      <c r="A325" s="6"/>
      <c r="B325" s="6"/>
    </row>
    <row r="326" spans="1:2" ht="14.5">
      <c r="A326" s="6"/>
      <c r="B326" s="6"/>
    </row>
    <row r="327" spans="1:2" ht="14.5">
      <c r="A327" s="6"/>
      <c r="B327" s="6"/>
    </row>
    <row r="328" spans="1:2" ht="14.5">
      <c r="A328" s="6"/>
      <c r="B328" s="6"/>
    </row>
    <row r="329" spans="1:2" ht="14.5">
      <c r="A329" s="6"/>
      <c r="B329" s="6"/>
    </row>
    <row r="330" spans="1:2" ht="14.5">
      <c r="A330" s="6"/>
      <c r="B330" s="6"/>
    </row>
    <row r="331" spans="1:2" ht="14.5">
      <c r="A331" s="6"/>
      <c r="B331" s="6"/>
    </row>
    <row r="332" spans="1:2" ht="14.5">
      <c r="A332" s="6"/>
      <c r="B332" s="6"/>
    </row>
    <row r="333" spans="1:2" ht="14.5">
      <c r="A333" s="6"/>
      <c r="B333" s="6"/>
    </row>
    <row r="334" spans="1:2" ht="14.5">
      <c r="A334" s="6"/>
      <c r="B334" s="6"/>
    </row>
    <row r="335" spans="1:2" ht="14.5">
      <c r="A335" s="6"/>
      <c r="B335" s="6"/>
    </row>
    <row r="336" spans="1:2" ht="14.5">
      <c r="A336" s="6"/>
      <c r="B336" s="6"/>
    </row>
    <row r="337" spans="1:2" ht="14.5">
      <c r="A337" s="6"/>
      <c r="B337" s="6"/>
    </row>
    <row r="338" spans="1:2" ht="14.5">
      <c r="A338" s="6"/>
      <c r="B338" s="6"/>
    </row>
    <row r="339" spans="1:2" ht="14.5">
      <c r="A339" s="6"/>
      <c r="B339" s="6"/>
    </row>
    <row r="340" spans="1:2" ht="14.5">
      <c r="A340" s="6"/>
      <c r="B340" s="6"/>
    </row>
    <row r="341" spans="1:2" ht="14.5">
      <c r="A341" s="6"/>
      <c r="B341" s="6"/>
    </row>
    <row r="342" spans="1:2" ht="14.5">
      <c r="A342" s="6"/>
      <c r="B342" s="6"/>
    </row>
    <row r="343" spans="1:2" ht="14.5">
      <c r="A343" s="6"/>
      <c r="B343" s="6"/>
    </row>
    <row r="344" spans="1:2" ht="14.5">
      <c r="A344" s="6"/>
      <c r="B344" s="6"/>
    </row>
    <row r="345" spans="1:2" ht="14.5">
      <c r="A345" s="6"/>
      <c r="B345" s="6"/>
    </row>
    <row r="346" spans="1:2" ht="14.5">
      <c r="A346" s="6"/>
      <c r="B346" s="6"/>
    </row>
    <row r="347" spans="1:2" ht="14.5">
      <c r="A347" s="6"/>
      <c r="B347" s="6"/>
    </row>
    <row r="348" spans="1:2" ht="14.5">
      <c r="A348" s="6"/>
      <c r="B348" s="6"/>
    </row>
    <row r="349" spans="1:2" ht="14.5">
      <c r="A349" s="6"/>
      <c r="B349" s="6"/>
    </row>
    <row r="350" spans="1:2" ht="14.5">
      <c r="A350" s="6"/>
      <c r="B350" s="6"/>
    </row>
    <row r="351" spans="1:2" ht="14.5">
      <c r="A351" s="6"/>
      <c r="B351" s="6"/>
    </row>
    <row r="352" spans="1:2" ht="14.5">
      <c r="A352" s="6"/>
      <c r="B352" s="6"/>
    </row>
    <row r="353" spans="1:2" ht="14.5">
      <c r="A353" s="6"/>
      <c r="B353" s="6"/>
    </row>
    <row r="354" spans="1:2" ht="14.5">
      <c r="A354" s="6"/>
      <c r="B354" s="6"/>
    </row>
    <row r="355" spans="1:2" ht="14.5">
      <c r="A355" s="6"/>
      <c r="B355" s="6"/>
    </row>
    <row r="356" spans="1:2" ht="14.5">
      <c r="A356" s="6"/>
      <c r="B356" s="6"/>
    </row>
    <row r="357" spans="1:2" ht="14.5">
      <c r="A357" s="6"/>
      <c r="B357" s="6"/>
    </row>
    <row r="358" spans="1:2" ht="14.5">
      <c r="A358" s="6"/>
      <c r="B358" s="6"/>
    </row>
    <row r="359" spans="1:2" ht="14.5">
      <c r="A359" s="6"/>
      <c r="B359" s="6"/>
    </row>
    <row r="360" spans="1:2" ht="14.5">
      <c r="A360" s="6"/>
      <c r="B360" s="6"/>
    </row>
    <row r="361" spans="1:2" ht="14.5">
      <c r="A361" s="6"/>
      <c r="B361" s="6"/>
    </row>
    <row r="362" spans="1:2" ht="14.5">
      <c r="A362" s="6"/>
      <c r="B362" s="6"/>
    </row>
    <row r="363" spans="1:2" ht="14.5">
      <c r="A363" s="6"/>
      <c r="B363" s="6"/>
    </row>
    <row r="364" spans="1:2" ht="14.5">
      <c r="A364" s="6"/>
      <c r="B364" s="6"/>
    </row>
    <row r="365" spans="1:2" ht="14.5">
      <c r="A365" s="6"/>
      <c r="B365" s="6"/>
    </row>
    <row r="366" spans="1:2" ht="14.5">
      <c r="A366" s="6"/>
      <c r="B366" s="6"/>
    </row>
    <row r="367" spans="1:2" ht="14.5">
      <c r="A367" s="6"/>
      <c r="B367" s="6"/>
    </row>
    <row r="368" spans="1:2" ht="14.5">
      <c r="A368" s="6"/>
      <c r="B368" s="6"/>
    </row>
    <row r="369" spans="1:2" ht="14.5">
      <c r="A369" s="6"/>
      <c r="B369" s="6"/>
    </row>
    <row r="370" spans="1:2" ht="14.5">
      <c r="A370" s="6"/>
      <c r="B370" s="6"/>
    </row>
    <row r="371" spans="1:2" ht="14.5">
      <c r="A371" s="6"/>
      <c r="B371" s="6"/>
    </row>
    <row r="372" spans="1:2" ht="14.5">
      <c r="A372" s="6"/>
      <c r="B372" s="6"/>
    </row>
    <row r="373" spans="1:2" ht="14.5">
      <c r="A373" s="6"/>
      <c r="B373" s="6"/>
    </row>
    <row r="374" spans="1:2" ht="14.5">
      <c r="A374" s="6"/>
      <c r="B374" s="6"/>
    </row>
    <row r="375" spans="1:2" ht="14.5">
      <c r="A375" s="6"/>
      <c r="B375" s="6"/>
    </row>
    <row r="376" spans="1:2" ht="14.5">
      <c r="A376" s="6"/>
      <c r="B376" s="6"/>
    </row>
    <row r="377" spans="1:2" ht="14.5">
      <c r="A377" s="6"/>
      <c r="B377" s="6"/>
    </row>
    <row r="378" spans="1:2" ht="14.5">
      <c r="A378" s="6"/>
      <c r="B378" s="6"/>
    </row>
    <row r="379" spans="1:2" ht="14.5">
      <c r="A379" s="6"/>
      <c r="B379" s="6"/>
    </row>
    <row r="380" spans="1:2" ht="14.5">
      <c r="A380" s="6"/>
      <c r="B380" s="6"/>
    </row>
    <row r="381" spans="1:2" ht="14.5">
      <c r="A381" s="6"/>
      <c r="B381" s="6"/>
    </row>
    <row r="382" spans="1:2" ht="14.5">
      <c r="A382" s="6"/>
      <c r="B382" s="6"/>
    </row>
    <row r="383" spans="1:2" ht="14.5">
      <c r="A383" s="6"/>
      <c r="B383" s="6"/>
    </row>
    <row r="384" spans="1:2" ht="14.5">
      <c r="A384" s="6"/>
      <c r="B384" s="6"/>
    </row>
    <row r="385" spans="1:2" ht="14.5">
      <c r="A385" s="6"/>
      <c r="B385" s="6"/>
    </row>
    <row r="386" spans="1:2" ht="14.5">
      <c r="A386" s="6"/>
      <c r="B386" s="6"/>
    </row>
    <row r="387" spans="1:2" ht="14.5">
      <c r="A387" s="6"/>
      <c r="B387" s="6"/>
    </row>
    <row r="388" spans="1:2" ht="14.5">
      <c r="A388" s="6"/>
      <c r="B388" s="6"/>
    </row>
    <row r="389" spans="1:2" ht="14.5">
      <c r="A389" s="6"/>
      <c r="B389" s="6"/>
    </row>
    <row r="390" spans="1:2" ht="14.5">
      <c r="A390" s="6"/>
      <c r="B390" s="6"/>
    </row>
    <row r="391" spans="1:2" ht="14.5">
      <c r="A391" s="6"/>
      <c r="B391" s="6"/>
    </row>
    <row r="392" spans="1:2" ht="14.5">
      <c r="A392" s="6"/>
      <c r="B392" s="6"/>
    </row>
    <row r="393" spans="1:2" ht="14.5">
      <c r="A393" s="6"/>
      <c r="B393" s="6"/>
    </row>
    <row r="394" spans="1:2" ht="14.5">
      <c r="A394" s="6"/>
      <c r="B394" s="6"/>
    </row>
    <row r="395" spans="1:2" ht="14.5">
      <c r="A395" s="6"/>
      <c r="B395" s="6"/>
    </row>
    <row r="396" spans="1:2" ht="14.5">
      <c r="A396" s="6"/>
      <c r="B396" s="6"/>
    </row>
    <row r="397" spans="1:2" ht="14.5">
      <c r="A397" s="6"/>
      <c r="B397" s="6"/>
    </row>
    <row r="398" spans="1:2" ht="14.5">
      <c r="A398" s="6"/>
      <c r="B398" s="6"/>
    </row>
    <row r="399" spans="1:2" ht="14.5">
      <c r="A399" s="6"/>
      <c r="B399" s="6"/>
    </row>
    <row r="400" spans="1:2" ht="14.5">
      <c r="A400" s="6"/>
      <c r="B400" s="6"/>
    </row>
    <row r="401" spans="1:2" ht="14.5">
      <c r="A401" s="6"/>
      <c r="B401" s="6"/>
    </row>
    <row r="402" spans="1:2" ht="14.5">
      <c r="A402" s="6"/>
      <c r="B402" s="6"/>
    </row>
    <row r="403" spans="1:2" ht="14.5">
      <c r="A403" s="6"/>
      <c r="B403" s="6"/>
    </row>
    <row r="404" spans="1:2" ht="14.5">
      <c r="A404" s="6"/>
      <c r="B404" s="6"/>
    </row>
    <row r="405" spans="1:2" ht="14.5">
      <c r="A405" s="6"/>
      <c r="B405" s="6"/>
    </row>
    <row r="406" spans="1:2" ht="14.5">
      <c r="A406" s="6"/>
      <c r="B406" s="6"/>
    </row>
    <row r="407" spans="1:2" ht="14.5">
      <c r="A407" s="6"/>
      <c r="B407" s="6"/>
    </row>
    <row r="408" spans="1:2" ht="14.5">
      <c r="A408" s="6"/>
      <c r="B408" s="6"/>
    </row>
    <row r="409" spans="1:2" ht="14.5">
      <c r="A409" s="6"/>
      <c r="B409" s="6"/>
    </row>
    <row r="410" spans="1:2" ht="14.5">
      <c r="A410" s="6"/>
      <c r="B410" s="6"/>
    </row>
    <row r="411" spans="1:2" ht="14.5">
      <c r="A411" s="6"/>
      <c r="B411" s="6"/>
    </row>
    <row r="412" spans="1:2" ht="14.5">
      <c r="A412" s="6"/>
      <c r="B412" s="6"/>
    </row>
    <row r="413" spans="1:2" ht="14.5">
      <c r="A413" s="6"/>
      <c r="B413" s="6"/>
    </row>
    <row r="414" spans="1:2" ht="14.5">
      <c r="A414" s="6"/>
      <c r="B414" s="6"/>
    </row>
    <row r="415" spans="1:2" ht="14.5">
      <c r="A415" s="6"/>
      <c r="B415" s="6"/>
    </row>
    <row r="416" spans="1:2" ht="14.5">
      <c r="A416" s="6"/>
      <c r="B416" s="6"/>
    </row>
    <row r="417" spans="1:2" ht="14.5">
      <c r="A417" s="6"/>
      <c r="B417" s="6"/>
    </row>
    <row r="418" spans="1:2" ht="14.5">
      <c r="A418" s="6"/>
      <c r="B418" s="6"/>
    </row>
    <row r="419" spans="1:2" ht="14.5">
      <c r="A419" s="6"/>
      <c r="B419" s="6"/>
    </row>
    <row r="420" spans="1:2" ht="14.5">
      <c r="A420" s="6"/>
      <c r="B420" s="6"/>
    </row>
    <row r="421" spans="1:2" ht="14.5">
      <c r="A421" s="6"/>
      <c r="B421" s="6"/>
    </row>
    <row r="422" spans="1:2" ht="14.5">
      <c r="A422" s="6"/>
      <c r="B422" s="6"/>
    </row>
    <row r="423" spans="1:2" ht="14.5">
      <c r="A423" s="6"/>
      <c r="B423" s="6"/>
    </row>
    <row r="424" spans="1:2" ht="14.5">
      <c r="A424" s="6"/>
      <c r="B424" s="6"/>
    </row>
    <row r="425" spans="1:2" ht="14.5">
      <c r="A425" s="6"/>
      <c r="B425" s="6"/>
    </row>
    <row r="426" spans="1:2" ht="14.5">
      <c r="A426" s="6"/>
      <c r="B426" s="6"/>
    </row>
    <row r="427" spans="1:2" ht="14.5">
      <c r="A427" s="6"/>
      <c r="B427" s="6"/>
    </row>
    <row r="428" spans="1:2" ht="14.5">
      <c r="A428" s="6"/>
      <c r="B428" s="6"/>
    </row>
    <row r="429" spans="1:2" ht="14.5">
      <c r="A429" s="6"/>
      <c r="B429" s="6"/>
    </row>
    <row r="430" spans="1:2" ht="14.5">
      <c r="A430" s="6"/>
      <c r="B430" s="6"/>
    </row>
    <row r="431" spans="1:2" ht="14.5">
      <c r="A431" s="6"/>
      <c r="B431" s="6"/>
    </row>
    <row r="432" spans="1:2" ht="14.5">
      <c r="A432" s="6"/>
      <c r="B432" s="6"/>
    </row>
    <row r="433" spans="1:2" ht="14.5">
      <c r="A433" s="6"/>
      <c r="B433" s="6"/>
    </row>
    <row r="434" spans="1:2" ht="14.5">
      <c r="A434" s="6"/>
      <c r="B434" s="6"/>
    </row>
    <row r="435" spans="1:2" ht="14.5">
      <c r="A435" s="6"/>
      <c r="B435" s="6"/>
    </row>
    <row r="436" spans="1:2" ht="14.5">
      <c r="A436" s="6"/>
      <c r="B436" s="6"/>
    </row>
    <row r="437" spans="1:2" ht="14.5">
      <c r="A437" s="6"/>
      <c r="B437" s="6"/>
    </row>
    <row r="438" spans="1:2" ht="14.5">
      <c r="A438" s="6"/>
      <c r="B438" s="6"/>
    </row>
    <row r="439" spans="1:2" ht="14.5">
      <c r="A439" s="6"/>
      <c r="B439" s="6"/>
    </row>
    <row r="440" spans="1:2" ht="14.5">
      <c r="A440" s="6"/>
      <c r="B440" s="6"/>
    </row>
    <row r="441" spans="1:2" ht="14.5">
      <c r="A441" s="6"/>
      <c r="B441" s="6"/>
    </row>
    <row r="442" spans="1:2" ht="14.5">
      <c r="A442" s="6"/>
      <c r="B442" s="6"/>
    </row>
    <row r="443" spans="1:2" ht="14.5">
      <c r="A443" s="6"/>
      <c r="B443" s="6"/>
    </row>
    <row r="444" spans="1:2" ht="14.5">
      <c r="A444" s="6"/>
      <c r="B444" s="6"/>
    </row>
    <row r="445" spans="1:2" ht="14.5">
      <c r="A445" s="6"/>
      <c r="B445" s="6"/>
    </row>
    <row r="446" spans="1:2" ht="14.5">
      <c r="A446" s="6"/>
      <c r="B446" s="6"/>
    </row>
    <row r="447" spans="1:2" ht="14.5">
      <c r="A447" s="6"/>
      <c r="B447" s="6"/>
    </row>
    <row r="448" spans="1:2" ht="14.5">
      <c r="A448" s="6"/>
      <c r="B448" s="6"/>
    </row>
    <row r="449" spans="1:2" ht="14.5">
      <c r="A449" s="6"/>
      <c r="B449" s="6"/>
    </row>
    <row r="450" spans="1:2" ht="14.5">
      <c r="A450" s="6"/>
      <c r="B450" s="6"/>
    </row>
    <row r="451" spans="1:2" ht="14.5">
      <c r="A451" s="6"/>
      <c r="B451" s="6"/>
    </row>
    <row r="452" spans="1:2" ht="14.5">
      <c r="A452" s="6"/>
      <c r="B452" s="6"/>
    </row>
    <row r="453" spans="1:2" ht="14.5">
      <c r="A453" s="6"/>
      <c r="B453" s="6"/>
    </row>
    <row r="454" spans="1:2" ht="14.5">
      <c r="A454" s="6"/>
      <c r="B454" s="6"/>
    </row>
    <row r="455" spans="1:2" ht="14.5">
      <c r="A455" s="6"/>
      <c r="B455" s="6"/>
    </row>
    <row r="456" spans="1:2" ht="14.5">
      <c r="A456" s="6"/>
      <c r="B456" s="6"/>
    </row>
    <row r="457" spans="1:2" ht="14.5">
      <c r="A457" s="6"/>
      <c r="B457" s="6"/>
    </row>
    <row r="458" spans="1:2" ht="14.5">
      <c r="A458" s="6"/>
      <c r="B458" s="6"/>
    </row>
    <row r="459" spans="1:2" ht="14.5">
      <c r="A459" s="6"/>
      <c r="B459" s="6"/>
    </row>
    <row r="460" spans="1:2" ht="14.5">
      <c r="A460" s="6"/>
      <c r="B460" s="6"/>
    </row>
    <row r="461" spans="1:2" ht="14.5">
      <c r="A461" s="6"/>
      <c r="B461" s="6"/>
    </row>
    <row r="462" spans="1:2" ht="14.5">
      <c r="A462" s="6"/>
      <c r="B462" s="6"/>
    </row>
    <row r="463" spans="1:2" ht="14.5">
      <c r="A463" s="6"/>
      <c r="B463" s="6"/>
    </row>
    <row r="464" spans="1:2" ht="14.5">
      <c r="A464" s="6"/>
      <c r="B464" s="6"/>
    </row>
    <row r="465" spans="1:2" ht="14.5">
      <c r="A465" s="6"/>
      <c r="B465" s="6"/>
    </row>
    <row r="466" spans="1:2" ht="14.5">
      <c r="A466" s="6"/>
      <c r="B466" s="6"/>
    </row>
    <row r="467" spans="1:2" ht="14.5">
      <c r="A467" s="6"/>
      <c r="B467" s="6"/>
    </row>
    <row r="468" spans="1:2" ht="14.5">
      <c r="A468" s="6"/>
      <c r="B468" s="6"/>
    </row>
    <row r="469" spans="1:2" ht="14.5">
      <c r="A469" s="6"/>
      <c r="B469" s="6"/>
    </row>
    <row r="470" spans="1:2" ht="14.5">
      <c r="A470" s="6"/>
      <c r="B470" s="6"/>
    </row>
    <row r="471" spans="1:2" ht="14.5">
      <c r="A471" s="6"/>
      <c r="B471" s="6"/>
    </row>
    <row r="472" spans="1:2" ht="14.5">
      <c r="A472" s="6"/>
      <c r="B472" s="6"/>
    </row>
    <row r="473" spans="1:2" ht="14.5">
      <c r="A473" s="6"/>
      <c r="B473" s="6"/>
    </row>
    <row r="474" spans="1:2" ht="14.5">
      <c r="A474" s="6"/>
      <c r="B474" s="6"/>
    </row>
    <row r="475" spans="1:2" ht="14.5">
      <c r="A475" s="6"/>
      <c r="B475" s="6"/>
    </row>
    <row r="476" spans="1:2" ht="14.5">
      <c r="A476" s="6"/>
      <c r="B476" s="6"/>
    </row>
    <row r="477" spans="1:2" ht="14.5">
      <c r="A477" s="6"/>
      <c r="B477" s="6"/>
    </row>
    <row r="478" spans="1:2" ht="14.5">
      <c r="A478" s="6"/>
      <c r="B478" s="6"/>
    </row>
    <row r="479" spans="1:2" ht="14.5">
      <c r="A479" s="6"/>
      <c r="B479" s="6"/>
    </row>
    <row r="480" spans="1:2" ht="14.5">
      <c r="A480" s="6"/>
      <c r="B480" s="6"/>
    </row>
    <row r="481" spans="1:2" ht="14.5">
      <c r="A481" s="6"/>
      <c r="B481" s="6"/>
    </row>
    <row r="482" spans="1:2" ht="14.5">
      <c r="A482" s="6"/>
      <c r="B482" s="6"/>
    </row>
    <row r="483" spans="1:2" ht="14.5">
      <c r="A483" s="6"/>
      <c r="B483" s="6"/>
    </row>
    <row r="484" spans="1:2" ht="14.5">
      <c r="A484" s="6"/>
      <c r="B484" s="6"/>
    </row>
    <row r="485" spans="1:2" ht="14.5">
      <c r="A485" s="6"/>
      <c r="B485" s="6"/>
    </row>
    <row r="486" spans="1:2" ht="14.5">
      <c r="A486" s="6"/>
      <c r="B486" s="6"/>
    </row>
    <row r="487" spans="1:2" ht="14.5">
      <c r="A487" s="6"/>
      <c r="B487" s="6"/>
    </row>
    <row r="488" spans="1:2" ht="14.5">
      <c r="A488" s="6"/>
      <c r="B488" s="6"/>
    </row>
    <row r="489" spans="1:2" ht="14.5">
      <c r="A489" s="6"/>
      <c r="B489" s="6"/>
    </row>
    <row r="490" spans="1:2" ht="14.5">
      <c r="A490" s="6"/>
      <c r="B490" s="6"/>
    </row>
    <row r="491" spans="1:2" ht="14.5">
      <c r="A491" s="6"/>
      <c r="B491" s="6"/>
    </row>
    <row r="492" spans="1:2" ht="14.5">
      <c r="A492" s="6"/>
      <c r="B492" s="6"/>
    </row>
    <row r="493" spans="1:2" ht="14.5">
      <c r="A493" s="6"/>
      <c r="B493" s="6"/>
    </row>
    <row r="494" spans="1:2" ht="14.5">
      <c r="A494" s="6"/>
      <c r="B494" s="6"/>
    </row>
    <row r="495" spans="1:2" ht="14.5">
      <c r="A495" s="6"/>
      <c r="B495" s="6"/>
    </row>
    <row r="496" spans="1:2" ht="14.5">
      <c r="A496" s="6"/>
      <c r="B496" s="6"/>
    </row>
    <row r="497" spans="1:2" ht="14.5">
      <c r="A497" s="6"/>
      <c r="B497" s="6"/>
    </row>
    <row r="498" spans="1:2" ht="14.5">
      <c r="A498" s="6"/>
      <c r="B498" s="6"/>
    </row>
    <row r="499" spans="1:2" ht="14.5">
      <c r="A499" s="6"/>
      <c r="B499" s="6"/>
    </row>
    <row r="500" spans="1:2" ht="14.5">
      <c r="A500" s="6"/>
      <c r="B500" s="6"/>
    </row>
    <row r="501" spans="1:2" ht="14.5">
      <c r="A501" s="6"/>
      <c r="B501" s="6"/>
    </row>
    <row r="502" spans="1:2" ht="14.5">
      <c r="A502" s="6"/>
      <c r="B502" s="6"/>
    </row>
    <row r="503" spans="1:2" ht="14.5">
      <c r="A503" s="6"/>
      <c r="B503" s="6"/>
    </row>
    <row r="504" spans="1:2" ht="14.5">
      <c r="A504" s="6"/>
      <c r="B504" s="6"/>
    </row>
    <row r="505" spans="1:2" ht="14.5">
      <c r="A505" s="6"/>
      <c r="B505" s="6"/>
    </row>
    <row r="506" spans="1:2" ht="14.5">
      <c r="A506" s="6"/>
      <c r="B506" s="6"/>
    </row>
    <row r="507" spans="1:2" ht="14.5">
      <c r="A507" s="6"/>
      <c r="B507" s="6"/>
    </row>
    <row r="508" spans="1:2" ht="14.5">
      <c r="A508" s="6"/>
      <c r="B508" s="6"/>
    </row>
    <row r="509" spans="1:2" ht="14.5">
      <c r="A509" s="6"/>
      <c r="B509" s="6"/>
    </row>
    <row r="510" spans="1:2" ht="14.5">
      <c r="A510" s="6"/>
      <c r="B510" s="6"/>
    </row>
    <row r="511" spans="1:2" ht="14.5">
      <c r="A511" s="6"/>
      <c r="B511" s="6"/>
    </row>
    <row r="512" spans="1:2" ht="14.5">
      <c r="A512" s="6"/>
      <c r="B512" s="6"/>
    </row>
    <row r="513" spans="1:2" ht="14.5">
      <c r="A513" s="6"/>
      <c r="B513" s="6"/>
    </row>
    <row r="514" spans="1:2" ht="14.5">
      <c r="A514" s="6"/>
      <c r="B514" s="6"/>
    </row>
    <row r="515" spans="1:2" ht="14.5">
      <c r="A515" s="6"/>
      <c r="B515" s="6"/>
    </row>
    <row r="516" spans="1:2" ht="14.5">
      <c r="A516" s="6"/>
      <c r="B516" s="6"/>
    </row>
    <row r="517" spans="1:2" ht="14.5">
      <c r="A517" s="6"/>
      <c r="B517" s="6"/>
    </row>
    <row r="518" spans="1:2" ht="14.5">
      <c r="A518" s="6"/>
      <c r="B518" s="6"/>
    </row>
    <row r="519" spans="1:2" ht="14.5">
      <c r="A519" s="6"/>
      <c r="B519" s="6"/>
    </row>
    <row r="520" spans="1:2" ht="14.5">
      <c r="A520" s="6"/>
      <c r="B520" s="6"/>
    </row>
    <row r="521" spans="1:2" ht="14.5">
      <c r="A521" s="6"/>
      <c r="B521" s="6"/>
    </row>
    <row r="522" spans="1:2" ht="14.5">
      <c r="A522" s="6"/>
      <c r="B522" s="6"/>
    </row>
    <row r="523" spans="1:2" ht="14.5">
      <c r="A523" s="6"/>
      <c r="B523" s="6"/>
    </row>
    <row r="524" spans="1:2" ht="14.5">
      <c r="A524" s="6"/>
      <c r="B524" s="6"/>
    </row>
    <row r="525" spans="1:2" ht="14.5">
      <c r="A525" s="6"/>
      <c r="B525" s="6"/>
    </row>
    <row r="526" spans="1:2" ht="14.5">
      <c r="A526" s="6"/>
      <c r="B526" s="6"/>
    </row>
    <row r="527" spans="1:2" ht="14.5">
      <c r="A527" s="6"/>
      <c r="B527" s="6"/>
    </row>
    <row r="528" spans="1:2" ht="14.5">
      <c r="A528" s="6"/>
      <c r="B528" s="6"/>
    </row>
    <row r="529" spans="1:2" ht="14.5">
      <c r="A529" s="6"/>
      <c r="B529" s="6"/>
    </row>
    <row r="530" spans="1:2" ht="14.5">
      <c r="A530" s="6"/>
      <c r="B530" s="6"/>
    </row>
    <row r="531" spans="1:2" ht="14.5">
      <c r="A531" s="6"/>
      <c r="B531" s="6"/>
    </row>
    <row r="532" spans="1:2" ht="14.5">
      <c r="A532" s="6"/>
      <c r="B532" s="6"/>
    </row>
    <row r="533" spans="1:2" ht="14.5">
      <c r="A533" s="6"/>
      <c r="B533" s="6"/>
    </row>
    <row r="534" spans="1:2" ht="14.5">
      <c r="A534" s="6"/>
      <c r="B534" s="6"/>
    </row>
    <row r="535" spans="1:2" ht="14.5">
      <c r="A535" s="6"/>
      <c r="B535" s="6"/>
    </row>
    <row r="536" spans="1:2" ht="14.5">
      <c r="A536" s="6"/>
      <c r="B536" s="6"/>
    </row>
    <row r="537" spans="1:2" ht="14.5">
      <c r="A537" s="6"/>
      <c r="B537" s="6"/>
    </row>
    <row r="538" spans="1:2" ht="14.5">
      <c r="A538" s="6"/>
      <c r="B538" s="6"/>
    </row>
    <row r="539" spans="1:2" ht="14.5">
      <c r="A539" s="6"/>
      <c r="B539" s="6"/>
    </row>
    <row r="540" spans="1:2" ht="14.5">
      <c r="A540" s="6"/>
      <c r="B540" s="6"/>
    </row>
    <row r="541" spans="1:2" ht="14.5">
      <c r="A541" s="6"/>
      <c r="B541" s="6"/>
    </row>
    <row r="542" spans="1:2" ht="14.5">
      <c r="A542" s="6"/>
      <c r="B542" s="6"/>
    </row>
    <row r="543" spans="1:2" ht="14.5">
      <c r="A543" s="6"/>
      <c r="B543" s="6"/>
    </row>
    <row r="544" spans="1:2" ht="14.5">
      <c r="A544" s="6"/>
      <c r="B544" s="6"/>
    </row>
    <row r="545" spans="1:2" ht="14.5">
      <c r="A545" s="6"/>
      <c r="B545" s="6"/>
    </row>
    <row r="546" spans="1:2" ht="14.5">
      <c r="A546" s="6"/>
      <c r="B546" s="6"/>
    </row>
    <row r="547" spans="1:2" ht="14.5">
      <c r="A547" s="6"/>
      <c r="B547" s="6"/>
    </row>
    <row r="548" spans="1:2" ht="14.5">
      <c r="A548" s="6"/>
      <c r="B548" s="6"/>
    </row>
    <row r="549" spans="1:2" ht="14.5">
      <c r="A549" s="6"/>
      <c r="B549" s="6"/>
    </row>
    <row r="550" spans="1:2" ht="14.5">
      <c r="A550" s="6"/>
      <c r="B550" s="6"/>
    </row>
    <row r="551" spans="1:2" ht="14.5">
      <c r="A551" s="6"/>
      <c r="B551" s="6"/>
    </row>
    <row r="552" spans="1:2" ht="14.5">
      <c r="A552" s="6"/>
      <c r="B552" s="6"/>
    </row>
    <row r="553" spans="1:2" ht="14.5">
      <c r="A553" s="6"/>
      <c r="B553" s="6"/>
    </row>
    <row r="554" spans="1:2" ht="14.5">
      <c r="A554" s="6"/>
      <c r="B554" s="6"/>
    </row>
    <row r="555" spans="1:2" ht="14.5">
      <c r="A555" s="6"/>
      <c r="B555" s="6"/>
    </row>
    <row r="556" spans="1:2" ht="14.5">
      <c r="A556" s="6"/>
      <c r="B556" s="6"/>
    </row>
    <row r="557" spans="1:2" ht="14.5">
      <c r="A557" s="6"/>
      <c r="B557" s="6"/>
    </row>
    <row r="558" spans="1:2" ht="14.5">
      <c r="A558" s="6"/>
      <c r="B558" s="6"/>
    </row>
    <row r="559" spans="1:2" ht="14.5">
      <c r="A559" s="6"/>
      <c r="B559" s="6"/>
    </row>
    <row r="560" spans="1:2" ht="14.5">
      <c r="A560" s="6"/>
      <c r="B560" s="6"/>
    </row>
    <row r="561" spans="1:2" ht="14.5">
      <c r="A561" s="6"/>
      <c r="B561" s="6"/>
    </row>
    <row r="562" spans="1:2" ht="14.5">
      <c r="A562" s="6"/>
      <c r="B562" s="6"/>
    </row>
    <row r="563" spans="1:2" ht="14.5">
      <c r="A563" s="6"/>
      <c r="B563" s="6"/>
    </row>
    <row r="564" spans="1:2" ht="14.5">
      <c r="A564" s="6"/>
      <c r="B564" s="6"/>
    </row>
    <row r="565" spans="1:2" ht="14.5">
      <c r="A565" s="6"/>
      <c r="B565" s="6"/>
    </row>
    <row r="566" spans="1:2" ht="14.5">
      <c r="A566" s="6"/>
      <c r="B566" s="6"/>
    </row>
    <row r="567" spans="1:2" ht="14.5">
      <c r="A567" s="6"/>
      <c r="B567" s="6"/>
    </row>
    <row r="568" spans="1:2" ht="14.5">
      <c r="A568" s="6"/>
      <c r="B568" s="6"/>
    </row>
    <row r="569" spans="1:2" ht="14.5">
      <c r="A569" s="6"/>
      <c r="B569" s="6"/>
    </row>
    <row r="570" spans="1:2" ht="14.5">
      <c r="A570" s="6"/>
      <c r="B570" s="6"/>
    </row>
    <row r="571" spans="1:2" ht="14.5">
      <c r="A571" s="6"/>
      <c r="B571" s="6"/>
    </row>
    <row r="572" spans="1:2" ht="14.5">
      <c r="A572" s="6"/>
      <c r="B572" s="6"/>
    </row>
    <row r="573" spans="1:2" ht="14.5">
      <c r="A573" s="6"/>
      <c r="B573" s="6"/>
    </row>
    <row r="574" spans="1:2" ht="14.5">
      <c r="A574" s="6"/>
      <c r="B574" s="6"/>
    </row>
    <row r="575" spans="1:2" ht="14.5">
      <c r="A575" s="6"/>
      <c r="B575" s="6"/>
    </row>
    <row r="576" spans="1:2" ht="14.5">
      <c r="A576" s="6"/>
      <c r="B576" s="6"/>
    </row>
    <row r="577" spans="1:2" ht="14.5">
      <c r="A577" s="6"/>
      <c r="B577" s="6"/>
    </row>
    <row r="578" spans="1:2" ht="14.5">
      <c r="A578" s="6"/>
      <c r="B578" s="6"/>
    </row>
    <row r="579" spans="1:2" ht="14.5">
      <c r="A579" s="6"/>
      <c r="B579" s="6"/>
    </row>
    <row r="580" spans="1:2" ht="14.5">
      <c r="A580" s="6"/>
      <c r="B580" s="6"/>
    </row>
    <row r="581" spans="1:2" ht="14.5">
      <c r="A581" s="6"/>
      <c r="B581" s="6"/>
    </row>
    <row r="582" spans="1:2" ht="14.5">
      <c r="A582" s="6"/>
      <c r="B582" s="6"/>
    </row>
    <row r="583" spans="1:2" ht="14.5">
      <c r="A583" s="6"/>
      <c r="B583" s="6"/>
    </row>
    <row r="584" spans="1:2" ht="14.5">
      <c r="A584" s="6"/>
      <c r="B584" s="6"/>
    </row>
    <row r="585" spans="1:2" ht="14.5">
      <c r="A585" s="6"/>
      <c r="B585" s="6"/>
    </row>
    <row r="586" spans="1:2" ht="14.5">
      <c r="A586" s="6"/>
      <c r="B586" s="6"/>
    </row>
    <row r="587" spans="1:2" ht="14.5">
      <c r="A587" s="6"/>
      <c r="B587" s="6"/>
    </row>
    <row r="588" spans="1:2" ht="14.5">
      <c r="A588" s="6"/>
      <c r="B588" s="6"/>
    </row>
    <row r="589" spans="1:2" ht="14.5">
      <c r="A589" s="6"/>
      <c r="B589" s="6"/>
    </row>
    <row r="590" spans="1:2" ht="14.5">
      <c r="A590" s="6"/>
      <c r="B590" s="6"/>
    </row>
    <row r="591" spans="1:2" ht="14.5">
      <c r="A591" s="6"/>
      <c r="B591" s="6"/>
    </row>
    <row r="592" spans="1:2" ht="14.5">
      <c r="A592" s="6"/>
      <c r="B592" s="6"/>
    </row>
    <row r="593" spans="1:2" ht="14.5">
      <c r="A593" s="6"/>
      <c r="B593" s="6"/>
    </row>
    <row r="594" spans="1:2" ht="14.5">
      <c r="A594" s="6"/>
      <c r="B594" s="6"/>
    </row>
    <row r="595" spans="1:2" ht="14.5">
      <c r="A595" s="6"/>
      <c r="B595" s="6"/>
    </row>
    <row r="596" spans="1:2" ht="14.5">
      <c r="A596" s="6"/>
      <c r="B596" s="6"/>
    </row>
    <row r="597" spans="1:2" ht="14.5">
      <c r="A597" s="6"/>
      <c r="B597" s="6"/>
    </row>
    <row r="598" spans="1:2" ht="14.5">
      <c r="A598" s="6"/>
      <c r="B598" s="6"/>
    </row>
    <row r="599" spans="1:2" ht="14.5">
      <c r="A599" s="6"/>
      <c r="B599" s="6"/>
    </row>
    <row r="600" spans="1:2" ht="14.5">
      <c r="A600" s="6"/>
      <c r="B600" s="6"/>
    </row>
    <row r="601" spans="1:2" ht="14.5">
      <c r="A601" s="6"/>
      <c r="B601" s="6"/>
    </row>
    <row r="602" spans="1:2" ht="14.5">
      <c r="A602" s="6"/>
      <c r="B602" s="6"/>
    </row>
    <row r="603" spans="1:2" ht="14.5">
      <c r="A603" s="6"/>
      <c r="B603" s="6"/>
    </row>
    <row r="604" spans="1:2" ht="14.5">
      <c r="A604" s="6"/>
      <c r="B604" s="6"/>
    </row>
    <row r="605" spans="1:2" ht="14.5">
      <c r="A605" s="6"/>
      <c r="B605" s="6"/>
    </row>
    <row r="606" spans="1:2" ht="14.5">
      <c r="A606" s="6"/>
      <c r="B606" s="6"/>
    </row>
    <row r="607" spans="1:2" ht="14.5">
      <c r="A607" s="6"/>
      <c r="B607" s="6"/>
    </row>
    <row r="608" spans="1:2" ht="14.5">
      <c r="A608" s="6"/>
      <c r="B608" s="6"/>
    </row>
    <row r="609" spans="1:2" ht="14.5">
      <c r="A609" s="6"/>
      <c r="B609" s="6"/>
    </row>
    <row r="610" spans="1:2" ht="14.5">
      <c r="A610" s="6"/>
      <c r="B610" s="6"/>
    </row>
    <row r="611" spans="1:2" ht="14.5">
      <c r="A611" s="6"/>
      <c r="B611" s="6"/>
    </row>
    <row r="612" spans="1:2" ht="14.5">
      <c r="A612" s="6"/>
      <c r="B612" s="6"/>
    </row>
    <row r="613" spans="1:2" ht="14.5">
      <c r="A613" s="6"/>
      <c r="B613" s="6"/>
    </row>
    <row r="614" spans="1:2" ht="14.5">
      <c r="A614" s="6"/>
      <c r="B614" s="6"/>
    </row>
    <row r="615" spans="1:2" ht="14.5">
      <c r="A615" s="6"/>
      <c r="B615" s="6"/>
    </row>
    <row r="616" spans="1:2" ht="14.5">
      <c r="A616" s="6"/>
      <c r="B616" s="6"/>
    </row>
    <row r="617" spans="1:2" ht="14.5">
      <c r="A617" s="6"/>
      <c r="B617" s="6"/>
    </row>
    <row r="618" spans="1:2" ht="14.5">
      <c r="A618" s="6"/>
      <c r="B618" s="6"/>
    </row>
    <row r="619" spans="1:2" ht="14.5">
      <c r="A619" s="6"/>
      <c r="B619" s="6"/>
    </row>
    <row r="620" spans="1:2" ht="14.5">
      <c r="A620" s="6"/>
      <c r="B620" s="6"/>
    </row>
    <row r="621" spans="1:2" ht="14.5">
      <c r="A621" s="6"/>
      <c r="B621" s="6"/>
    </row>
    <row r="622" spans="1:2" ht="14.5">
      <c r="A622" s="6"/>
      <c r="B622" s="6"/>
    </row>
    <row r="623" spans="1:2" ht="14.5">
      <c r="A623" s="6"/>
      <c r="B623" s="6"/>
    </row>
    <row r="624" spans="1:2" ht="14.5">
      <c r="A624" s="6"/>
      <c r="B624" s="6"/>
    </row>
    <row r="625" spans="1:2" ht="14.5">
      <c r="A625" s="6"/>
      <c r="B625" s="6"/>
    </row>
    <row r="626" spans="1:2" ht="14.5">
      <c r="A626" s="6"/>
      <c r="B626" s="6"/>
    </row>
    <row r="627" spans="1:2" ht="14.5">
      <c r="A627" s="6"/>
      <c r="B627" s="6"/>
    </row>
    <row r="628" spans="1:2" ht="14.5">
      <c r="A628" s="6"/>
      <c r="B628" s="6"/>
    </row>
    <row r="629" spans="1:2" ht="14.5">
      <c r="A629" s="6"/>
      <c r="B629" s="6"/>
    </row>
    <row r="630" spans="1:2" ht="14.5">
      <c r="A630" s="6"/>
      <c r="B630" s="6"/>
    </row>
    <row r="631" spans="1:2" ht="14.5">
      <c r="A631" s="6"/>
      <c r="B631" s="6"/>
    </row>
    <row r="632" spans="1:2" ht="14.5">
      <c r="A632" s="6"/>
      <c r="B632" s="6"/>
    </row>
    <row r="633" spans="1:2" ht="14.5">
      <c r="A633" s="6"/>
      <c r="B633" s="6"/>
    </row>
    <row r="634" spans="1:2" ht="14.5">
      <c r="A634" s="6"/>
      <c r="B634" s="6"/>
    </row>
    <row r="635" spans="1:2" ht="14.5">
      <c r="A635" s="6"/>
      <c r="B635" s="6"/>
    </row>
    <row r="636" spans="1:2" ht="14.5">
      <c r="A636" s="6"/>
      <c r="B636" s="6"/>
    </row>
    <row r="637" spans="1:2" ht="14.5">
      <c r="A637" s="6"/>
      <c r="B637" s="6"/>
    </row>
    <row r="638" spans="1:2" ht="14.5">
      <c r="A638" s="6"/>
      <c r="B638" s="6"/>
    </row>
    <row r="639" spans="1:2" ht="14.5">
      <c r="A639" s="6"/>
      <c r="B639" s="6"/>
    </row>
    <row r="640" spans="1:2" ht="14.5">
      <c r="A640" s="6"/>
      <c r="B640" s="6"/>
    </row>
    <row r="641" spans="1:2" ht="14.5">
      <c r="A641" s="6"/>
      <c r="B641" s="6"/>
    </row>
    <row r="642" spans="1:2" ht="14.5">
      <c r="A642" s="6"/>
      <c r="B642" s="6"/>
    </row>
    <row r="643" spans="1:2" ht="14.5">
      <c r="A643" s="6"/>
      <c r="B643" s="6"/>
    </row>
    <row r="644" spans="1:2" ht="14.5">
      <c r="A644" s="6"/>
      <c r="B644" s="6"/>
    </row>
    <row r="645" spans="1:2" ht="14.5">
      <c r="A645" s="6"/>
      <c r="B645" s="6"/>
    </row>
    <row r="646" spans="1:2" ht="14.5">
      <c r="A646" s="6"/>
      <c r="B646" s="6"/>
    </row>
    <row r="647" spans="1:2" ht="14.5">
      <c r="A647" s="6"/>
      <c r="B647" s="6"/>
    </row>
    <row r="648" spans="1:2" ht="14.5">
      <c r="A648" s="6"/>
      <c r="B648" s="6"/>
    </row>
    <row r="649" spans="1:2" ht="14.5">
      <c r="A649" s="6"/>
      <c r="B649" s="6"/>
    </row>
    <row r="650" spans="1:2" ht="14.5">
      <c r="A650" s="6"/>
      <c r="B650" s="6"/>
    </row>
    <row r="651" spans="1:2" ht="14.5">
      <c r="A651" s="6"/>
      <c r="B651" s="6"/>
    </row>
    <row r="652" spans="1:2" ht="14.5">
      <c r="A652" s="6"/>
      <c r="B652" s="6"/>
    </row>
    <row r="653" spans="1:2" ht="14.5">
      <c r="A653" s="6"/>
      <c r="B653" s="6"/>
    </row>
    <row r="654" spans="1:2" ht="14.5">
      <c r="A654" s="6"/>
      <c r="B654" s="6"/>
    </row>
    <row r="655" spans="1:2" ht="14.5">
      <c r="A655" s="6"/>
      <c r="B655" s="6"/>
    </row>
    <row r="656" spans="1:2" ht="14.5">
      <c r="A656" s="6"/>
      <c r="B656" s="6"/>
    </row>
    <row r="657" spans="1:2" ht="14.5">
      <c r="A657" s="6"/>
      <c r="B657" s="6"/>
    </row>
    <row r="658" spans="1:2" ht="14.5">
      <c r="A658" s="6"/>
      <c r="B658" s="6"/>
    </row>
    <row r="659" spans="1:2" ht="14.5">
      <c r="A659" s="6"/>
      <c r="B659" s="6"/>
    </row>
    <row r="660" spans="1:2" ht="14.5">
      <c r="A660" s="6"/>
      <c r="B660" s="6"/>
    </row>
    <row r="661" spans="1:2" ht="14.5">
      <c r="A661" s="6"/>
      <c r="B661" s="6"/>
    </row>
    <row r="662" spans="1:2" ht="14.5">
      <c r="A662" s="6"/>
      <c r="B662" s="6"/>
    </row>
    <row r="663" spans="1:2" ht="14.5">
      <c r="A663" s="6"/>
      <c r="B663" s="6"/>
    </row>
    <row r="664" spans="1:2" ht="14.5">
      <c r="A664" s="6"/>
      <c r="B664" s="6"/>
    </row>
    <row r="665" spans="1:2" ht="14.5">
      <c r="A665" s="6"/>
      <c r="B665" s="6"/>
    </row>
    <row r="666" spans="1:2" ht="14.5">
      <c r="A666" s="6"/>
      <c r="B666" s="6"/>
    </row>
    <row r="667" spans="1:2" ht="14.5">
      <c r="A667" s="6"/>
      <c r="B667" s="6"/>
    </row>
    <row r="668" spans="1:2" ht="14.5">
      <c r="A668" s="6"/>
      <c r="B668" s="6"/>
    </row>
    <row r="669" spans="1:2" ht="14.5">
      <c r="A669" s="6"/>
      <c r="B669" s="6"/>
    </row>
    <row r="670" spans="1:2" ht="14.5">
      <c r="A670" s="6"/>
      <c r="B670" s="6"/>
    </row>
    <row r="671" spans="1:2" ht="14.5">
      <c r="A671" s="6"/>
      <c r="B671" s="6"/>
    </row>
    <row r="672" spans="1:2" ht="14.5">
      <c r="A672" s="6"/>
      <c r="B672" s="6"/>
    </row>
    <row r="673" spans="1:2" ht="14.5">
      <c r="A673" s="6"/>
      <c r="B673" s="6"/>
    </row>
    <row r="674" spans="1:2" ht="14.5">
      <c r="A674" s="6"/>
      <c r="B674" s="6"/>
    </row>
    <row r="675" spans="1:2" ht="14.5">
      <c r="A675" s="6"/>
      <c r="B675" s="6"/>
    </row>
    <row r="676" spans="1:2" ht="14.5">
      <c r="A676" s="6"/>
      <c r="B676" s="6"/>
    </row>
    <row r="677" spans="1:2" ht="14.5">
      <c r="A677" s="6"/>
      <c r="B677" s="6"/>
    </row>
    <row r="678" spans="1:2" ht="14.5">
      <c r="A678" s="6"/>
      <c r="B678" s="6"/>
    </row>
    <row r="679" spans="1:2" ht="14.5">
      <c r="A679" s="6"/>
      <c r="B679" s="6"/>
    </row>
    <row r="680" spans="1:2" ht="14.5">
      <c r="A680" s="6"/>
      <c r="B680" s="6"/>
    </row>
    <row r="681" spans="1:2" ht="14.5">
      <c r="A681" s="6"/>
      <c r="B681" s="6"/>
    </row>
    <row r="682" spans="1:2" ht="14.5">
      <c r="A682" s="6"/>
      <c r="B682" s="6"/>
    </row>
    <row r="683" spans="1:2" ht="14.5">
      <c r="A683" s="6"/>
      <c r="B683" s="6"/>
    </row>
    <row r="684" spans="1:2" ht="14.5">
      <c r="A684" s="6"/>
      <c r="B684" s="6"/>
    </row>
    <row r="685" spans="1:2" ht="14.5">
      <c r="A685" s="6"/>
      <c r="B685" s="6"/>
    </row>
    <row r="686" spans="1:2" ht="14.5">
      <c r="A686" s="6"/>
      <c r="B686" s="6"/>
    </row>
    <row r="687" spans="1:2" ht="14.5">
      <c r="A687" s="6"/>
      <c r="B687" s="6"/>
    </row>
    <row r="688" spans="1:2" ht="14.5">
      <c r="A688" s="6"/>
      <c r="B688" s="6"/>
    </row>
    <row r="689" spans="1:2" ht="14.5">
      <c r="A689" s="6"/>
      <c r="B689" s="6"/>
    </row>
    <row r="690" spans="1:2" ht="14.5">
      <c r="A690" s="6"/>
      <c r="B690" s="6"/>
    </row>
    <row r="691" spans="1:2" ht="14.5">
      <c r="A691" s="6"/>
      <c r="B691" s="6"/>
    </row>
    <row r="692" spans="1:2" ht="14.5">
      <c r="A692" s="6"/>
      <c r="B692" s="6"/>
    </row>
    <row r="693" spans="1:2" ht="14.5">
      <c r="A693" s="6"/>
      <c r="B693" s="6"/>
    </row>
    <row r="694" spans="1:2" ht="14.5">
      <c r="A694" s="6"/>
      <c r="B694" s="6"/>
    </row>
    <row r="695" spans="1:2" ht="14.5">
      <c r="A695" s="6"/>
      <c r="B695" s="6"/>
    </row>
    <row r="696" spans="1:2" ht="14.5">
      <c r="A696" s="6"/>
      <c r="B696" s="6"/>
    </row>
    <row r="697" spans="1:2" ht="14.5">
      <c r="A697" s="6"/>
      <c r="B697" s="6"/>
    </row>
    <row r="698" spans="1:2" ht="14.5">
      <c r="A698" s="6"/>
      <c r="B698" s="6"/>
    </row>
    <row r="699" spans="1:2" ht="14.5">
      <c r="A699" s="6"/>
      <c r="B699" s="6"/>
    </row>
    <row r="700" spans="1:2" ht="14.5">
      <c r="A700" s="6"/>
      <c r="B700" s="6"/>
    </row>
    <row r="701" spans="1:2" ht="14.5">
      <c r="A701" s="6"/>
      <c r="B701" s="6"/>
    </row>
    <row r="702" spans="1:2" ht="14.5">
      <c r="A702" s="6"/>
      <c r="B702" s="6"/>
    </row>
    <row r="703" spans="1:2" ht="14.5">
      <c r="A703" s="6"/>
      <c r="B703" s="6"/>
    </row>
    <row r="704" spans="1:2" ht="14.5">
      <c r="A704" s="6"/>
      <c r="B704" s="6"/>
    </row>
    <row r="705" spans="1:2" ht="14.5">
      <c r="A705" s="6"/>
      <c r="B705" s="6"/>
    </row>
    <row r="706" spans="1:2" ht="14.5">
      <c r="A706" s="6"/>
      <c r="B706" s="6"/>
    </row>
    <row r="707" spans="1:2" ht="14.5">
      <c r="A707" s="6"/>
      <c r="B707" s="6"/>
    </row>
    <row r="708" spans="1:2" ht="14.5">
      <c r="A708" s="6"/>
      <c r="B708" s="6"/>
    </row>
    <row r="709" spans="1:2" ht="14.5">
      <c r="A709" s="6"/>
      <c r="B709" s="6"/>
    </row>
    <row r="710" spans="1:2" ht="14.5">
      <c r="A710" s="6"/>
      <c r="B710" s="6"/>
    </row>
    <row r="711" spans="1:2" ht="14.5">
      <c r="A711" s="6"/>
      <c r="B711" s="6"/>
    </row>
    <row r="712" spans="1:2" ht="14.5">
      <c r="A712" s="6"/>
      <c r="B712" s="6"/>
    </row>
    <row r="713" spans="1:2" ht="14.5">
      <c r="A713" s="6"/>
      <c r="B713" s="6"/>
    </row>
    <row r="714" spans="1:2" ht="14.5">
      <c r="A714" s="6"/>
      <c r="B714" s="6"/>
    </row>
    <row r="715" spans="1:2" ht="14.5">
      <c r="A715" s="6"/>
      <c r="B715" s="6"/>
    </row>
    <row r="716" spans="1:2" ht="14.5">
      <c r="A716" s="6"/>
      <c r="B716" s="6"/>
    </row>
    <row r="717" spans="1:2" ht="14.5">
      <c r="A717" s="6"/>
      <c r="B717" s="6"/>
    </row>
    <row r="718" spans="1:2" ht="14.5">
      <c r="A718" s="6"/>
      <c r="B718" s="6"/>
    </row>
    <row r="719" spans="1:2" ht="14.5">
      <c r="A719" s="6"/>
      <c r="B719" s="6"/>
    </row>
    <row r="720" spans="1:2" ht="14.5">
      <c r="A720" s="6"/>
      <c r="B720" s="6"/>
    </row>
    <row r="721" spans="1:2" ht="14.5">
      <c r="A721" s="6"/>
      <c r="B721" s="6"/>
    </row>
    <row r="722" spans="1:2" ht="14.5">
      <c r="A722" s="6"/>
      <c r="B722" s="6"/>
    </row>
    <row r="723" spans="1:2" ht="14.5">
      <c r="A723" s="6"/>
      <c r="B723" s="6"/>
    </row>
    <row r="724" spans="1:2" ht="14.5">
      <c r="A724" s="6"/>
      <c r="B724" s="6"/>
    </row>
    <row r="725" spans="1:2" ht="14.5">
      <c r="A725" s="6"/>
      <c r="B725" s="6"/>
    </row>
    <row r="726" spans="1:2" ht="14.5">
      <c r="A726" s="6"/>
      <c r="B726" s="6"/>
    </row>
    <row r="727" spans="1:2" ht="14.5">
      <c r="A727" s="6"/>
      <c r="B727" s="6"/>
    </row>
    <row r="728" spans="1:2" ht="14.5">
      <c r="A728" s="6"/>
      <c r="B728" s="6"/>
    </row>
    <row r="729" spans="1:2" ht="14.5">
      <c r="A729" s="6"/>
      <c r="B729" s="6"/>
    </row>
    <row r="730" spans="1:2" ht="14.5">
      <c r="A730" s="6"/>
      <c r="B730" s="6"/>
    </row>
    <row r="731" spans="1:2" ht="14.5">
      <c r="A731" s="6"/>
      <c r="B731" s="6"/>
    </row>
    <row r="732" spans="1:2" ht="14.5">
      <c r="A732" s="6"/>
      <c r="B732" s="6"/>
    </row>
    <row r="733" spans="1:2" ht="14.5">
      <c r="A733" s="6"/>
      <c r="B733" s="6"/>
    </row>
    <row r="734" spans="1:2" ht="14.5">
      <c r="A734" s="6"/>
      <c r="B734" s="6"/>
    </row>
    <row r="735" spans="1:2" ht="14.5">
      <c r="A735" s="6"/>
      <c r="B735" s="6"/>
    </row>
    <row r="736" spans="1:2" ht="14.5">
      <c r="A736" s="6"/>
      <c r="B736" s="6"/>
    </row>
    <row r="737" spans="1:2" ht="14.5">
      <c r="A737" s="6"/>
      <c r="B737" s="6"/>
    </row>
    <row r="738" spans="1:2" ht="14.5">
      <c r="A738" s="6"/>
      <c r="B738" s="6"/>
    </row>
    <row r="739" spans="1:2" ht="14.5">
      <c r="A739" s="6"/>
      <c r="B739" s="6"/>
    </row>
    <row r="740" spans="1:2" ht="14.5">
      <c r="A740" s="6"/>
      <c r="B740" s="6"/>
    </row>
    <row r="741" spans="1:2" ht="14.5">
      <c r="A741" s="6"/>
      <c r="B741" s="6"/>
    </row>
    <row r="742" spans="1:2" ht="14.5">
      <c r="A742" s="6"/>
      <c r="B742" s="6"/>
    </row>
    <row r="743" spans="1:2" ht="14.5">
      <c r="A743" s="6"/>
      <c r="B743" s="6"/>
    </row>
    <row r="744" spans="1:2" ht="14.5">
      <c r="A744" s="6"/>
      <c r="B744" s="6"/>
    </row>
    <row r="745" spans="1:2" ht="14.5">
      <c r="A745" s="6"/>
      <c r="B745" s="6"/>
    </row>
    <row r="746" spans="1:2" ht="14.5">
      <c r="A746" s="6"/>
      <c r="B746" s="6"/>
    </row>
    <row r="747" spans="1:2" ht="14.5">
      <c r="A747" s="6"/>
      <c r="B747" s="6"/>
    </row>
    <row r="748" spans="1:2" ht="14.5">
      <c r="A748" s="6"/>
      <c r="B748" s="6"/>
    </row>
    <row r="749" spans="1:2" ht="14.5">
      <c r="A749" s="6"/>
      <c r="B749" s="6"/>
    </row>
    <row r="750" spans="1:2" ht="14.5">
      <c r="A750" s="6"/>
      <c r="B750" s="6"/>
    </row>
    <row r="751" spans="1:2" ht="14.5">
      <c r="A751" s="6"/>
      <c r="B751" s="6"/>
    </row>
    <row r="752" spans="1:2" ht="14.5">
      <c r="A752" s="6"/>
      <c r="B752" s="6"/>
    </row>
    <row r="753" spans="1:2" ht="14.5">
      <c r="A753" s="6"/>
      <c r="B753" s="6"/>
    </row>
    <row r="754" spans="1:2" ht="14.5">
      <c r="A754" s="6"/>
      <c r="B754" s="6"/>
    </row>
    <row r="755" spans="1:2" ht="14.5">
      <c r="A755" s="6"/>
      <c r="B755" s="6"/>
    </row>
    <row r="756" spans="1:2" ht="14.5">
      <c r="A756" s="6"/>
      <c r="B756" s="6"/>
    </row>
    <row r="757" spans="1:2" ht="14.5">
      <c r="A757" s="6"/>
      <c r="B757" s="6"/>
    </row>
    <row r="758" spans="1:2" ht="14.5">
      <c r="A758" s="6"/>
      <c r="B758" s="6"/>
    </row>
    <row r="759" spans="1:2" ht="14.5">
      <c r="A759" s="6"/>
      <c r="B759" s="6"/>
    </row>
    <row r="760" spans="1:2" ht="14.5">
      <c r="A760" s="6"/>
      <c r="B760" s="6"/>
    </row>
    <row r="761" spans="1:2" ht="14.5">
      <c r="A761" s="6"/>
      <c r="B761" s="6"/>
    </row>
    <row r="762" spans="1:2" ht="14.5">
      <c r="A762" s="6"/>
      <c r="B762" s="6"/>
    </row>
    <row r="763" spans="1:2" ht="14.5">
      <c r="A763" s="6"/>
      <c r="B763" s="6"/>
    </row>
    <row r="764" spans="1:2" ht="14.5">
      <c r="A764" s="6"/>
      <c r="B764" s="6"/>
    </row>
    <row r="765" spans="1:2" ht="14.5">
      <c r="A765" s="6"/>
      <c r="B765" s="6"/>
    </row>
    <row r="766" spans="1:2" ht="14.5">
      <c r="A766" s="6"/>
      <c r="B766" s="6"/>
    </row>
    <row r="767" spans="1:2" ht="14.5">
      <c r="A767" s="6"/>
      <c r="B767" s="6"/>
    </row>
    <row r="768" spans="1:2" ht="14.5">
      <c r="A768" s="6"/>
      <c r="B768" s="6"/>
    </row>
    <row r="769" spans="1:2" ht="14.5">
      <c r="A769" s="6"/>
      <c r="B769" s="6"/>
    </row>
    <row r="770" spans="1:2" ht="14.5">
      <c r="A770" s="6"/>
      <c r="B770" s="6"/>
    </row>
    <row r="771" spans="1:2" ht="14.5">
      <c r="A771" s="6"/>
      <c r="B771" s="6"/>
    </row>
    <row r="772" spans="1:2" ht="14.5">
      <c r="A772" s="6"/>
      <c r="B772" s="6"/>
    </row>
    <row r="773" spans="1:2" ht="14.5">
      <c r="A773" s="6"/>
      <c r="B773" s="6"/>
    </row>
    <row r="774" spans="1:2" ht="14.5">
      <c r="A774" s="6"/>
      <c r="B774" s="6"/>
    </row>
    <row r="775" spans="1:2" ht="14.5">
      <c r="A775" s="6"/>
      <c r="B775" s="6"/>
    </row>
    <row r="776" spans="1:2" ht="14.5">
      <c r="A776" s="6"/>
      <c r="B776" s="6"/>
    </row>
    <row r="777" spans="1:2" ht="14.5">
      <c r="A777" s="6"/>
      <c r="B777" s="6"/>
    </row>
    <row r="778" spans="1:2" ht="14.5">
      <c r="A778" s="6"/>
      <c r="B778" s="6"/>
    </row>
    <row r="779" spans="1:2" ht="14.5">
      <c r="A779" s="6"/>
      <c r="B779" s="6"/>
    </row>
    <row r="780" spans="1:2" ht="14.5">
      <c r="A780" s="6"/>
      <c r="B780" s="6"/>
    </row>
    <row r="781" spans="1:2" ht="14.5">
      <c r="A781" s="6"/>
      <c r="B781" s="6"/>
    </row>
    <row r="782" spans="1:2" ht="14.5">
      <c r="A782" s="6"/>
      <c r="B782" s="6"/>
    </row>
    <row r="783" spans="1:2" ht="14.5">
      <c r="A783" s="6"/>
      <c r="B783" s="6"/>
    </row>
    <row r="784" spans="1:2" ht="14.5">
      <c r="A784" s="6"/>
      <c r="B784" s="6"/>
    </row>
    <row r="785" spans="1:2" ht="14.5">
      <c r="A785" s="6"/>
      <c r="B785" s="6"/>
    </row>
    <row r="786" spans="1:2" ht="14.5">
      <c r="A786" s="6"/>
      <c r="B786" s="6"/>
    </row>
    <row r="787" spans="1:2" ht="14.5">
      <c r="A787" s="6"/>
      <c r="B787" s="6"/>
    </row>
    <row r="788" spans="1:2" ht="14.5">
      <c r="A788" s="6"/>
      <c r="B788" s="6"/>
    </row>
    <row r="789" spans="1:2" ht="14.5">
      <c r="A789" s="6"/>
      <c r="B789" s="6"/>
    </row>
    <row r="790" spans="1:2" ht="14.5">
      <c r="A790" s="6"/>
      <c r="B790" s="6"/>
    </row>
    <row r="791" spans="1:2" ht="14.5">
      <c r="A791" s="6"/>
      <c r="B791" s="6"/>
    </row>
    <row r="792" spans="1:2" ht="14.5">
      <c r="A792" s="6"/>
      <c r="B792" s="6"/>
    </row>
    <row r="793" spans="1:2" ht="14.5">
      <c r="A793" s="6"/>
      <c r="B793" s="6"/>
    </row>
    <row r="794" spans="1:2" ht="14.5">
      <c r="A794" s="6"/>
      <c r="B794" s="6"/>
    </row>
    <row r="795" spans="1:2" ht="14.5">
      <c r="A795" s="6"/>
      <c r="B795" s="6"/>
    </row>
    <row r="796" spans="1:2" ht="14.5">
      <c r="A796" s="6"/>
      <c r="B796" s="6"/>
    </row>
    <row r="797" spans="1:2" ht="14.5">
      <c r="A797" s="6"/>
      <c r="B797" s="6"/>
    </row>
    <row r="798" spans="1:2" ht="14.5">
      <c r="A798" s="6"/>
      <c r="B798" s="6"/>
    </row>
    <row r="799" spans="1:2" ht="14.5">
      <c r="A799" s="6"/>
      <c r="B799" s="6"/>
    </row>
    <row r="800" spans="1:2" ht="14.5">
      <c r="A800" s="6"/>
      <c r="B800" s="6"/>
    </row>
    <row r="801" spans="1:2" ht="14.5">
      <c r="A801" s="6"/>
      <c r="B801" s="6"/>
    </row>
    <row r="802" spans="1:2" ht="14.5">
      <c r="A802" s="6"/>
      <c r="B802" s="6"/>
    </row>
    <row r="803" spans="1:2" ht="14.5">
      <c r="A803" s="6"/>
      <c r="B803" s="6"/>
    </row>
    <row r="804" spans="1:2" ht="14.5">
      <c r="A804" s="6"/>
      <c r="B804" s="6"/>
    </row>
    <row r="805" spans="1:2" ht="14.5">
      <c r="A805" s="6"/>
      <c r="B805" s="6"/>
    </row>
    <row r="806" spans="1:2" ht="14.5">
      <c r="A806" s="6"/>
      <c r="B806" s="6"/>
    </row>
    <row r="807" spans="1:2" ht="14.5">
      <c r="A807" s="6"/>
      <c r="B807" s="6"/>
    </row>
    <row r="808" spans="1:2" ht="14.5">
      <c r="A808" s="6"/>
      <c r="B808" s="6"/>
    </row>
    <row r="809" spans="1:2" ht="14.5">
      <c r="A809" s="6"/>
      <c r="B809" s="6"/>
    </row>
    <row r="810" spans="1:2" ht="14.5">
      <c r="A810" s="6"/>
      <c r="B810" s="6"/>
    </row>
    <row r="811" spans="1:2" ht="14.5">
      <c r="A811" s="6"/>
      <c r="B811" s="6"/>
    </row>
    <row r="812" spans="1:2" ht="14.5">
      <c r="A812" s="6"/>
      <c r="B812" s="6"/>
    </row>
    <row r="813" spans="1:2" ht="14.5">
      <c r="A813" s="6"/>
      <c r="B813" s="6"/>
    </row>
    <row r="814" spans="1:2" ht="14.5">
      <c r="A814" s="6"/>
      <c r="B814" s="6"/>
    </row>
    <row r="815" spans="1:2" ht="14.5">
      <c r="A815" s="6"/>
      <c r="B815" s="6"/>
    </row>
    <row r="816" spans="1:2" ht="14.5">
      <c r="A816" s="6"/>
      <c r="B816" s="6"/>
    </row>
    <row r="817" spans="1:2" ht="14.5">
      <c r="A817" s="6"/>
      <c r="B817" s="6"/>
    </row>
    <row r="818" spans="1:2" ht="14.5">
      <c r="A818" s="6"/>
      <c r="B818" s="6"/>
    </row>
    <row r="819" spans="1:2" ht="14.5">
      <c r="A819" s="6"/>
      <c r="B819" s="6"/>
    </row>
    <row r="820" spans="1:2" ht="14.5">
      <c r="A820" s="6"/>
      <c r="B820" s="6"/>
    </row>
    <row r="821" spans="1:2" ht="14.5">
      <c r="A821" s="6"/>
      <c r="B821" s="6"/>
    </row>
    <row r="822" spans="1:2" ht="14.5">
      <c r="A822" s="6"/>
      <c r="B822" s="6"/>
    </row>
    <row r="823" spans="1:2" ht="14.5">
      <c r="A823" s="6"/>
      <c r="B823" s="6"/>
    </row>
    <row r="824" spans="1:2" ht="14.5">
      <c r="A824" s="6"/>
      <c r="B824" s="6"/>
    </row>
    <row r="825" spans="1:2" ht="14.5">
      <c r="A825" s="6"/>
      <c r="B825" s="6"/>
    </row>
    <row r="826" spans="1:2" ht="14.5">
      <c r="A826" s="6"/>
      <c r="B826" s="6"/>
    </row>
    <row r="827" spans="1:2" ht="14.5">
      <c r="A827" s="6"/>
      <c r="B827" s="6"/>
    </row>
    <row r="828" spans="1:2" ht="14.5">
      <c r="A828" s="6"/>
      <c r="B828" s="6"/>
    </row>
    <row r="829" spans="1:2" ht="14.5">
      <c r="A829" s="6"/>
      <c r="B829" s="6"/>
    </row>
    <row r="830" spans="1:2" ht="14.5">
      <c r="A830" s="6"/>
      <c r="B830" s="6"/>
    </row>
    <row r="831" spans="1:2" ht="14.5">
      <c r="A831" s="6"/>
      <c r="B831" s="6"/>
    </row>
    <row r="832" spans="1:2" ht="14.5">
      <c r="A832" s="6"/>
      <c r="B832" s="6"/>
    </row>
    <row r="833" spans="1:2" ht="14.5">
      <c r="A833" s="6"/>
      <c r="B833" s="6"/>
    </row>
    <row r="834" spans="1:2" ht="14.5">
      <c r="A834" s="6"/>
      <c r="B834" s="6"/>
    </row>
    <row r="835" spans="1:2" ht="14.5">
      <c r="A835" s="6"/>
      <c r="B835" s="6"/>
    </row>
    <row r="836" spans="1:2" ht="14.5">
      <c r="A836" s="6"/>
      <c r="B836" s="6"/>
    </row>
    <row r="837" spans="1:2" ht="14.5">
      <c r="A837" s="6"/>
      <c r="B837" s="6"/>
    </row>
    <row r="838" spans="1:2" ht="14.5">
      <c r="A838" s="6"/>
      <c r="B838" s="6"/>
    </row>
    <row r="839" spans="1:2" ht="14.5">
      <c r="A839" s="6"/>
      <c r="B839" s="6"/>
    </row>
    <row r="840" spans="1:2" ht="14.5">
      <c r="A840" s="6"/>
      <c r="B840" s="6"/>
    </row>
    <row r="841" spans="1:2" ht="14.5">
      <c r="A841" s="6"/>
      <c r="B841" s="6"/>
    </row>
    <row r="842" spans="1:2" ht="14.5">
      <c r="A842" s="6"/>
      <c r="B842" s="6"/>
    </row>
    <row r="843" spans="1:2" ht="14.5">
      <c r="A843" s="6"/>
      <c r="B843" s="6"/>
    </row>
    <row r="844" spans="1:2" ht="14.5">
      <c r="A844" s="6"/>
      <c r="B844" s="6"/>
    </row>
    <row r="845" spans="1:2" ht="14.5">
      <c r="A845" s="6"/>
      <c r="B845" s="6"/>
    </row>
    <row r="846" spans="1:2" ht="14.5">
      <c r="A846" s="6"/>
      <c r="B846" s="6"/>
    </row>
    <row r="847" spans="1:2" ht="14.5">
      <c r="A847" s="6"/>
      <c r="B847" s="6"/>
    </row>
    <row r="848" spans="1:2" ht="14.5">
      <c r="A848" s="6"/>
      <c r="B848" s="6"/>
    </row>
    <row r="849" spans="1:2" ht="14.5">
      <c r="A849" s="6"/>
      <c r="B849" s="6"/>
    </row>
    <row r="850" spans="1:2" ht="14.5">
      <c r="A850" s="6"/>
      <c r="B850" s="6"/>
    </row>
    <row r="851" spans="1:2" ht="14.5">
      <c r="A851" s="6"/>
      <c r="B851" s="6"/>
    </row>
    <row r="852" spans="1:2" ht="14.5">
      <c r="A852" s="6"/>
      <c r="B852" s="6"/>
    </row>
    <row r="853" spans="1:2" ht="14.5">
      <c r="A853" s="6"/>
      <c r="B853" s="6"/>
    </row>
    <row r="854" spans="1:2" ht="14.5">
      <c r="A854" s="6"/>
      <c r="B854" s="6"/>
    </row>
    <row r="855" spans="1:2" ht="14.5">
      <c r="A855" s="6"/>
      <c r="B855" s="6"/>
    </row>
    <row r="856" spans="1:2" ht="14.5">
      <c r="A856" s="6"/>
      <c r="B856" s="6"/>
    </row>
    <row r="857" spans="1:2" ht="14.5">
      <c r="A857" s="6"/>
      <c r="B857" s="6"/>
    </row>
    <row r="858" spans="1:2" ht="14.5">
      <c r="A858" s="6"/>
      <c r="B858" s="6"/>
    </row>
    <row r="859" spans="1:2" ht="14.5">
      <c r="A859" s="6"/>
      <c r="B859" s="6"/>
    </row>
    <row r="860" spans="1:2" ht="14.5">
      <c r="A860" s="6"/>
      <c r="B860" s="6"/>
    </row>
    <row r="861" spans="1:2" ht="14.5">
      <c r="A861" s="6"/>
      <c r="B861" s="6"/>
    </row>
    <row r="862" spans="1:2" ht="14.5">
      <c r="A862" s="6"/>
      <c r="B862" s="6"/>
    </row>
    <row r="863" spans="1:2" ht="14.5">
      <c r="A863" s="6"/>
      <c r="B863" s="6"/>
    </row>
    <row r="864" spans="1:2" ht="14.5">
      <c r="A864" s="6"/>
      <c r="B864" s="6"/>
    </row>
    <row r="865" spans="1:2" ht="14.5">
      <c r="A865" s="6"/>
      <c r="B865" s="6"/>
    </row>
    <row r="866" spans="1:2" ht="14.5">
      <c r="A866" s="6"/>
      <c r="B866" s="6"/>
    </row>
    <row r="867" spans="1:2" ht="14.5">
      <c r="A867" s="6"/>
      <c r="B867" s="6"/>
    </row>
    <row r="868" spans="1:2" ht="14.5">
      <c r="A868" s="6"/>
      <c r="B868" s="6"/>
    </row>
    <row r="869" spans="1:2" ht="14.5">
      <c r="A869" s="6"/>
      <c r="B869" s="6"/>
    </row>
    <row r="870" spans="1:2" ht="14.5">
      <c r="A870" s="6"/>
      <c r="B870" s="6"/>
    </row>
    <row r="871" spans="1:2" ht="14.5">
      <c r="A871" s="6"/>
      <c r="B871" s="6"/>
    </row>
    <row r="872" spans="1:2" ht="14.5">
      <c r="A872" s="6"/>
      <c r="B872" s="6"/>
    </row>
    <row r="873" spans="1:2" ht="14.5">
      <c r="A873" s="6"/>
      <c r="B873" s="6"/>
    </row>
    <row r="874" spans="1:2" ht="14.5">
      <c r="A874" s="6"/>
      <c r="B874" s="6"/>
    </row>
    <row r="875" spans="1:2" ht="14.5">
      <c r="A875" s="6"/>
      <c r="B875" s="6"/>
    </row>
    <row r="876" spans="1:2" ht="14.5">
      <c r="A876" s="6"/>
      <c r="B876" s="6"/>
    </row>
    <row r="877" spans="1:2" ht="14.5">
      <c r="A877" s="6"/>
      <c r="B877" s="6"/>
    </row>
    <row r="878" spans="1:2" ht="14.5">
      <c r="A878" s="6"/>
      <c r="B878" s="6"/>
    </row>
    <row r="879" spans="1:2" ht="14.5">
      <c r="A879" s="6"/>
      <c r="B879" s="6"/>
    </row>
    <row r="880" spans="1:2" ht="14.5">
      <c r="A880" s="6"/>
      <c r="B880" s="6"/>
    </row>
    <row r="881" spans="1:2" ht="14.5">
      <c r="A881" s="6"/>
      <c r="B881" s="6"/>
    </row>
    <row r="882" spans="1:2" ht="14.5">
      <c r="A882" s="6"/>
      <c r="B882" s="6"/>
    </row>
    <row r="883" spans="1:2" ht="14.5">
      <c r="A883" s="6"/>
      <c r="B883" s="6"/>
    </row>
    <row r="884" spans="1:2" ht="14.5">
      <c r="A884" s="6"/>
      <c r="B884" s="6"/>
    </row>
    <row r="885" spans="1:2" ht="14.5">
      <c r="A885" s="6"/>
      <c r="B885" s="6"/>
    </row>
    <row r="886" spans="1:2" ht="14.5">
      <c r="A886" s="6"/>
      <c r="B886" s="6"/>
    </row>
    <row r="887" spans="1:2" ht="14.5">
      <c r="A887" s="6"/>
      <c r="B887" s="6"/>
    </row>
    <row r="888" spans="1:2" ht="14.5">
      <c r="A888" s="6"/>
      <c r="B888" s="6"/>
    </row>
    <row r="889" spans="1:2" ht="14.5">
      <c r="A889" s="6"/>
      <c r="B889" s="6"/>
    </row>
    <row r="890" spans="1:2" ht="14.5">
      <c r="A890" s="6"/>
      <c r="B890" s="6"/>
    </row>
    <row r="891" spans="1:2" ht="14.5">
      <c r="A891" s="6"/>
      <c r="B891" s="6"/>
    </row>
    <row r="892" spans="1:2" ht="14.5">
      <c r="A892" s="6"/>
      <c r="B892" s="6"/>
    </row>
    <row r="893" spans="1:2" ht="14.5">
      <c r="A893" s="6"/>
      <c r="B893" s="6"/>
    </row>
    <row r="894" spans="1:2" ht="14.5">
      <c r="A894" s="6"/>
      <c r="B894" s="6"/>
    </row>
    <row r="895" spans="1:2" ht="14.5">
      <c r="A895" s="6"/>
      <c r="B895" s="6"/>
    </row>
    <row r="896" spans="1:2" ht="14.5">
      <c r="A896" s="6"/>
      <c r="B896" s="6"/>
    </row>
    <row r="897" spans="1:2" ht="14.5">
      <c r="A897" s="6"/>
      <c r="B897" s="6"/>
    </row>
    <row r="898" spans="1:2" ht="14.5">
      <c r="A898" s="6"/>
      <c r="B898" s="6"/>
    </row>
    <row r="899" spans="1:2" ht="14.5">
      <c r="A899" s="6"/>
      <c r="B899" s="6"/>
    </row>
    <row r="900" spans="1:2" ht="14.5">
      <c r="A900" s="6"/>
      <c r="B900" s="6"/>
    </row>
    <row r="901" spans="1:2" ht="14.5">
      <c r="A901" s="6"/>
      <c r="B901" s="6"/>
    </row>
    <row r="902" spans="1:2" ht="14.5">
      <c r="A902" s="6"/>
      <c r="B902" s="6"/>
    </row>
    <row r="903" spans="1:2" ht="14.5">
      <c r="A903" s="6"/>
      <c r="B903" s="6"/>
    </row>
    <row r="904" spans="1:2" ht="14.5">
      <c r="A904" s="6"/>
      <c r="B904" s="6"/>
    </row>
    <row r="905" spans="1:2" ht="14.5">
      <c r="A905" s="6"/>
      <c r="B905" s="6"/>
    </row>
    <row r="906" spans="1:2" ht="14.5">
      <c r="A906" s="6"/>
      <c r="B906" s="6"/>
    </row>
    <row r="907" spans="1:2" ht="14.5">
      <c r="A907" s="6"/>
      <c r="B907" s="6"/>
    </row>
    <row r="908" spans="1:2" ht="14.5">
      <c r="A908" s="6"/>
      <c r="B908" s="6"/>
    </row>
    <row r="909" spans="1:2" ht="14.5">
      <c r="A909" s="6"/>
      <c r="B909" s="6"/>
    </row>
    <row r="910" spans="1:2" ht="14.5">
      <c r="A910" s="6"/>
      <c r="B910" s="6"/>
    </row>
    <row r="911" spans="1:2" ht="14.5">
      <c r="A911" s="6"/>
      <c r="B911" s="6"/>
    </row>
    <row r="912" spans="1:2" ht="14.5">
      <c r="A912" s="6"/>
      <c r="B912" s="6"/>
    </row>
    <row r="913" spans="1:2" ht="14.5">
      <c r="A913" s="6"/>
      <c r="B913" s="6"/>
    </row>
    <row r="914" spans="1:2" ht="14.5">
      <c r="A914" s="6"/>
      <c r="B914" s="6"/>
    </row>
    <row r="915" spans="1:2" ht="14.5">
      <c r="A915" s="6"/>
      <c r="B915" s="6"/>
    </row>
    <row r="916" spans="1:2" ht="14.5">
      <c r="A916" s="6"/>
      <c r="B916" s="6"/>
    </row>
    <row r="917" spans="1:2" ht="14.5">
      <c r="A917" s="6"/>
      <c r="B917" s="6"/>
    </row>
    <row r="918" spans="1:2" ht="14.5">
      <c r="A918" s="6"/>
      <c r="B918" s="6"/>
    </row>
    <row r="919" spans="1:2" ht="14.5">
      <c r="A919" s="6"/>
      <c r="B919" s="6"/>
    </row>
    <row r="920" spans="1:2" ht="14.5">
      <c r="A920" s="6"/>
      <c r="B920" s="6"/>
    </row>
    <row r="921" spans="1:2" ht="14.5">
      <c r="A921" s="6"/>
      <c r="B921" s="6"/>
    </row>
    <row r="922" spans="1:2" ht="14.5">
      <c r="A922" s="6"/>
      <c r="B922" s="6"/>
    </row>
    <row r="923" spans="1:2" ht="14.5">
      <c r="A923" s="6"/>
      <c r="B923" s="6"/>
    </row>
    <row r="924" spans="1:2" ht="14.5">
      <c r="A924" s="6"/>
      <c r="B924" s="6"/>
    </row>
    <row r="925" spans="1:2" ht="14.5">
      <c r="A925" s="6"/>
      <c r="B925" s="6"/>
    </row>
    <row r="926" spans="1:2" ht="14.5">
      <c r="A926" s="6"/>
      <c r="B926" s="6"/>
    </row>
    <row r="927" spans="1:2" ht="14.5">
      <c r="A927" s="6"/>
      <c r="B927" s="6"/>
    </row>
    <row r="928" spans="1:2" ht="14.5">
      <c r="A928" s="6"/>
      <c r="B928" s="6"/>
    </row>
    <row r="929" spans="1:2" ht="14.5">
      <c r="A929" s="6"/>
      <c r="B929" s="6"/>
    </row>
    <row r="930" spans="1:2" ht="14.5">
      <c r="A930" s="6"/>
      <c r="B930" s="6"/>
    </row>
    <row r="931" spans="1:2" ht="14.5">
      <c r="A931" s="6"/>
      <c r="B931" s="6"/>
    </row>
    <row r="932" spans="1:2" ht="14.5">
      <c r="A932" s="6"/>
      <c r="B932" s="6"/>
    </row>
    <row r="933" spans="1:2" ht="14.5">
      <c r="A933" s="6"/>
      <c r="B933" s="6"/>
    </row>
    <row r="934" spans="1:2" ht="14.5">
      <c r="A934" s="6"/>
      <c r="B934" s="6"/>
    </row>
    <row r="935" spans="1:2" ht="14.5">
      <c r="A935" s="6"/>
      <c r="B935" s="6"/>
    </row>
    <row r="936" spans="1:2" ht="14.5">
      <c r="A936" s="6"/>
      <c r="B936" s="6"/>
    </row>
    <row r="937" spans="1:2" ht="14.5">
      <c r="A937" s="6"/>
      <c r="B937" s="6"/>
    </row>
    <row r="938" spans="1:2" ht="14.5">
      <c r="A938" s="6"/>
      <c r="B938" s="6"/>
    </row>
    <row r="939" spans="1:2" ht="14.5">
      <c r="A939" s="6"/>
      <c r="B939" s="6"/>
    </row>
    <row r="940" spans="1:2" ht="14.5">
      <c r="A940" s="6"/>
      <c r="B940" s="6"/>
    </row>
    <row r="941" spans="1:2" ht="14.5">
      <c r="A941" s="6"/>
      <c r="B941" s="6"/>
    </row>
    <row r="942" spans="1:2" ht="14.5">
      <c r="A942" s="6"/>
      <c r="B942" s="6"/>
    </row>
    <row r="943" spans="1:2" ht="14.5">
      <c r="A943" s="6"/>
      <c r="B943" s="6"/>
    </row>
    <row r="944" spans="1:2" ht="14.5">
      <c r="A944" s="6"/>
      <c r="B944" s="6"/>
    </row>
    <row r="945" spans="1:2" ht="14.5">
      <c r="A945" s="6"/>
      <c r="B945" s="6"/>
    </row>
    <row r="946" spans="1:2" ht="14.5">
      <c r="A946" s="6"/>
      <c r="B946" s="6"/>
    </row>
    <row r="947" spans="1:2" ht="14.5">
      <c r="A947" s="6"/>
      <c r="B947" s="6"/>
    </row>
    <row r="948" spans="1:2" ht="14.5">
      <c r="A948" s="6"/>
      <c r="B948" s="6"/>
    </row>
    <row r="949" spans="1:2" ht="14.5">
      <c r="A949" s="6"/>
      <c r="B949" s="6"/>
    </row>
    <row r="950" spans="1:2" ht="14.5">
      <c r="A950" s="6"/>
      <c r="B950" s="6"/>
    </row>
    <row r="951" spans="1:2" ht="14.5">
      <c r="A951" s="6"/>
      <c r="B951" s="6"/>
    </row>
    <row r="952" spans="1:2" ht="14.5">
      <c r="A952" s="6"/>
      <c r="B952" s="6"/>
    </row>
    <row r="953" spans="1:2" ht="14.5">
      <c r="A953" s="6"/>
      <c r="B953" s="6"/>
    </row>
    <row r="954" spans="1:2" ht="14.5">
      <c r="A954" s="6"/>
      <c r="B954" s="6"/>
    </row>
    <row r="955" spans="1:2" ht="14.5">
      <c r="A955" s="6"/>
      <c r="B955" s="6"/>
    </row>
    <row r="956" spans="1:2" ht="14.5">
      <c r="A956" s="6"/>
      <c r="B956" s="6"/>
    </row>
    <row r="957" spans="1:2" ht="14.5">
      <c r="A957" s="6"/>
      <c r="B957" s="6"/>
    </row>
    <row r="958" spans="1:2" ht="14.5">
      <c r="A958" s="6"/>
      <c r="B958" s="6"/>
    </row>
    <row r="959" spans="1:2" ht="14.5">
      <c r="A959" s="6"/>
      <c r="B959" s="6"/>
    </row>
    <row r="960" spans="1:2" ht="14.5">
      <c r="A960" s="6"/>
      <c r="B960" s="6"/>
    </row>
    <row r="961" spans="1:2" ht="14.5">
      <c r="A961" s="6"/>
      <c r="B961" s="6"/>
    </row>
    <row r="962" spans="1:2" ht="14.5">
      <c r="A962" s="6"/>
      <c r="B962" s="6"/>
    </row>
    <row r="963" spans="1:2" ht="14.5">
      <c r="A963" s="6"/>
      <c r="B963" s="6"/>
    </row>
    <row r="964" spans="1:2" ht="14.5">
      <c r="A964" s="6"/>
      <c r="B964" s="6"/>
    </row>
    <row r="965" spans="1:2" ht="14.5">
      <c r="A965" s="6"/>
      <c r="B965" s="6"/>
    </row>
    <row r="966" spans="1:2" ht="14.5">
      <c r="A966" s="6"/>
      <c r="B966" s="6"/>
    </row>
    <row r="967" spans="1:2" ht="14.5">
      <c r="A967" s="6"/>
      <c r="B967" s="6"/>
    </row>
    <row r="968" spans="1:2" ht="14.5">
      <c r="A968" s="6"/>
      <c r="B968" s="6"/>
    </row>
    <row r="969" spans="1:2" ht="14.5">
      <c r="A969" s="6"/>
      <c r="B969" s="6"/>
    </row>
    <row r="970" spans="1:2" ht="14.5">
      <c r="A970" s="6"/>
      <c r="B970" s="6"/>
    </row>
    <row r="971" spans="1:2" ht="14.5">
      <c r="A971" s="6"/>
      <c r="B971" s="6"/>
    </row>
    <row r="972" spans="1:2" ht="14.5">
      <c r="A972" s="6"/>
      <c r="B972" s="6"/>
    </row>
    <row r="973" spans="1:2" ht="14.5">
      <c r="A973" s="6"/>
      <c r="B973" s="6"/>
    </row>
    <row r="974" spans="1:2" ht="14.5">
      <c r="A974" s="6"/>
      <c r="B974" s="6"/>
    </row>
    <row r="975" spans="1:2" ht="14.5">
      <c r="A975" s="6"/>
      <c r="B975" s="6"/>
    </row>
    <row r="976" spans="1:2" ht="14.5">
      <c r="A976" s="6"/>
      <c r="B976" s="6"/>
    </row>
    <row r="977" spans="1:2" ht="14.5">
      <c r="A977" s="6"/>
      <c r="B977" s="6"/>
    </row>
    <row r="978" spans="1:2" ht="14.5">
      <c r="A978" s="6"/>
      <c r="B978" s="6"/>
    </row>
    <row r="979" spans="1:2" ht="14.5">
      <c r="A979" s="6"/>
      <c r="B979" s="6"/>
    </row>
    <row r="980" spans="1:2" ht="14.5">
      <c r="A980" s="6"/>
      <c r="B980" s="6"/>
    </row>
    <row r="981" spans="1:2" ht="14.5">
      <c r="A981" s="6"/>
      <c r="B981" s="6"/>
    </row>
    <row r="982" spans="1:2" ht="14.5">
      <c r="A982" s="6"/>
      <c r="B982" s="6"/>
    </row>
    <row r="983" spans="1:2" ht="14.5">
      <c r="A983" s="6"/>
      <c r="B983" s="6"/>
    </row>
    <row r="984" spans="1:2" ht="14.5">
      <c r="A984" s="6"/>
      <c r="B984" s="6"/>
    </row>
    <row r="985" spans="1:2" ht="14.5">
      <c r="A985" s="6"/>
      <c r="B985" s="6"/>
    </row>
    <row r="986" spans="1:2" ht="14.5">
      <c r="A986" s="6"/>
      <c r="B986" s="6"/>
    </row>
    <row r="987" spans="1:2" ht="14.5">
      <c r="A987" s="6"/>
      <c r="B987" s="6"/>
    </row>
    <row r="988" spans="1:2" ht="14.5">
      <c r="A988" s="6"/>
      <c r="B988" s="6"/>
    </row>
    <row r="989" spans="1:2" ht="14.5">
      <c r="A989" s="6"/>
      <c r="B989" s="6"/>
    </row>
    <row r="990" spans="1:2" ht="14.5">
      <c r="A990" s="6"/>
      <c r="B990" s="6"/>
    </row>
    <row r="991" spans="1:2" ht="14.5">
      <c r="A991" s="6"/>
      <c r="B991" s="6"/>
    </row>
    <row r="992" spans="1:2" ht="14.5">
      <c r="A992" s="6"/>
      <c r="B992" s="6"/>
    </row>
    <row r="993" spans="1:2" ht="14.5">
      <c r="A993" s="6"/>
      <c r="B993" s="6"/>
    </row>
    <row r="994" spans="1:2" ht="14.5">
      <c r="A994" s="6"/>
      <c r="B994" s="6"/>
    </row>
    <row r="995" spans="1:2" ht="14.5">
      <c r="A995" s="6"/>
      <c r="B995" s="6"/>
    </row>
    <row r="996" spans="1:2" ht="14.5">
      <c r="A996" s="6"/>
      <c r="B996" s="6"/>
    </row>
    <row r="997" spans="1:2" ht="14.5">
      <c r="A997" s="6"/>
      <c r="B997" s="6"/>
    </row>
    <row r="998" spans="1:2" ht="14.5">
      <c r="A998" s="6"/>
      <c r="B998" s="6"/>
    </row>
    <row r="999" spans="1:2" ht="14.5">
      <c r="A999" s="6"/>
      <c r="B999" s="6"/>
    </row>
    <row r="1000" spans="1:2" ht="14.5">
      <c r="A1000" s="6"/>
      <c r="B1000" s="6"/>
    </row>
  </sheetData>
  <mergeCells count="72">
    <mergeCell ref="A54:A56"/>
    <mergeCell ref="B54:B56"/>
    <mergeCell ref="A57:A59"/>
    <mergeCell ref="A69:A71"/>
    <mergeCell ref="A72:A74"/>
    <mergeCell ref="B57:B59"/>
    <mergeCell ref="A62:B62"/>
    <mergeCell ref="A63:A65"/>
    <mergeCell ref="B63:B65"/>
    <mergeCell ref="A66:A68"/>
    <mergeCell ref="B66:B68"/>
    <mergeCell ref="B69:B71"/>
    <mergeCell ref="A47:B47"/>
    <mergeCell ref="A48:A50"/>
    <mergeCell ref="B48:B50"/>
    <mergeCell ref="A51:A53"/>
    <mergeCell ref="B51:B53"/>
    <mergeCell ref="A36:A38"/>
    <mergeCell ref="B36:B38"/>
    <mergeCell ref="A39:A41"/>
    <mergeCell ref="B39:B41"/>
    <mergeCell ref="A42:A44"/>
    <mergeCell ref="B42:B44"/>
    <mergeCell ref="A27:A29"/>
    <mergeCell ref="B27:B29"/>
    <mergeCell ref="A32:B32"/>
    <mergeCell ref="A33:A35"/>
    <mergeCell ref="B33:B35"/>
    <mergeCell ref="A18:A20"/>
    <mergeCell ref="B18:B20"/>
    <mergeCell ref="A21:A23"/>
    <mergeCell ref="B21:B23"/>
    <mergeCell ref="A24:A26"/>
    <mergeCell ref="B24:B26"/>
    <mergeCell ref="A9:A11"/>
    <mergeCell ref="B9:B11"/>
    <mergeCell ref="A12:A14"/>
    <mergeCell ref="B12:B14"/>
    <mergeCell ref="A17:B17"/>
    <mergeCell ref="A2:B2"/>
    <mergeCell ref="A3:A5"/>
    <mergeCell ref="B3:B5"/>
    <mergeCell ref="A6:A8"/>
    <mergeCell ref="B6:B8"/>
    <mergeCell ref="A114:A116"/>
    <mergeCell ref="A117:A119"/>
    <mergeCell ref="B102:B104"/>
    <mergeCell ref="A107:B107"/>
    <mergeCell ref="A108:A110"/>
    <mergeCell ref="B108:B110"/>
    <mergeCell ref="A111:A113"/>
    <mergeCell ref="B111:B113"/>
    <mergeCell ref="B114:B116"/>
    <mergeCell ref="B117:B119"/>
    <mergeCell ref="A99:A101"/>
    <mergeCell ref="A102:A104"/>
    <mergeCell ref="B87:B89"/>
    <mergeCell ref="A92:B92"/>
    <mergeCell ref="A93:A95"/>
    <mergeCell ref="B93:B95"/>
    <mergeCell ref="A96:A98"/>
    <mergeCell ref="B96:B98"/>
    <mergeCell ref="B99:B101"/>
    <mergeCell ref="A84:A86"/>
    <mergeCell ref="A87:A89"/>
    <mergeCell ref="B72:B74"/>
    <mergeCell ref="A77:B77"/>
    <mergeCell ref="A78:A80"/>
    <mergeCell ref="B78:B80"/>
    <mergeCell ref="A81:A83"/>
    <mergeCell ref="B81:B83"/>
    <mergeCell ref="B84:B8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Clique e introduza um valor do intervalo." xr:uid="{00000000-0002-0000-0400-000000000000}">
          <x14:formula1>
            <xm:f>'Base dados Exercicios'!$N$4:$N$13</xm:f>
          </x14:formula1>
          <xm:sqref>B15 B30 B45 B60 B75 B90 B105 B120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14"/>
  <sheetViews>
    <sheetView workbookViewId="0">
      <selection sqref="A1:D1"/>
    </sheetView>
  </sheetViews>
  <sheetFormatPr defaultColWidth="12.6328125" defaultRowHeight="15" customHeight="1"/>
  <cols>
    <col min="1" max="1" width="53.7265625" customWidth="1"/>
    <col min="2" max="2" width="17.453125" customWidth="1"/>
    <col min="3" max="3" width="25.08984375" customWidth="1"/>
    <col min="4" max="4" width="33.90625" customWidth="1"/>
  </cols>
  <sheetData>
    <row r="1" spans="1:26" ht="15" customHeight="1">
      <c r="A1" s="453"/>
      <c r="B1" s="371"/>
      <c r="C1" s="371"/>
      <c r="D1" s="371"/>
      <c r="E1" s="6"/>
      <c r="F1" s="6"/>
      <c r="G1" s="6"/>
      <c r="H1" s="6"/>
      <c r="I1" s="6"/>
      <c r="J1" s="6"/>
      <c r="K1" s="6"/>
      <c r="L1" s="6"/>
      <c r="M1" s="6"/>
      <c r="N1" s="6"/>
      <c r="O1" s="6"/>
      <c r="P1" s="6"/>
      <c r="Q1" s="6"/>
      <c r="R1" s="6"/>
      <c r="S1" s="6"/>
      <c r="T1" s="6"/>
      <c r="U1" s="6"/>
      <c r="V1" s="6"/>
      <c r="W1" s="6"/>
      <c r="X1" s="6"/>
      <c r="Y1" s="6"/>
      <c r="Z1" s="6"/>
    </row>
    <row r="2" spans="1:26" ht="15" customHeight="1">
      <c r="A2" s="454" t="s">
        <v>216</v>
      </c>
      <c r="B2" s="358"/>
      <c r="C2" s="358"/>
      <c r="D2" s="358"/>
      <c r="E2" s="6"/>
      <c r="F2" s="6"/>
      <c r="G2" s="6"/>
      <c r="H2" s="6"/>
      <c r="I2" s="6"/>
      <c r="J2" s="6"/>
      <c r="K2" s="6"/>
      <c r="L2" s="6"/>
      <c r="M2" s="6"/>
      <c r="N2" s="6"/>
      <c r="O2" s="6"/>
      <c r="P2" s="6"/>
      <c r="Q2" s="6"/>
      <c r="R2" s="6"/>
      <c r="S2" s="6"/>
      <c r="T2" s="6"/>
      <c r="U2" s="6"/>
      <c r="V2" s="6"/>
      <c r="W2" s="6"/>
      <c r="X2" s="6"/>
      <c r="Y2" s="6"/>
      <c r="Z2" s="6"/>
    </row>
    <row r="3" spans="1:26" ht="15" customHeight="1">
      <c r="A3" s="235" t="s">
        <v>217</v>
      </c>
      <c r="B3" s="236" t="s">
        <v>218</v>
      </c>
      <c r="C3" s="236" t="s">
        <v>219</v>
      </c>
      <c r="D3" s="237" t="s">
        <v>220</v>
      </c>
      <c r="E3" s="6"/>
      <c r="F3" s="6"/>
      <c r="G3" s="6"/>
      <c r="H3" s="6"/>
      <c r="I3" s="6"/>
      <c r="J3" s="6"/>
      <c r="K3" s="6"/>
      <c r="L3" s="6"/>
      <c r="M3" s="6"/>
      <c r="N3" s="6"/>
      <c r="O3" s="6"/>
      <c r="P3" s="6"/>
      <c r="Q3" s="6"/>
      <c r="R3" s="6"/>
      <c r="S3" s="6"/>
      <c r="T3" s="6"/>
      <c r="U3" s="6"/>
      <c r="V3" s="6"/>
      <c r="W3" s="6"/>
      <c r="X3" s="6"/>
      <c r="Y3" s="6"/>
      <c r="Z3" s="6"/>
    </row>
    <row r="4" spans="1:26" ht="15" customHeight="1">
      <c r="A4" s="238" t="s">
        <v>221</v>
      </c>
      <c r="B4" s="239" t="s">
        <v>222</v>
      </c>
      <c r="C4" s="240" t="s">
        <v>223</v>
      </c>
      <c r="D4" s="74" t="s">
        <v>224</v>
      </c>
      <c r="E4" s="6"/>
      <c r="F4" s="6"/>
      <c r="G4" s="6"/>
      <c r="H4" s="6"/>
      <c r="I4" s="6"/>
      <c r="J4" s="6"/>
      <c r="K4" s="6"/>
      <c r="L4" s="6"/>
      <c r="M4" s="6"/>
      <c r="N4" s="6"/>
      <c r="O4" s="6"/>
      <c r="P4" s="6"/>
      <c r="Q4" s="6"/>
      <c r="R4" s="6"/>
      <c r="S4" s="6"/>
      <c r="T4" s="6"/>
      <c r="U4" s="6"/>
      <c r="V4" s="6"/>
      <c r="W4" s="6"/>
      <c r="X4" s="6"/>
      <c r="Y4" s="6"/>
      <c r="Z4" s="6"/>
    </row>
    <row r="5" spans="1:26" ht="15" customHeight="1">
      <c r="A5" s="238" t="s">
        <v>225</v>
      </c>
      <c r="B5" s="239" t="s">
        <v>226</v>
      </c>
      <c r="C5" s="240" t="s">
        <v>223</v>
      </c>
      <c r="D5" s="74" t="s">
        <v>227</v>
      </c>
      <c r="E5" s="6"/>
      <c r="F5" s="6"/>
      <c r="G5" s="6"/>
      <c r="H5" s="6"/>
      <c r="I5" s="6"/>
      <c r="J5" s="6"/>
      <c r="K5" s="6"/>
      <c r="L5" s="6"/>
      <c r="M5" s="6"/>
      <c r="N5" s="6"/>
      <c r="O5" s="6"/>
      <c r="P5" s="6"/>
      <c r="Q5" s="6"/>
      <c r="R5" s="6"/>
      <c r="S5" s="6"/>
      <c r="T5" s="6"/>
      <c r="U5" s="6"/>
      <c r="V5" s="6"/>
      <c r="W5" s="6"/>
      <c r="X5" s="6"/>
      <c r="Y5" s="6"/>
      <c r="Z5" s="6"/>
    </row>
    <row r="6" spans="1:26" ht="15.5">
      <c r="A6" s="238" t="s">
        <v>228</v>
      </c>
      <c r="B6" s="239" t="s">
        <v>229</v>
      </c>
      <c r="C6" s="240" t="s">
        <v>230</v>
      </c>
      <c r="D6" s="74" t="s">
        <v>231</v>
      </c>
      <c r="E6" s="6"/>
      <c r="F6" s="6"/>
      <c r="G6" s="6"/>
      <c r="H6" s="6"/>
      <c r="I6" s="6"/>
      <c r="J6" s="6"/>
      <c r="K6" s="6"/>
      <c r="L6" s="6"/>
      <c r="M6" s="6"/>
      <c r="N6" s="6"/>
      <c r="O6" s="6"/>
      <c r="P6" s="6"/>
      <c r="Q6" s="6"/>
      <c r="R6" s="6"/>
      <c r="S6" s="6"/>
      <c r="T6" s="6"/>
      <c r="U6" s="6"/>
      <c r="V6" s="6"/>
      <c r="W6" s="6"/>
      <c r="X6" s="6"/>
      <c r="Y6" s="6"/>
      <c r="Z6" s="6"/>
    </row>
    <row r="7" spans="1:26" ht="15.5">
      <c r="A7" s="238" t="s">
        <v>232</v>
      </c>
      <c r="B7" s="239" t="s">
        <v>233</v>
      </c>
      <c r="C7" s="240" t="s">
        <v>234</v>
      </c>
      <c r="D7" s="74" t="s">
        <v>235</v>
      </c>
      <c r="E7" s="6"/>
      <c r="F7" s="6"/>
      <c r="G7" s="6"/>
      <c r="H7" s="6"/>
      <c r="I7" s="6"/>
      <c r="J7" s="6"/>
      <c r="K7" s="6"/>
      <c r="L7" s="6"/>
      <c r="M7" s="6"/>
      <c r="N7" s="6"/>
      <c r="O7" s="6"/>
      <c r="P7" s="6"/>
      <c r="Q7" s="6"/>
      <c r="R7" s="6"/>
      <c r="S7" s="6"/>
      <c r="T7" s="6"/>
      <c r="U7" s="6"/>
      <c r="V7" s="6"/>
      <c r="W7" s="6"/>
      <c r="X7" s="6"/>
      <c r="Y7" s="6"/>
      <c r="Z7" s="6"/>
    </row>
    <row r="8" spans="1:26" ht="15.5">
      <c r="A8" s="241" t="s">
        <v>236</v>
      </c>
      <c r="B8" s="242" t="s">
        <v>237</v>
      </c>
      <c r="C8" s="240" t="s">
        <v>238</v>
      </c>
      <c r="D8" s="74" t="s">
        <v>239</v>
      </c>
      <c r="E8" s="6"/>
      <c r="F8" s="6"/>
      <c r="G8" s="6"/>
      <c r="H8" s="6"/>
      <c r="I8" s="6"/>
      <c r="J8" s="6"/>
      <c r="K8" s="6"/>
      <c r="L8" s="6"/>
      <c r="M8" s="6"/>
      <c r="N8" s="6"/>
      <c r="O8" s="6"/>
      <c r="P8" s="6"/>
      <c r="Q8" s="6"/>
      <c r="R8" s="6"/>
      <c r="S8" s="6"/>
      <c r="T8" s="6"/>
      <c r="U8" s="6"/>
      <c r="V8" s="6"/>
      <c r="W8" s="6"/>
      <c r="X8" s="6"/>
      <c r="Y8" s="6"/>
      <c r="Z8" s="6"/>
    </row>
    <row r="9" spans="1:26" ht="15.5">
      <c r="A9" s="241" t="s">
        <v>240</v>
      </c>
      <c r="B9" s="242" t="s">
        <v>241</v>
      </c>
      <c r="C9" s="240" t="s">
        <v>242</v>
      </c>
      <c r="D9" s="74" t="s">
        <v>243</v>
      </c>
      <c r="E9" s="6"/>
      <c r="F9" s="6"/>
      <c r="G9" s="6"/>
      <c r="H9" s="6"/>
      <c r="I9" s="6"/>
      <c r="J9" s="6"/>
      <c r="K9" s="6"/>
      <c r="L9" s="6"/>
      <c r="M9" s="6"/>
      <c r="N9" s="6"/>
      <c r="O9" s="6"/>
      <c r="P9" s="6"/>
      <c r="Q9" s="6"/>
      <c r="R9" s="6"/>
      <c r="S9" s="6"/>
      <c r="T9" s="6"/>
      <c r="U9" s="6"/>
      <c r="V9" s="6"/>
      <c r="W9" s="6"/>
      <c r="X9" s="6"/>
      <c r="Y9" s="6"/>
      <c r="Z9" s="6"/>
    </row>
    <row r="10" spans="1:26" ht="15.5">
      <c r="A10" s="241" t="s">
        <v>244</v>
      </c>
      <c r="B10" s="242" t="s">
        <v>245</v>
      </c>
      <c r="C10" s="240" t="s">
        <v>246</v>
      </c>
      <c r="D10" s="74" t="s">
        <v>247</v>
      </c>
      <c r="E10" s="6"/>
      <c r="F10" s="6"/>
      <c r="G10" s="6"/>
      <c r="H10" s="6"/>
      <c r="I10" s="6"/>
      <c r="J10" s="6"/>
      <c r="K10" s="6"/>
      <c r="L10" s="6"/>
      <c r="M10" s="6"/>
      <c r="N10" s="6"/>
      <c r="O10" s="6"/>
      <c r="P10" s="6"/>
      <c r="Q10" s="6"/>
      <c r="R10" s="6"/>
      <c r="S10" s="6"/>
      <c r="T10" s="6"/>
      <c r="U10" s="6"/>
      <c r="V10" s="6"/>
      <c r="W10" s="6"/>
      <c r="X10" s="6"/>
      <c r="Y10" s="6"/>
      <c r="Z10" s="6"/>
    </row>
    <row r="11" spans="1:26" ht="15.5">
      <c r="A11" s="243" t="s">
        <v>248</v>
      </c>
      <c r="B11" s="239" t="s">
        <v>249</v>
      </c>
      <c r="C11" s="244" t="s">
        <v>250</v>
      </c>
      <c r="D11" s="245"/>
      <c r="E11" s="6"/>
      <c r="F11" s="6"/>
      <c r="G11" s="6"/>
      <c r="H11" s="6"/>
      <c r="I11" s="6"/>
      <c r="J11" s="6"/>
      <c r="K11" s="6"/>
      <c r="L11" s="6"/>
      <c r="M11" s="6"/>
      <c r="N11" s="6"/>
      <c r="O11" s="6"/>
      <c r="P11" s="6"/>
      <c r="Q11" s="6"/>
      <c r="R11" s="6"/>
      <c r="S11" s="6"/>
      <c r="T11" s="6"/>
      <c r="U11" s="6"/>
      <c r="V11" s="6"/>
      <c r="W11" s="6"/>
      <c r="X11" s="6"/>
      <c r="Y11" s="6"/>
      <c r="Z11" s="6"/>
    </row>
    <row r="12" spans="1:26" ht="15.5">
      <c r="A12" s="246" t="s">
        <v>251</v>
      </c>
      <c r="B12" s="247" t="s">
        <v>252</v>
      </c>
      <c r="C12" s="248" t="s">
        <v>250</v>
      </c>
      <c r="D12" s="249"/>
      <c r="E12" s="6"/>
      <c r="F12" s="6"/>
      <c r="G12" s="6"/>
      <c r="H12" s="6"/>
      <c r="I12" s="6"/>
      <c r="J12" s="6"/>
      <c r="K12" s="6"/>
      <c r="L12" s="6"/>
      <c r="M12" s="6"/>
      <c r="N12" s="6"/>
      <c r="O12" s="6"/>
      <c r="P12" s="6"/>
      <c r="Q12" s="6"/>
      <c r="R12" s="6"/>
      <c r="S12" s="6"/>
      <c r="T12" s="6"/>
      <c r="U12" s="6"/>
      <c r="V12" s="6"/>
      <c r="W12" s="6"/>
      <c r="X12" s="6"/>
      <c r="Y12" s="6"/>
      <c r="Z12" s="6"/>
    </row>
    <row r="13" spans="1:26" ht="14.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21">
      <c r="A14" s="454" t="s">
        <v>253</v>
      </c>
      <c r="B14" s="358"/>
      <c r="C14" s="358"/>
      <c r="D14" s="358"/>
      <c r="E14" s="6"/>
      <c r="F14" s="6"/>
      <c r="G14" s="6"/>
      <c r="H14" s="6"/>
      <c r="I14" s="6"/>
      <c r="J14" s="6"/>
      <c r="K14" s="6"/>
      <c r="L14" s="6"/>
      <c r="M14" s="6"/>
      <c r="N14" s="6"/>
      <c r="O14" s="6"/>
      <c r="P14" s="6"/>
      <c r="Q14" s="6"/>
      <c r="R14" s="6"/>
      <c r="S14" s="6"/>
      <c r="T14" s="6"/>
      <c r="U14" s="6"/>
      <c r="V14" s="6"/>
      <c r="W14" s="6"/>
      <c r="X14" s="6"/>
      <c r="Y14" s="6"/>
      <c r="Z14" s="6"/>
    </row>
    <row r="15" spans="1:26" ht="21">
      <c r="A15" s="235" t="s">
        <v>254</v>
      </c>
      <c r="B15" s="236" t="s">
        <v>218</v>
      </c>
      <c r="C15" s="236" t="s">
        <v>255</v>
      </c>
      <c r="D15" s="237" t="s">
        <v>256</v>
      </c>
      <c r="E15" s="6"/>
      <c r="F15" s="6"/>
      <c r="G15" s="6"/>
      <c r="H15" s="6"/>
      <c r="I15" s="6"/>
      <c r="J15" s="6"/>
      <c r="K15" s="6"/>
      <c r="L15" s="6"/>
      <c r="M15" s="6"/>
      <c r="N15" s="6"/>
      <c r="O15" s="6"/>
      <c r="P15" s="6"/>
      <c r="Q15" s="6"/>
      <c r="R15" s="6"/>
      <c r="S15" s="6"/>
      <c r="T15" s="6"/>
      <c r="U15" s="6"/>
      <c r="V15" s="6"/>
      <c r="W15" s="6"/>
      <c r="X15" s="6"/>
      <c r="Y15" s="6"/>
      <c r="Z15" s="6"/>
    </row>
    <row r="16" spans="1:26" ht="15.5">
      <c r="A16" s="243" t="s">
        <v>257</v>
      </c>
      <c r="B16" s="239" t="s">
        <v>258</v>
      </c>
      <c r="C16" s="75">
        <v>325</v>
      </c>
      <c r="D16" s="76">
        <v>23.2</v>
      </c>
      <c r="E16" s="6"/>
      <c r="F16" s="6"/>
      <c r="G16" s="6"/>
      <c r="H16" s="6"/>
      <c r="I16" s="6"/>
      <c r="J16" s="6"/>
      <c r="K16" s="6"/>
      <c r="L16" s="6"/>
      <c r="M16" s="6"/>
      <c r="N16" s="6"/>
      <c r="O16" s="6"/>
      <c r="P16" s="6"/>
      <c r="Q16" s="6"/>
      <c r="R16" s="6"/>
      <c r="S16" s="6"/>
      <c r="T16" s="6"/>
      <c r="U16" s="6"/>
      <c r="V16" s="6"/>
      <c r="W16" s="6"/>
      <c r="X16" s="6"/>
      <c r="Y16" s="6"/>
      <c r="Z16" s="6"/>
    </row>
    <row r="17" spans="1:26" ht="15.5">
      <c r="A17" s="243" t="s">
        <v>259</v>
      </c>
      <c r="B17" s="239" t="s">
        <v>260</v>
      </c>
      <c r="C17" s="75">
        <v>344</v>
      </c>
      <c r="D17" s="76">
        <v>22.4</v>
      </c>
      <c r="E17" s="6"/>
      <c r="F17" s="6"/>
      <c r="G17" s="6"/>
      <c r="H17" s="6"/>
      <c r="I17" s="6"/>
      <c r="J17" s="6"/>
      <c r="K17" s="6"/>
      <c r="L17" s="6"/>
      <c r="M17" s="6"/>
      <c r="N17" s="6"/>
      <c r="O17" s="6"/>
      <c r="P17" s="6"/>
      <c r="Q17" s="6"/>
      <c r="R17" s="6"/>
      <c r="S17" s="6"/>
      <c r="T17" s="6"/>
      <c r="U17" s="6"/>
      <c r="V17" s="6"/>
      <c r="W17" s="6"/>
      <c r="X17" s="6"/>
      <c r="Y17" s="6"/>
      <c r="Z17" s="6"/>
    </row>
    <row r="18" spans="1:26" ht="15.5">
      <c r="A18" s="243" t="s">
        <v>261</v>
      </c>
      <c r="B18" s="239" t="s">
        <v>262</v>
      </c>
      <c r="C18" s="75">
        <v>180</v>
      </c>
      <c r="D18" s="76">
        <v>22.2</v>
      </c>
      <c r="E18" s="6"/>
      <c r="F18" s="6"/>
      <c r="G18" s="6"/>
      <c r="H18" s="6"/>
      <c r="I18" s="6"/>
      <c r="J18" s="6"/>
      <c r="K18" s="6"/>
      <c r="L18" s="6"/>
      <c r="M18" s="6"/>
      <c r="N18" s="6"/>
      <c r="O18" s="6"/>
      <c r="P18" s="6"/>
      <c r="Q18" s="6"/>
      <c r="R18" s="6"/>
      <c r="S18" s="6"/>
      <c r="T18" s="6"/>
      <c r="U18" s="6"/>
      <c r="V18" s="6"/>
      <c r="W18" s="6"/>
      <c r="X18" s="6"/>
      <c r="Y18" s="6"/>
      <c r="Z18" s="6"/>
    </row>
    <row r="19" spans="1:26" ht="15.5">
      <c r="A19" s="243" t="s">
        <v>263</v>
      </c>
      <c r="B19" s="239" t="s">
        <v>264</v>
      </c>
      <c r="C19" s="75">
        <v>340</v>
      </c>
      <c r="D19" s="76">
        <v>21</v>
      </c>
      <c r="E19" s="6"/>
      <c r="F19" s="6"/>
      <c r="G19" s="6"/>
      <c r="H19" s="6"/>
      <c r="I19" s="6"/>
      <c r="J19" s="6"/>
      <c r="K19" s="6"/>
      <c r="L19" s="6"/>
      <c r="M19" s="6"/>
      <c r="N19" s="6"/>
      <c r="O19" s="6"/>
      <c r="P19" s="6"/>
      <c r="Q19" s="6"/>
      <c r="R19" s="6"/>
      <c r="S19" s="6"/>
      <c r="T19" s="6"/>
      <c r="U19" s="6"/>
      <c r="V19" s="6"/>
      <c r="W19" s="6"/>
      <c r="X19" s="6"/>
      <c r="Y19" s="6"/>
      <c r="Z19" s="6"/>
    </row>
    <row r="20" spans="1:26" ht="15.5">
      <c r="A20" s="243" t="s">
        <v>265</v>
      </c>
      <c r="B20" s="239" t="s">
        <v>266</v>
      </c>
      <c r="C20" s="75">
        <v>224</v>
      </c>
      <c r="D20" s="76">
        <v>20</v>
      </c>
      <c r="E20" s="6"/>
      <c r="F20" s="6"/>
      <c r="G20" s="6"/>
      <c r="H20" s="6"/>
      <c r="I20" s="6"/>
      <c r="J20" s="6"/>
      <c r="K20" s="6"/>
      <c r="L20" s="6"/>
      <c r="M20" s="6"/>
      <c r="N20" s="6"/>
      <c r="O20" s="6"/>
      <c r="P20" s="6"/>
      <c r="Q20" s="6"/>
      <c r="R20" s="6"/>
      <c r="S20" s="6"/>
      <c r="T20" s="6"/>
      <c r="U20" s="6"/>
      <c r="V20" s="6"/>
      <c r="W20" s="6"/>
      <c r="X20" s="6"/>
      <c r="Y20" s="6"/>
      <c r="Z20" s="6"/>
    </row>
    <row r="21" spans="1:26" ht="15.5">
      <c r="A21" s="243" t="s">
        <v>267</v>
      </c>
      <c r="B21" s="239" t="s">
        <v>268</v>
      </c>
      <c r="C21" s="75">
        <v>210</v>
      </c>
      <c r="D21" s="76">
        <v>18</v>
      </c>
      <c r="E21" s="6"/>
      <c r="F21" s="6"/>
      <c r="G21" s="6"/>
      <c r="H21" s="6"/>
      <c r="I21" s="6"/>
      <c r="J21" s="6"/>
      <c r="K21" s="6"/>
      <c r="L21" s="6"/>
      <c r="M21" s="6"/>
      <c r="N21" s="6"/>
      <c r="O21" s="6"/>
      <c r="P21" s="6"/>
      <c r="Q21" s="6"/>
      <c r="R21" s="6"/>
      <c r="S21" s="6"/>
      <c r="T21" s="6"/>
      <c r="U21" s="6"/>
      <c r="V21" s="6"/>
      <c r="W21" s="6"/>
      <c r="X21" s="6"/>
      <c r="Y21" s="6"/>
      <c r="Z21" s="6"/>
    </row>
    <row r="22" spans="1:26" ht="15.5">
      <c r="A22" s="243" t="s">
        <v>269</v>
      </c>
      <c r="B22" s="239" t="s">
        <v>270</v>
      </c>
      <c r="C22" s="75">
        <v>325</v>
      </c>
      <c r="D22" s="76">
        <v>15.4</v>
      </c>
      <c r="E22" s="6"/>
      <c r="F22" s="6"/>
      <c r="G22" s="6"/>
      <c r="H22" s="6"/>
      <c r="I22" s="6"/>
      <c r="J22" s="6"/>
      <c r="K22" s="6"/>
      <c r="L22" s="6"/>
      <c r="M22" s="6"/>
      <c r="N22" s="6"/>
      <c r="O22" s="6"/>
      <c r="P22" s="6"/>
      <c r="Q22" s="6"/>
      <c r="R22" s="6"/>
      <c r="S22" s="6"/>
      <c r="T22" s="6"/>
      <c r="U22" s="6"/>
      <c r="V22" s="6"/>
      <c r="W22" s="6"/>
      <c r="X22" s="6"/>
      <c r="Y22" s="6"/>
      <c r="Z22" s="6"/>
    </row>
    <row r="23" spans="1:26" ht="15.5">
      <c r="A23" s="243" t="s">
        <v>271</v>
      </c>
      <c r="B23" s="239" t="s">
        <v>272</v>
      </c>
      <c r="C23" s="75">
        <v>315</v>
      </c>
      <c r="D23" s="76">
        <v>15</v>
      </c>
      <c r="E23" s="6"/>
      <c r="F23" s="6"/>
      <c r="G23" s="6"/>
      <c r="H23" s="6"/>
      <c r="I23" s="6"/>
      <c r="J23" s="6"/>
      <c r="K23" s="6"/>
      <c r="L23" s="6"/>
      <c r="M23" s="6"/>
      <c r="N23" s="6"/>
      <c r="O23" s="6"/>
      <c r="P23" s="6"/>
      <c r="Q23" s="6"/>
      <c r="R23" s="6"/>
      <c r="S23" s="6"/>
      <c r="T23" s="6"/>
      <c r="U23" s="6"/>
      <c r="V23" s="6"/>
      <c r="W23" s="6"/>
      <c r="X23" s="6"/>
      <c r="Y23" s="6"/>
      <c r="Z23" s="6"/>
    </row>
    <row r="24" spans="1:26" ht="15.5">
      <c r="A24" s="243" t="s">
        <v>273</v>
      </c>
      <c r="B24" s="239" t="s">
        <v>274</v>
      </c>
      <c r="C24" s="75">
        <v>290</v>
      </c>
      <c r="D24" s="76">
        <v>13.65</v>
      </c>
      <c r="E24" s="6"/>
      <c r="F24" s="6"/>
      <c r="G24" s="6"/>
      <c r="H24" s="6"/>
      <c r="I24" s="6"/>
      <c r="J24" s="6"/>
      <c r="K24" s="6"/>
      <c r="L24" s="6"/>
      <c r="M24" s="6"/>
      <c r="N24" s="6"/>
      <c r="O24" s="6"/>
      <c r="P24" s="6"/>
      <c r="Q24" s="6"/>
      <c r="R24" s="6"/>
      <c r="S24" s="6"/>
      <c r="T24" s="6"/>
      <c r="U24" s="6"/>
      <c r="V24" s="6"/>
      <c r="W24" s="6"/>
      <c r="X24" s="6"/>
      <c r="Y24" s="6"/>
      <c r="Z24" s="6"/>
    </row>
    <row r="25" spans="1:26" ht="15.5">
      <c r="A25" s="243" t="s">
        <v>275</v>
      </c>
      <c r="B25" s="239" t="s">
        <v>276</v>
      </c>
      <c r="C25" s="75">
        <v>123</v>
      </c>
      <c r="D25" s="76">
        <v>13</v>
      </c>
      <c r="E25" s="6"/>
      <c r="F25" s="6"/>
      <c r="G25" s="6"/>
      <c r="H25" s="6"/>
      <c r="I25" s="6"/>
      <c r="J25" s="6"/>
      <c r="K25" s="6"/>
      <c r="L25" s="6"/>
      <c r="M25" s="6"/>
      <c r="N25" s="6"/>
      <c r="O25" s="6"/>
      <c r="P25" s="6"/>
      <c r="Q25" s="6"/>
      <c r="R25" s="6"/>
      <c r="S25" s="6"/>
      <c r="T25" s="6"/>
      <c r="U25" s="6"/>
      <c r="V25" s="6"/>
      <c r="W25" s="6"/>
      <c r="X25" s="6"/>
      <c r="Y25" s="6"/>
      <c r="Z25" s="6"/>
    </row>
    <row r="26" spans="1:26" ht="15.5">
      <c r="A26" s="243" t="s">
        <v>277</v>
      </c>
      <c r="B26" s="239" t="s">
        <v>278</v>
      </c>
      <c r="C26" s="75">
        <v>123</v>
      </c>
      <c r="D26" s="76">
        <v>13</v>
      </c>
      <c r="E26" s="6"/>
      <c r="F26" s="6"/>
      <c r="G26" s="6"/>
      <c r="H26" s="6"/>
      <c r="I26" s="6"/>
      <c r="J26" s="6"/>
      <c r="K26" s="6"/>
      <c r="L26" s="6"/>
      <c r="M26" s="6"/>
      <c r="N26" s="6"/>
      <c r="O26" s="6"/>
      <c r="P26" s="6"/>
      <c r="Q26" s="6"/>
      <c r="R26" s="6"/>
      <c r="S26" s="6"/>
      <c r="T26" s="6"/>
      <c r="U26" s="6"/>
      <c r="V26" s="6"/>
      <c r="W26" s="6"/>
      <c r="X26" s="6"/>
      <c r="Y26" s="6"/>
      <c r="Z26" s="6"/>
    </row>
    <row r="27" spans="1:26" ht="15.5">
      <c r="A27" s="243" t="s">
        <v>279</v>
      </c>
      <c r="B27" s="239" t="s">
        <v>280</v>
      </c>
      <c r="C27" s="75">
        <v>140</v>
      </c>
      <c r="D27" s="76">
        <v>12</v>
      </c>
      <c r="E27" s="6"/>
      <c r="F27" s="6"/>
      <c r="G27" s="6"/>
      <c r="H27" s="6"/>
      <c r="I27" s="6"/>
      <c r="J27" s="6"/>
      <c r="K27" s="6"/>
      <c r="L27" s="6"/>
      <c r="M27" s="6"/>
      <c r="N27" s="6"/>
      <c r="O27" s="6"/>
      <c r="P27" s="6"/>
      <c r="Q27" s="6"/>
      <c r="R27" s="6"/>
      <c r="S27" s="6"/>
      <c r="T27" s="6"/>
      <c r="U27" s="6"/>
      <c r="V27" s="6"/>
      <c r="W27" s="6"/>
      <c r="X27" s="6"/>
      <c r="Y27" s="6"/>
      <c r="Z27" s="6"/>
    </row>
    <row r="28" spans="1:26" ht="15.5">
      <c r="A28" s="243" t="s">
        <v>281</v>
      </c>
      <c r="B28" s="239" t="s">
        <v>282</v>
      </c>
      <c r="C28" s="75">
        <v>114</v>
      </c>
      <c r="D28" s="76">
        <v>9</v>
      </c>
      <c r="E28" s="6"/>
      <c r="F28" s="6"/>
      <c r="G28" s="6"/>
      <c r="H28" s="6"/>
      <c r="I28" s="6"/>
      <c r="J28" s="6"/>
      <c r="K28" s="6"/>
      <c r="L28" s="6"/>
      <c r="M28" s="6"/>
      <c r="N28" s="6"/>
      <c r="O28" s="6"/>
      <c r="P28" s="6"/>
      <c r="Q28" s="6"/>
      <c r="R28" s="6"/>
      <c r="S28" s="6"/>
      <c r="T28" s="6"/>
      <c r="U28" s="6"/>
      <c r="V28" s="6"/>
      <c r="W28" s="6"/>
      <c r="X28" s="6"/>
      <c r="Y28" s="6"/>
      <c r="Z28" s="6"/>
    </row>
    <row r="29" spans="1:26" ht="15.5">
      <c r="A29" s="243" t="s">
        <v>283</v>
      </c>
      <c r="B29" s="239" t="s">
        <v>284</v>
      </c>
      <c r="C29" s="75">
        <v>120</v>
      </c>
      <c r="D29" s="76">
        <v>9</v>
      </c>
      <c r="E29" s="6"/>
      <c r="F29" s="6"/>
      <c r="G29" s="6"/>
      <c r="H29" s="6"/>
      <c r="I29" s="6"/>
      <c r="J29" s="6"/>
      <c r="K29" s="6"/>
      <c r="L29" s="6"/>
      <c r="M29" s="6"/>
      <c r="N29" s="6"/>
      <c r="O29" s="6"/>
      <c r="P29" s="6"/>
      <c r="Q29" s="6"/>
      <c r="R29" s="6"/>
      <c r="S29" s="6"/>
      <c r="T29" s="6"/>
      <c r="U29" s="6"/>
      <c r="V29" s="6"/>
      <c r="W29" s="6"/>
      <c r="X29" s="6"/>
      <c r="Y29" s="6"/>
      <c r="Z29" s="6"/>
    </row>
    <row r="30" spans="1:26" ht="15.5">
      <c r="A30" s="243" t="s">
        <v>285</v>
      </c>
      <c r="B30" s="239" t="s">
        <v>286</v>
      </c>
      <c r="C30" s="75">
        <v>120</v>
      </c>
      <c r="D30" s="76">
        <v>6.3</v>
      </c>
      <c r="E30" s="6"/>
      <c r="F30" s="6"/>
      <c r="G30" s="6"/>
      <c r="H30" s="6"/>
      <c r="I30" s="6"/>
      <c r="J30" s="6"/>
      <c r="K30" s="6"/>
      <c r="L30" s="6"/>
      <c r="M30" s="6"/>
      <c r="N30" s="6"/>
      <c r="O30" s="6"/>
      <c r="P30" s="6"/>
      <c r="Q30" s="6"/>
      <c r="R30" s="6"/>
      <c r="S30" s="6"/>
      <c r="T30" s="6"/>
      <c r="U30" s="6"/>
      <c r="V30" s="6"/>
      <c r="W30" s="6"/>
      <c r="X30" s="6"/>
      <c r="Y30" s="6"/>
      <c r="Z30" s="6"/>
    </row>
    <row r="31" spans="1:26" ht="15.5">
      <c r="A31" s="246" t="s">
        <v>287</v>
      </c>
      <c r="B31" s="247" t="s">
        <v>288</v>
      </c>
      <c r="C31" s="78">
        <v>94</v>
      </c>
      <c r="D31" s="79">
        <v>5.5</v>
      </c>
      <c r="E31" s="6"/>
      <c r="F31" s="6"/>
      <c r="G31" s="6"/>
      <c r="H31" s="6"/>
      <c r="I31" s="6"/>
      <c r="J31" s="6"/>
      <c r="K31" s="6"/>
      <c r="L31" s="6"/>
      <c r="M31" s="6"/>
      <c r="N31" s="6"/>
      <c r="O31" s="6"/>
      <c r="P31" s="6"/>
      <c r="Q31" s="6"/>
      <c r="R31" s="6"/>
      <c r="S31" s="6"/>
      <c r="T31" s="6"/>
      <c r="U31" s="6"/>
      <c r="V31" s="6"/>
      <c r="W31" s="6"/>
      <c r="X31" s="6"/>
      <c r="Y31" s="6"/>
      <c r="Z31" s="6"/>
    </row>
    <row r="32" spans="1:26" ht="14.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21">
      <c r="A33" s="454" t="s">
        <v>289</v>
      </c>
      <c r="B33" s="358"/>
      <c r="C33" s="358"/>
      <c r="D33" s="358"/>
      <c r="E33" s="6"/>
      <c r="F33" s="6"/>
      <c r="G33" s="6"/>
      <c r="H33" s="6"/>
      <c r="I33" s="6"/>
      <c r="J33" s="6"/>
      <c r="K33" s="6"/>
      <c r="L33" s="6"/>
      <c r="M33" s="6"/>
      <c r="N33" s="6"/>
      <c r="O33" s="6"/>
      <c r="P33" s="6"/>
      <c r="Q33" s="6"/>
      <c r="R33" s="6"/>
      <c r="S33" s="6"/>
      <c r="T33" s="6"/>
      <c r="U33" s="6"/>
      <c r="V33" s="6"/>
      <c r="W33" s="6"/>
      <c r="X33" s="6"/>
      <c r="Y33" s="6"/>
      <c r="Z33" s="6"/>
    </row>
    <row r="34" spans="1:26" ht="21">
      <c r="A34" s="235" t="s">
        <v>254</v>
      </c>
      <c r="B34" s="236" t="s">
        <v>218</v>
      </c>
      <c r="C34" s="236" t="s">
        <v>255</v>
      </c>
      <c r="D34" s="237" t="s">
        <v>256</v>
      </c>
      <c r="E34" s="6"/>
      <c r="F34" s="6"/>
      <c r="G34" s="6"/>
      <c r="H34" s="6"/>
      <c r="I34" s="6"/>
      <c r="J34" s="6"/>
      <c r="K34" s="6"/>
      <c r="L34" s="6"/>
      <c r="M34" s="6"/>
      <c r="N34" s="6"/>
      <c r="O34" s="6"/>
      <c r="P34" s="6"/>
      <c r="Q34" s="6"/>
      <c r="R34" s="6"/>
      <c r="S34" s="6"/>
      <c r="T34" s="6"/>
      <c r="U34" s="6"/>
      <c r="V34" s="6"/>
      <c r="W34" s="6"/>
      <c r="X34" s="6"/>
      <c r="Y34" s="6"/>
      <c r="Z34" s="6"/>
    </row>
    <row r="35" spans="1:26" ht="15.5">
      <c r="A35" s="243" t="s">
        <v>290</v>
      </c>
      <c r="B35" s="239" t="s">
        <v>291</v>
      </c>
      <c r="C35" s="250">
        <v>213</v>
      </c>
      <c r="D35" s="251">
        <v>15.4</v>
      </c>
      <c r="E35" s="6"/>
      <c r="F35" s="6"/>
      <c r="G35" s="6"/>
      <c r="H35" s="6"/>
      <c r="I35" s="6"/>
      <c r="J35" s="6"/>
      <c r="K35" s="6"/>
      <c r="L35" s="6"/>
      <c r="M35" s="6"/>
      <c r="N35" s="6"/>
      <c r="O35" s="6"/>
      <c r="P35" s="6"/>
      <c r="Q35" s="6"/>
      <c r="R35" s="6"/>
      <c r="S35" s="6"/>
      <c r="T35" s="6"/>
      <c r="U35" s="6"/>
      <c r="V35" s="6"/>
      <c r="W35" s="6"/>
      <c r="X35" s="6"/>
      <c r="Y35" s="6"/>
      <c r="Z35" s="6"/>
    </row>
    <row r="36" spans="1:26" ht="15.5">
      <c r="A36" s="243" t="s">
        <v>292</v>
      </c>
      <c r="B36" s="239" t="s">
        <v>293</v>
      </c>
      <c r="C36" s="250">
        <v>91</v>
      </c>
      <c r="D36" s="251">
        <v>13.75</v>
      </c>
      <c r="E36" s="6"/>
      <c r="F36" s="6"/>
      <c r="G36" s="6"/>
      <c r="H36" s="6"/>
      <c r="I36" s="6"/>
      <c r="J36" s="6"/>
      <c r="K36" s="6"/>
      <c r="L36" s="6"/>
      <c r="M36" s="6"/>
      <c r="N36" s="6"/>
      <c r="O36" s="6"/>
      <c r="P36" s="6"/>
      <c r="Q36" s="6"/>
      <c r="R36" s="6"/>
      <c r="S36" s="6"/>
      <c r="T36" s="6"/>
      <c r="U36" s="6"/>
      <c r="V36" s="6"/>
      <c r="W36" s="6"/>
      <c r="X36" s="6"/>
      <c r="Y36" s="6"/>
      <c r="Z36" s="6"/>
    </row>
    <row r="37" spans="1:26" ht="15.5">
      <c r="A37" s="243" t="s">
        <v>294</v>
      </c>
      <c r="B37" s="239" t="s">
        <v>295</v>
      </c>
      <c r="C37" s="250">
        <v>298</v>
      </c>
      <c r="D37" s="251">
        <v>24.8</v>
      </c>
      <c r="E37" s="6"/>
      <c r="F37" s="6"/>
      <c r="G37" s="6"/>
      <c r="H37" s="6"/>
      <c r="I37" s="6"/>
      <c r="J37" s="6"/>
      <c r="K37" s="6"/>
      <c r="L37" s="6"/>
      <c r="M37" s="6"/>
      <c r="N37" s="6"/>
      <c r="O37" s="6"/>
      <c r="P37" s="6"/>
      <c r="Q37" s="6"/>
      <c r="R37" s="6"/>
      <c r="S37" s="6"/>
      <c r="T37" s="6"/>
      <c r="U37" s="6"/>
      <c r="V37" s="6"/>
      <c r="W37" s="6"/>
      <c r="X37" s="6"/>
      <c r="Y37" s="6"/>
      <c r="Z37" s="6"/>
    </row>
    <row r="38" spans="1:26" ht="15.5">
      <c r="A38" s="243" t="s">
        <v>296</v>
      </c>
      <c r="B38" s="239" t="s">
        <v>297</v>
      </c>
      <c r="C38" s="250">
        <v>245</v>
      </c>
      <c r="D38" s="251">
        <v>17</v>
      </c>
      <c r="E38" s="6"/>
      <c r="F38" s="6"/>
      <c r="G38" s="6"/>
      <c r="H38" s="6"/>
      <c r="I38" s="6"/>
      <c r="J38" s="6"/>
      <c r="K38" s="6"/>
      <c r="L38" s="6"/>
      <c r="M38" s="6"/>
      <c r="N38" s="6"/>
      <c r="O38" s="6"/>
      <c r="P38" s="6"/>
      <c r="Q38" s="6"/>
      <c r="R38" s="6"/>
      <c r="S38" s="6"/>
      <c r="T38" s="6"/>
      <c r="U38" s="6"/>
      <c r="V38" s="6"/>
      <c r="W38" s="6"/>
      <c r="X38" s="6"/>
      <c r="Y38" s="6"/>
      <c r="Z38" s="6"/>
    </row>
    <row r="39" spans="1:26" ht="15.5">
      <c r="A39" s="238" t="s">
        <v>298</v>
      </c>
      <c r="B39" s="239" t="s">
        <v>299</v>
      </c>
      <c r="C39" s="75">
        <v>385</v>
      </c>
      <c r="D39" s="76">
        <v>12</v>
      </c>
      <c r="E39" s="6"/>
      <c r="F39" s="6"/>
      <c r="G39" s="6"/>
      <c r="H39" s="6"/>
      <c r="I39" s="6"/>
      <c r="J39" s="6"/>
      <c r="K39" s="6"/>
      <c r="L39" s="6"/>
      <c r="M39" s="6"/>
      <c r="N39" s="6"/>
      <c r="O39" s="6"/>
      <c r="P39" s="6"/>
      <c r="Q39" s="6"/>
      <c r="R39" s="6"/>
      <c r="S39" s="6"/>
      <c r="T39" s="6"/>
      <c r="U39" s="6"/>
      <c r="V39" s="6"/>
      <c r="W39" s="6"/>
      <c r="X39" s="6"/>
      <c r="Y39" s="6"/>
      <c r="Z39" s="6"/>
    </row>
    <row r="40" spans="1:26" ht="15.5">
      <c r="A40" s="243" t="s">
        <v>300</v>
      </c>
      <c r="B40" s="239" t="s">
        <v>301</v>
      </c>
      <c r="C40" s="250" t="s">
        <v>250</v>
      </c>
      <c r="D40" s="251" t="s">
        <v>250</v>
      </c>
      <c r="E40" s="6"/>
      <c r="F40" s="6"/>
      <c r="G40" s="6"/>
      <c r="H40" s="6"/>
      <c r="I40" s="6"/>
      <c r="J40" s="6"/>
      <c r="K40" s="6"/>
      <c r="L40" s="6"/>
      <c r="M40" s="6"/>
      <c r="N40" s="6"/>
      <c r="O40" s="6"/>
      <c r="P40" s="6"/>
      <c r="Q40" s="6"/>
      <c r="R40" s="6"/>
      <c r="S40" s="6"/>
      <c r="T40" s="6"/>
      <c r="U40" s="6"/>
      <c r="V40" s="6"/>
      <c r="W40" s="6"/>
      <c r="X40" s="6"/>
      <c r="Y40" s="6"/>
      <c r="Z40" s="6"/>
    </row>
    <row r="41" spans="1:26" ht="15.5">
      <c r="A41" s="238" t="s">
        <v>302</v>
      </c>
      <c r="B41" s="239" t="s">
        <v>303</v>
      </c>
      <c r="C41" s="250">
        <v>45</v>
      </c>
      <c r="D41" s="251">
        <v>10</v>
      </c>
      <c r="E41" s="6"/>
      <c r="F41" s="6"/>
      <c r="G41" s="6"/>
      <c r="H41" s="6"/>
      <c r="I41" s="6"/>
      <c r="J41" s="6"/>
      <c r="K41" s="6"/>
      <c r="L41" s="6"/>
      <c r="M41" s="6"/>
      <c r="N41" s="6"/>
      <c r="O41" s="6"/>
      <c r="P41" s="6"/>
      <c r="Q41" s="6"/>
      <c r="R41" s="6"/>
      <c r="S41" s="6"/>
      <c r="T41" s="6"/>
      <c r="U41" s="6"/>
      <c r="V41" s="6"/>
      <c r="W41" s="6"/>
      <c r="X41" s="6"/>
      <c r="Y41" s="6"/>
      <c r="Z41" s="6"/>
    </row>
    <row r="42" spans="1:26" ht="15.5">
      <c r="A42" s="238" t="s">
        <v>304</v>
      </c>
      <c r="B42" s="239" t="s">
        <v>305</v>
      </c>
      <c r="C42" s="250">
        <v>630</v>
      </c>
      <c r="D42" s="251">
        <v>26</v>
      </c>
      <c r="E42" s="6"/>
      <c r="F42" s="6"/>
      <c r="G42" s="6"/>
      <c r="H42" s="6"/>
      <c r="I42" s="6"/>
      <c r="J42" s="6"/>
      <c r="K42" s="6"/>
      <c r="L42" s="6"/>
      <c r="M42" s="6"/>
      <c r="N42" s="6"/>
      <c r="O42" s="6"/>
      <c r="P42" s="6"/>
      <c r="Q42" s="6"/>
      <c r="R42" s="6"/>
      <c r="S42" s="6"/>
      <c r="T42" s="6"/>
      <c r="U42" s="6"/>
      <c r="V42" s="6"/>
      <c r="W42" s="6"/>
      <c r="X42" s="6"/>
      <c r="Y42" s="6"/>
      <c r="Z42" s="6"/>
    </row>
    <row r="43" spans="1:26" ht="15.5">
      <c r="A43" s="252" t="s">
        <v>306</v>
      </c>
      <c r="B43" s="247" t="s">
        <v>307</v>
      </c>
      <c r="C43" s="253">
        <v>0</v>
      </c>
      <c r="D43" s="254">
        <v>0</v>
      </c>
      <c r="E43" s="6"/>
      <c r="F43" s="6"/>
      <c r="G43" s="6"/>
      <c r="H43" s="6"/>
      <c r="I43" s="6"/>
      <c r="J43" s="6"/>
      <c r="K43" s="6"/>
      <c r="L43" s="6"/>
      <c r="M43" s="6"/>
      <c r="N43" s="6"/>
      <c r="O43" s="6"/>
      <c r="P43" s="6"/>
      <c r="Q43" s="6"/>
      <c r="R43" s="6"/>
      <c r="S43" s="6"/>
      <c r="T43" s="6"/>
      <c r="U43" s="6"/>
      <c r="V43" s="6"/>
      <c r="W43" s="6"/>
      <c r="X43" s="6"/>
      <c r="Y43" s="6"/>
      <c r="Z43" s="6"/>
    </row>
    <row r="44" spans="1:26" ht="14.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21">
      <c r="A45" s="454" t="s">
        <v>308</v>
      </c>
      <c r="B45" s="358"/>
      <c r="C45" s="6"/>
      <c r="D45" s="6"/>
      <c r="E45" s="6"/>
      <c r="F45" s="6"/>
      <c r="G45" s="6"/>
      <c r="H45" s="6"/>
      <c r="I45" s="6"/>
      <c r="J45" s="6"/>
      <c r="K45" s="6"/>
      <c r="L45" s="6"/>
      <c r="M45" s="6"/>
      <c r="N45" s="6"/>
      <c r="O45" s="6"/>
      <c r="P45" s="6"/>
      <c r="Q45" s="6"/>
      <c r="R45" s="6"/>
      <c r="S45" s="6"/>
      <c r="T45" s="6"/>
      <c r="U45" s="6"/>
      <c r="V45" s="6"/>
      <c r="W45" s="6"/>
      <c r="X45" s="6"/>
      <c r="Y45" s="6"/>
      <c r="Z45" s="6"/>
    </row>
    <row r="46" spans="1:26" ht="21">
      <c r="A46" s="54" t="s">
        <v>217</v>
      </c>
      <c r="B46" s="236" t="s">
        <v>218</v>
      </c>
      <c r="C46" s="6"/>
      <c r="D46" s="6"/>
      <c r="E46" s="6"/>
      <c r="F46" s="6"/>
      <c r="G46" s="6"/>
      <c r="H46" s="6"/>
      <c r="I46" s="6"/>
      <c r="J46" s="6"/>
      <c r="K46" s="6"/>
      <c r="L46" s="6"/>
      <c r="M46" s="6"/>
      <c r="N46" s="6"/>
      <c r="O46" s="6"/>
      <c r="P46" s="6"/>
      <c r="Q46" s="6"/>
      <c r="R46" s="6"/>
      <c r="S46" s="6"/>
      <c r="T46" s="6"/>
      <c r="U46" s="6"/>
      <c r="V46" s="6"/>
      <c r="W46" s="6"/>
      <c r="X46" s="6"/>
      <c r="Y46" s="6"/>
      <c r="Z46" s="6"/>
    </row>
    <row r="47" spans="1:26" ht="15.5">
      <c r="A47" s="255" t="s">
        <v>309</v>
      </c>
      <c r="B47" s="256" t="s">
        <v>310</v>
      </c>
      <c r="C47" s="6" t="s">
        <v>311</v>
      </c>
      <c r="D47" s="6"/>
      <c r="E47" s="6"/>
      <c r="F47" s="6"/>
      <c r="G47" s="6"/>
      <c r="H47" s="6"/>
      <c r="I47" s="6"/>
      <c r="J47" s="6"/>
      <c r="K47" s="6"/>
      <c r="L47" s="6"/>
      <c r="M47" s="6"/>
      <c r="N47" s="6"/>
      <c r="O47" s="6"/>
      <c r="P47" s="6"/>
      <c r="Q47" s="6"/>
      <c r="R47" s="6"/>
      <c r="S47" s="6"/>
      <c r="T47" s="6"/>
      <c r="U47" s="6"/>
      <c r="V47" s="6"/>
      <c r="W47" s="6"/>
      <c r="X47" s="6"/>
      <c r="Y47" s="6"/>
      <c r="Z47" s="6"/>
    </row>
    <row r="48" spans="1:26" ht="15.5">
      <c r="A48" s="257" t="s">
        <v>312</v>
      </c>
      <c r="B48" s="258" t="s">
        <v>313</v>
      </c>
      <c r="C48" s="6" t="s">
        <v>314</v>
      </c>
      <c r="D48" s="6"/>
      <c r="E48" s="6"/>
      <c r="F48" s="6"/>
      <c r="G48" s="6"/>
      <c r="H48" s="6"/>
      <c r="I48" s="6"/>
      <c r="J48" s="6"/>
      <c r="K48" s="6"/>
      <c r="L48" s="6"/>
      <c r="M48" s="6"/>
      <c r="N48" s="6"/>
      <c r="O48" s="6"/>
      <c r="P48" s="6"/>
      <c r="Q48" s="6"/>
      <c r="R48" s="6"/>
      <c r="S48" s="6"/>
      <c r="T48" s="6"/>
      <c r="U48" s="6"/>
      <c r="V48" s="6"/>
      <c r="W48" s="6"/>
      <c r="X48" s="6"/>
      <c r="Y48" s="6"/>
      <c r="Z48" s="6"/>
    </row>
    <row r="49" spans="1:26" ht="15.5">
      <c r="A49" s="259" t="s">
        <v>315</v>
      </c>
      <c r="B49" s="260" t="s">
        <v>316</v>
      </c>
      <c r="C49" s="6" t="s">
        <v>311</v>
      </c>
      <c r="D49" s="6"/>
      <c r="E49" s="6"/>
      <c r="F49" s="6"/>
      <c r="G49" s="6"/>
      <c r="H49" s="6"/>
      <c r="I49" s="6"/>
      <c r="J49" s="6"/>
      <c r="K49" s="6"/>
      <c r="L49" s="6"/>
      <c r="M49" s="6"/>
      <c r="N49" s="6"/>
      <c r="O49" s="6"/>
      <c r="P49" s="6"/>
      <c r="Q49" s="6"/>
      <c r="R49" s="6"/>
      <c r="S49" s="6"/>
      <c r="T49" s="6"/>
      <c r="U49" s="6"/>
      <c r="V49" s="6"/>
      <c r="W49" s="6"/>
      <c r="X49" s="6"/>
      <c r="Y49" s="6"/>
      <c r="Z49" s="6"/>
    </row>
    <row r="50" spans="1:26" ht="14.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21">
      <c r="A51" s="454" t="s">
        <v>317</v>
      </c>
      <c r="B51" s="358"/>
      <c r="C51" s="6"/>
      <c r="D51" s="6"/>
      <c r="E51" s="6"/>
      <c r="F51" s="6"/>
      <c r="G51" s="6"/>
      <c r="H51" s="6"/>
      <c r="I51" s="6"/>
      <c r="J51" s="6"/>
      <c r="K51" s="6"/>
      <c r="L51" s="6"/>
      <c r="M51" s="6"/>
      <c r="N51" s="6"/>
      <c r="O51" s="6"/>
      <c r="P51" s="6"/>
      <c r="Q51" s="6"/>
      <c r="R51" s="6"/>
      <c r="S51" s="6"/>
      <c r="T51" s="6"/>
      <c r="U51" s="6"/>
      <c r="V51" s="6"/>
      <c r="W51" s="6"/>
      <c r="X51" s="6"/>
      <c r="Y51" s="6"/>
      <c r="Z51" s="6"/>
    </row>
    <row r="52" spans="1:26" ht="21">
      <c r="A52" s="54" t="s">
        <v>217</v>
      </c>
      <c r="B52" s="236" t="s">
        <v>218</v>
      </c>
      <c r="C52" s="6"/>
      <c r="D52" s="6"/>
      <c r="E52" s="6"/>
      <c r="F52" s="6"/>
      <c r="G52" s="6"/>
      <c r="H52" s="6"/>
      <c r="I52" s="6"/>
      <c r="J52" s="6"/>
      <c r="K52" s="6"/>
      <c r="L52" s="6"/>
      <c r="M52" s="6"/>
      <c r="N52" s="6"/>
      <c r="O52" s="6"/>
      <c r="P52" s="6"/>
      <c r="Q52" s="6"/>
      <c r="R52" s="6"/>
      <c r="S52" s="6"/>
      <c r="T52" s="6"/>
      <c r="U52" s="6"/>
      <c r="V52" s="6"/>
      <c r="W52" s="6"/>
      <c r="X52" s="6"/>
      <c r="Y52" s="6"/>
      <c r="Z52" s="6"/>
    </row>
    <row r="53" spans="1:26" ht="15.5">
      <c r="A53" s="255" t="s">
        <v>318</v>
      </c>
      <c r="B53" s="256" t="s">
        <v>319</v>
      </c>
      <c r="C53" s="6" t="s">
        <v>311</v>
      </c>
      <c r="D53" s="6"/>
      <c r="E53" s="6"/>
      <c r="F53" s="6"/>
      <c r="G53" s="6"/>
      <c r="H53" s="6"/>
      <c r="I53" s="6"/>
      <c r="J53" s="6"/>
      <c r="K53" s="6"/>
      <c r="L53" s="6"/>
      <c r="M53" s="6"/>
      <c r="N53" s="6"/>
      <c r="O53" s="6"/>
      <c r="P53" s="6"/>
      <c r="Q53" s="6"/>
      <c r="R53" s="6"/>
      <c r="S53" s="6"/>
      <c r="T53" s="6"/>
      <c r="U53" s="6"/>
      <c r="V53" s="6"/>
      <c r="W53" s="6"/>
      <c r="X53" s="6"/>
      <c r="Y53" s="6"/>
      <c r="Z53" s="6"/>
    </row>
    <row r="54" spans="1:26" ht="15.5">
      <c r="A54" s="259" t="s">
        <v>320</v>
      </c>
      <c r="B54" s="260" t="s">
        <v>321</v>
      </c>
      <c r="C54" s="6" t="s">
        <v>311</v>
      </c>
      <c r="D54" s="6"/>
      <c r="E54" s="6"/>
      <c r="F54" s="6"/>
      <c r="G54" s="6"/>
      <c r="H54" s="6"/>
      <c r="I54" s="6"/>
      <c r="J54" s="6"/>
      <c r="K54" s="6"/>
      <c r="L54" s="6"/>
      <c r="M54" s="6"/>
      <c r="N54" s="6"/>
      <c r="O54" s="6"/>
      <c r="P54" s="6"/>
      <c r="Q54" s="6"/>
      <c r="R54" s="6"/>
      <c r="S54" s="6"/>
      <c r="T54" s="6"/>
      <c r="U54" s="6"/>
      <c r="V54" s="6"/>
      <c r="W54" s="6"/>
      <c r="X54" s="6"/>
      <c r="Y54" s="6"/>
      <c r="Z54" s="6"/>
    </row>
    <row r="55" spans="1:26" ht="14.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21">
      <c r="A56" s="454" t="s">
        <v>322</v>
      </c>
      <c r="B56" s="358"/>
      <c r="C56" s="358"/>
      <c r="D56" s="358"/>
      <c r="E56" s="6"/>
      <c r="F56" s="6"/>
      <c r="G56" s="6"/>
      <c r="H56" s="6"/>
      <c r="I56" s="6"/>
      <c r="J56" s="6"/>
      <c r="K56" s="6"/>
      <c r="L56" s="6"/>
      <c r="M56" s="6"/>
      <c r="N56" s="6"/>
      <c r="O56" s="6"/>
      <c r="P56" s="6"/>
      <c r="Q56" s="6"/>
      <c r="R56" s="6"/>
      <c r="S56" s="6"/>
      <c r="T56" s="6"/>
      <c r="U56" s="6"/>
      <c r="V56" s="6"/>
      <c r="W56" s="6"/>
      <c r="X56" s="6"/>
      <c r="Y56" s="6"/>
      <c r="Z56" s="6"/>
    </row>
    <row r="57" spans="1:26" ht="21">
      <c r="A57" s="235" t="s">
        <v>254</v>
      </c>
      <c r="B57" s="236" t="s">
        <v>218</v>
      </c>
      <c r="C57" s="236" t="s">
        <v>255</v>
      </c>
      <c r="D57" s="237" t="s">
        <v>256</v>
      </c>
      <c r="E57" s="6"/>
      <c r="F57" s="6"/>
      <c r="G57" s="6"/>
      <c r="H57" s="6"/>
      <c r="I57" s="6"/>
      <c r="J57" s="6"/>
      <c r="K57" s="6"/>
      <c r="L57" s="6"/>
      <c r="M57" s="6"/>
      <c r="N57" s="6"/>
      <c r="O57" s="6"/>
      <c r="P57" s="6"/>
      <c r="Q57" s="6"/>
      <c r="R57" s="6"/>
      <c r="S57" s="6"/>
      <c r="T57" s="6"/>
      <c r="U57" s="6"/>
      <c r="V57" s="6"/>
      <c r="W57" s="6"/>
      <c r="X57" s="6"/>
      <c r="Y57" s="6"/>
      <c r="Z57" s="6"/>
    </row>
    <row r="58" spans="1:26" ht="15.5">
      <c r="A58" s="261" t="s">
        <v>323</v>
      </c>
      <c r="B58" s="262" t="s">
        <v>324</v>
      </c>
      <c r="C58" s="250">
        <v>385</v>
      </c>
      <c r="D58" s="251">
        <v>84</v>
      </c>
      <c r="E58" s="6"/>
      <c r="F58" s="6"/>
      <c r="G58" s="6"/>
      <c r="H58" s="6"/>
      <c r="I58" s="6"/>
      <c r="J58" s="6"/>
      <c r="K58" s="6"/>
      <c r="L58" s="6"/>
      <c r="M58" s="6"/>
      <c r="N58" s="6"/>
      <c r="O58" s="6"/>
      <c r="P58" s="6"/>
      <c r="Q58" s="6"/>
      <c r="R58" s="6"/>
      <c r="S58" s="6"/>
      <c r="T58" s="6"/>
      <c r="U58" s="6"/>
      <c r="V58" s="6"/>
      <c r="W58" s="6"/>
      <c r="X58" s="6"/>
      <c r="Y58" s="6"/>
      <c r="Z58" s="6"/>
    </row>
    <row r="59" spans="1:26" ht="15.5">
      <c r="A59" s="243" t="s">
        <v>325</v>
      </c>
      <c r="B59" s="262" t="s">
        <v>326</v>
      </c>
      <c r="C59" s="250">
        <v>385</v>
      </c>
      <c r="D59" s="251">
        <v>86</v>
      </c>
      <c r="E59" s="6"/>
      <c r="F59" s="6"/>
      <c r="G59" s="6"/>
      <c r="H59" s="6"/>
      <c r="I59" s="6"/>
      <c r="J59" s="6"/>
      <c r="K59" s="6"/>
      <c r="L59" s="6"/>
      <c r="M59" s="6"/>
      <c r="N59" s="6"/>
      <c r="O59" s="6"/>
      <c r="P59" s="6"/>
      <c r="Q59" s="6"/>
      <c r="R59" s="6"/>
      <c r="S59" s="6"/>
      <c r="T59" s="6"/>
      <c r="U59" s="6"/>
      <c r="V59" s="6"/>
      <c r="W59" s="6"/>
      <c r="X59" s="6"/>
      <c r="Y59" s="6"/>
      <c r="Z59" s="6"/>
    </row>
    <row r="60" spans="1:26" ht="15.5">
      <c r="A60" s="243" t="s">
        <v>327</v>
      </c>
      <c r="B60" s="262" t="s">
        <v>328</v>
      </c>
      <c r="C60" s="250">
        <v>418</v>
      </c>
      <c r="D60" s="251">
        <v>84</v>
      </c>
      <c r="E60" s="6"/>
      <c r="F60" s="6"/>
      <c r="G60" s="6"/>
      <c r="H60" s="6"/>
      <c r="I60" s="6"/>
      <c r="J60" s="6"/>
      <c r="K60" s="6"/>
      <c r="L60" s="6"/>
      <c r="M60" s="6"/>
      <c r="N60" s="6"/>
      <c r="O60" s="6"/>
      <c r="P60" s="6"/>
      <c r="Q60" s="6"/>
      <c r="R60" s="6"/>
      <c r="S60" s="6"/>
      <c r="T60" s="6"/>
      <c r="U60" s="6"/>
      <c r="V60" s="6"/>
      <c r="W60" s="6"/>
      <c r="X60" s="6"/>
      <c r="Y60" s="6"/>
      <c r="Z60" s="6"/>
    </row>
    <row r="61" spans="1:26" ht="15.5">
      <c r="A61" s="243" t="s">
        <v>329</v>
      </c>
      <c r="B61" s="262" t="s">
        <v>330</v>
      </c>
      <c r="C61" s="250">
        <v>399</v>
      </c>
      <c r="D61" s="251">
        <v>77</v>
      </c>
      <c r="E61" s="6"/>
      <c r="F61" s="6"/>
      <c r="G61" s="6"/>
      <c r="H61" s="6"/>
      <c r="I61" s="6"/>
      <c r="J61" s="6"/>
      <c r="K61" s="6"/>
      <c r="L61" s="6"/>
      <c r="M61" s="6"/>
      <c r="N61" s="6"/>
      <c r="O61" s="6"/>
      <c r="P61" s="6"/>
      <c r="Q61" s="6"/>
      <c r="R61" s="6"/>
      <c r="S61" s="6"/>
      <c r="T61" s="6"/>
      <c r="U61" s="6"/>
      <c r="V61" s="6"/>
      <c r="W61" s="6"/>
      <c r="X61" s="6"/>
      <c r="Y61" s="6"/>
      <c r="Z61" s="6"/>
    </row>
    <row r="62" spans="1:26" ht="15.5">
      <c r="A62" s="238" t="s">
        <v>331</v>
      </c>
      <c r="B62" s="239" t="s">
        <v>332</v>
      </c>
      <c r="C62" s="75">
        <v>363</v>
      </c>
      <c r="D62" s="76">
        <v>83</v>
      </c>
      <c r="E62" s="6"/>
      <c r="F62" s="6"/>
      <c r="G62" s="6"/>
      <c r="H62" s="6"/>
      <c r="I62" s="6"/>
      <c r="J62" s="6"/>
      <c r="K62" s="6"/>
      <c r="L62" s="6"/>
      <c r="M62" s="6"/>
      <c r="N62" s="6"/>
      <c r="O62" s="6"/>
      <c r="P62" s="6"/>
      <c r="Q62" s="6"/>
      <c r="R62" s="6"/>
      <c r="S62" s="6"/>
      <c r="T62" s="6"/>
      <c r="U62" s="6"/>
      <c r="V62" s="6"/>
      <c r="W62" s="6"/>
      <c r="X62" s="6"/>
      <c r="Y62" s="6"/>
      <c r="Z62" s="6"/>
    </row>
    <row r="63" spans="1:26" ht="15.5">
      <c r="A63" s="238" t="s">
        <v>333</v>
      </c>
      <c r="B63" s="239" t="s">
        <v>334</v>
      </c>
      <c r="C63" s="75">
        <v>394</v>
      </c>
      <c r="D63" s="76">
        <v>76</v>
      </c>
      <c r="E63" s="6"/>
      <c r="F63" s="6"/>
      <c r="G63" s="6"/>
      <c r="H63" s="6"/>
      <c r="I63" s="6"/>
      <c r="J63" s="6"/>
      <c r="K63" s="6"/>
      <c r="L63" s="6"/>
      <c r="M63" s="6"/>
      <c r="N63" s="6"/>
      <c r="O63" s="6"/>
      <c r="P63" s="6"/>
      <c r="Q63" s="6"/>
      <c r="R63" s="6"/>
      <c r="S63" s="6"/>
      <c r="T63" s="6"/>
      <c r="U63" s="6"/>
      <c r="V63" s="6"/>
      <c r="W63" s="6"/>
      <c r="X63" s="6"/>
      <c r="Y63" s="6"/>
      <c r="Z63" s="6"/>
    </row>
    <row r="64" spans="1:26" ht="15.5">
      <c r="A64" s="238" t="s">
        <v>335</v>
      </c>
      <c r="B64" s="239" t="s">
        <v>336</v>
      </c>
      <c r="C64" s="75">
        <v>390</v>
      </c>
      <c r="D64" s="76">
        <v>82</v>
      </c>
      <c r="E64" s="6"/>
      <c r="F64" s="6"/>
      <c r="G64" s="6"/>
      <c r="H64" s="6"/>
      <c r="I64" s="6"/>
      <c r="J64" s="6"/>
      <c r="K64" s="6"/>
      <c r="L64" s="6"/>
      <c r="M64" s="6"/>
      <c r="N64" s="6"/>
      <c r="O64" s="6"/>
      <c r="P64" s="6"/>
      <c r="Q64" s="6"/>
      <c r="R64" s="6"/>
      <c r="S64" s="6"/>
      <c r="T64" s="6"/>
      <c r="U64" s="6"/>
      <c r="V64" s="6"/>
      <c r="W64" s="6"/>
      <c r="X64" s="6"/>
      <c r="Y64" s="6"/>
      <c r="Z64" s="6"/>
    </row>
    <row r="65" spans="1:26" ht="15.5">
      <c r="A65" s="243" t="s">
        <v>337</v>
      </c>
      <c r="B65" s="262" t="s">
        <v>338</v>
      </c>
      <c r="C65" s="250">
        <v>391</v>
      </c>
      <c r="D65" s="251">
        <v>82</v>
      </c>
      <c r="E65" s="6" t="s">
        <v>339</v>
      </c>
      <c r="F65" s="6"/>
      <c r="G65" s="6"/>
      <c r="H65" s="6"/>
      <c r="I65" s="6"/>
      <c r="J65" s="6"/>
      <c r="K65" s="6"/>
      <c r="L65" s="6"/>
      <c r="M65" s="6"/>
      <c r="N65" s="6"/>
      <c r="O65" s="6"/>
      <c r="P65" s="6"/>
      <c r="Q65" s="6"/>
      <c r="R65" s="6"/>
      <c r="S65" s="6"/>
      <c r="T65" s="6"/>
      <c r="U65" s="6"/>
      <c r="V65" s="6"/>
      <c r="W65" s="6"/>
      <c r="X65" s="6"/>
      <c r="Y65" s="6"/>
      <c r="Z65" s="6"/>
    </row>
    <row r="66" spans="1:26" ht="15.5">
      <c r="A66" s="246" t="s">
        <v>340</v>
      </c>
      <c r="B66" s="263" t="s">
        <v>341</v>
      </c>
      <c r="C66" s="253">
        <v>388</v>
      </c>
      <c r="D66" s="254">
        <v>80</v>
      </c>
      <c r="E66" s="6" t="s">
        <v>342</v>
      </c>
      <c r="F66" s="6"/>
      <c r="G66" s="6"/>
      <c r="H66" s="6"/>
      <c r="I66" s="6"/>
      <c r="J66" s="6"/>
      <c r="K66" s="6"/>
      <c r="L66" s="6"/>
      <c r="M66" s="6"/>
      <c r="N66" s="6"/>
      <c r="O66" s="6"/>
      <c r="P66" s="6"/>
      <c r="Q66" s="6"/>
      <c r="R66" s="6"/>
      <c r="S66" s="6"/>
      <c r="T66" s="6"/>
      <c r="U66" s="6"/>
      <c r="V66" s="6"/>
      <c r="W66" s="6"/>
      <c r="X66" s="6"/>
      <c r="Y66" s="6"/>
      <c r="Z66" s="6"/>
    </row>
    <row r="67" spans="1:26" ht="14.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5">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4.5">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4.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4.5">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4.5">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4.5">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4.5">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4.5">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4.5">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4.5">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4.5">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4.5">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sheetData>
  <mergeCells count="7">
    <mergeCell ref="A51:B51"/>
    <mergeCell ref="A56:D56"/>
    <mergeCell ref="A1:D1"/>
    <mergeCell ref="A2:D2"/>
    <mergeCell ref="A14:D14"/>
    <mergeCell ref="A33:D33"/>
    <mergeCell ref="A45:B45"/>
  </mergeCells>
  <hyperlinks>
    <hyperlink ref="B4" r:id="rId1" xr:uid="{00000000-0004-0000-0500-000000000000}"/>
    <hyperlink ref="B5" r:id="rId2" xr:uid="{00000000-0004-0000-0500-000001000000}"/>
    <hyperlink ref="B6" r:id="rId3" xr:uid="{00000000-0004-0000-0500-000002000000}"/>
    <hyperlink ref="B7" r:id="rId4" xr:uid="{00000000-0004-0000-0500-000003000000}"/>
    <hyperlink ref="B8" r:id="rId5" xr:uid="{00000000-0004-0000-0500-000004000000}"/>
    <hyperlink ref="B9" r:id="rId6" xr:uid="{00000000-0004-0000-0500-000005000000}"/>
    <hyperlink ref="B10" r:id="rId7" xr:uid="{00000000-0004-0000-0500-000006000000}"/>
    <hyperlink ref="B11" r:id="rId8" xr:uid="{00000000-0004-0000-0500-000007000000}"/>
    <hyperlink ref="B12" r:id="rId9" xr:uid="{00000000-0004-0000-0500-000008000000}"/>
    <hyperlink ref="B16" r:id="rId10" xr:uid="{00000000-0004-0000-0500-000009000000}"/>
    <hyperlink ref="B17" r:id="rId11" xr:uid="{00000000-0004-0000-0500-00000A000000}"/>
    <hyperlink ref="B18" r:id="rId12" xr:uid="{00000000-0004-0000-0500-00000B000000}"/>
    <hyperlink ref="B19" r:id="rId13" xr:uid="{00000000-0004-0000-0500-00000C000000}"/>
    <hyperlink ref="B20" r:id="rId14" xr:uid="{00000000-0004-0000-0500-00000D000000}"/>
    <hyperlink ref="B21" r:id="rId15" xr:uid="{00000000-0004-0000-0500-00000E000000}"/>
    <hyperlink ref="B22" r:id="rId16" xr:uid="{00000000-0004-0000-0500-00000F000000}"/>
    <hyperlink ref="B23" r:id="rId17" xr:uid="{00000000-0004-0000-0500-000010000000}"/>
    <hyperlink ref="B24" r:id="rId18" xr:uid="{00000000-0004-0000-0500-000011000000}"/>
    <hyperlink ref="B25" r:id="rId19" xr:uid="{00000000-0004-0000-0500-000012000000}"/>
    <hyperlink ref="B26" r:id="rId20" xr:uid="{00000000-0004-0000-0500-000013000000}"/>
    <hyperlink ref="B27" r:id="rId21" xr:uid="{00000000-0004-0000-0500-000014000000}"/>
    <hyperlink ref="B28" r:id="rId22" xr:uid="{00000000-0004-0000-0500-000015000000}"/>
    <hyperlink ref="B29" r:id="rId23" xr:uid="{00000000-0004-0000-0500-000016000000}"/>
    <hyperlink ref="B30" r:id="rId24" xr:uid="{00000000-0004-0000-0500-000017000000}"/>
    <hyperlink ref="B31" r:id="rId25" xr:uid="{00000000-0004-0000-0500-000018000000}"/>
    <hyperlink ref="B35" r:id="rId26" xr:uid="{00000000-0004-0000-0500-000019000000}"/>
    <hyperlink ref="B36" r:id="rId27" xr:uid="{00000000-0004-0000-0500-00001A000000}"/>
    <hyperlink ref="B37" r:id="rId28" xr:uid="{00000000-0004-0000-0500-00001B000000}"/>
    <hyperlink ref="B38" r:id="rId29" xr:uid="{00000000-0004-0000-0500-00001C000000}"/>
    <hyperlink ref="B39" r:id="rId30" xr:uid="{00000000-0004-0000-0500-00001D000000}"/>
    <hyperlink ref="B40" r:id="rId31" xr:uid="{00000000-0004-0000-0500-00001E000000}"/>
    <hyperlink ref="B41" r:id="rId32" xr:uid="{00000000-0004-0000-0500-00001F000000}"/>
    <hyperlink ref="B42" r:id="rId33" location="modal-nutrition_table" xr:uid="{00000000-0004-0000-0500-000020000000}"/>
    <hyperlink ref="B43" r:id="rId34" xr:uid="{00000000-0004-0000-0500-000021000000}"/>
    <hyperlink ref="B47" r:id="rId35" xr:uid="{00000000-0004-0000-0500-000022000000}"/>
    <hyperlink ref="B48" r:id="rId36" xr:uid="{00000000-0004-0000-0500-000023000000}"/>
    <hyperlink ref="B49" r:id="rId37" xr:uid="{00000000-0004-0000-0500-000024000000}"/>
    <hyperlink ref="B53" r:id="rId38" xr:uid="{00000000-0004-0000-0500-000025000000}"/>
    <hyperlink ref="B54" r:id="rId39" xr:uid="{00000000-0004-0000-0500-000026000000}"/>
    <hyperlink ref="B58" r:id="rId40" xr:uid="{00000000-0004-0000-0500-000027000000}"/>
    <hyperlink ref="B59" r:id="rId41" xr:uid="{00000000-0004-0000-0500-000028000000}"/>
    <hyperlink ref="B60" r:id="rId42" xr:uid="{00000000-0004-0000-0500-000029000000}"/>
    <hyperlink ref="B61" r:id="rId43" xr:uid="{00000000-0004-0000-0500-00002A000000}"/>
    <hyperlink ref="B62" r:id="rId44" xr:uid="{00000000-0004-0000-0500-00002B000000}"/>
    <hyperlink ref="B63" r:id="rId45" xr:uid="{00000000-0004-0000-0500-00002C000000}"/>
    <hyperlink ref="B64" r:id="rId46" xr:uid="{00000000-0004-0000-0500-00002D000000}"/>
    <hyperlink ref="B65" r:id="rId47" xr:uid="{00000000-0004-0000-0500-00002E000000}"/>
    <hyperlink ref="B66" r:id="rId48" xr:uid="{00000000-0004-0000-0500-00002F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L1005"/>
  <sheetViews>
    <sheetView showGridLines="0" workbookViewId="0">
      <pane ySplit="3" topLeftCell="A4" activePane="bottomLeft" state="frozen"/>
      <selection pane="bottomLeft" activeCell="B5" sqref="B5"/>
    </sheetView>
  </sheetViews>
  <sheetFormatPr defaultColWidth="12.6328125" defaultRowHeight="15" customHeight="1"/>
  <cols>
    <col min="1" max="2" width="15.08984375" customWidth="1"/>
    <col min="3" max="3" width="36.26953125" customWidth="1"/>
    <col min="4" max="4" width="15.36328125" customWidth="1"/>
    <col min="5" max="10" width="11.36328125" customWidth="1"/>
    <col min="11" max="11" width="5.08984375" customWidth="1"/>
    <col min="12" max="12" width="17" customWidth="1"/>
  </cols>
  <sheetData>
    <row r="1" spans="1:38" ht="44.25" hidden="1" customHeight="1">
      <c r="A1" s="137"/>
      <c r="B1" s="137"/>
      <c r="C1" s="137"/>
      <c r="D1" s="137"/>
      <c r="E1" s="455" t="s">
        <v>343</v>
      </c>
      <c r="F1" s="371"/>
      <c r="G1" s="371"/>
      <c r="H1" s="371"/>
      <c r="I1" s="371"/>
      <c r="J1" s="371"/>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row>
    <row r="2" spans="1:38" ht="21" customHeight="1">
      <c r="A2" s="264"/>
      <c r="B2" s="264"/>
      <c r="C2" s="265" t="s">
        <v>344</v>
      </c>
      <c r="D2" s="266" t="s">
        <v>345</v>
      </c>
      <c r="E2" s="267">
        <v>1</v>
      </c>
      <c r="F2" s="267">
        <v>1</v>
      </c>
      <c r="G2" s="267">
        <v>1</v>
      </c>
      <c r="H2" s="267">
        <v>0.5</v>
      </c>
      <c r="I2" s="267">
        <v>0.5</v>
      </c>
      <c r="J2" s="267">
        <v>0.3</v>
      </c>
      <c r="K2" s="268"/>
      <c r="L2" s="269" t="s">
        <v>134</v>
      </c>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row>
    <row r="3" spans="1:38" ht="15.75" customHeight="1">
      <c r="A3" s="270" t="s">
        <v>346</v>
      </c>
      <c r="B3" s="271" t="s">
        <v>347</v>
      </c>
      <c r="C3" s="245" t="s">
        <v>348</v>
      </c>
      <c r="D3" s="272" t="s">
        <v>349</v>
      </c>
      <c r="E3" s="273" t="s">
        <v>350</v>
      </c>
      <c r="F3" s="273"/>
      <c r="G3" s="273"/>
      <c r="H3" s="273"/>
      <c r="I3" s="273"/>
      <c r="J3" s="273"/>
      <c r="K3" s="137"/>
      <c r="L3" s="274" t="s">
        <v>351</v>
      </c>
      <c r="M3" s="137"/>
      <c r="N3" s="47"/>
      <c r="O3" s="47"/>
      <c r="P3" s="137"/>
      <c r="Q3" s="137"/>
      <c r="R3" s="137"/>
      <c r="S3" s="137"/>
      <c r="T3" s="137"/>
      <c r="U3" s="137"/>
      <c r="V3" s="137"/>
      <c r="W3" s="137"/>
      <c r="X3" s="137"/>
      <c r="Y3" s="137"/>
      <c r="Z3" s="137"/>
      <c r="AA3" s="137"/>
      <c r="AB3" s="137"/>
      <c r="AC3" s="137"/>
      <c r="AD3" s="137"/>
      <c r="AE3" s="137"/>
      <c r="AF3" s="137"/>
      <c r="AG3" s="137"/>
      <c r="AH3" s="137"/>
      <c r="AI3" s="137"/>
      <c r="AJ3" s="137"/>
      <c r="AK3" s="137"/>
      <c r="AL3" s="137"/>
    </row>
    <row r="4" spans="1:38" ht="15.75" customHeight="1">
      <c r="A4" s="270" t="s">
        <v>346</v>
      </c>
      <c r="B4" s="271" t="s">
        <v>347</v>
      </c>
      <c r="C4" s="245" t="s">
        <v>352</v>
      </c>
      <c r="D4" s="272" t="s">
        <v>353</v>
      </c>
      <c r="E4" s="61" t="s">
        <v>350</v>
      </c>
      <c r="F4" s="61"/>
      <c r="G4" s="61"/>
      <c r="H4" s="61"/>
      <c r="I4" s="61"/>
      <c r="J4" s="61"/>
      <c r="K4" s="137"/>
      <c r="L4" s="274" t="s">
        <v>350</v>
      </c>
      <c r="M4" s="137"/>
      <c r="N4" s="47">
        <v>1</v>
      </c>
      <c r="O4" s="47">
        <v>0</v>
      </c>
      <c r="P4" s="137"/>
      <c r="Q4" s="137"/>
      <c r="R4" s="137"/>
      <c r="S4" s="137"/>
      <c r="T4" s="137"/>
      <c r="U4" s="137"/>
      <c r="V4" s="137"/>
      <c r="W4" s="137"/>
      <c r="X4" s="137"/>
      <c r="Y4" s="137"/>
      <c r="Z4" s="137"/>
      <c r="AA4" s="137"/>
      <c r="AB4" s="137"/>
      <c r="AC4" s="137"/>
      <c r="AD4" s="137"/>
      <c r="AE4" s="137"/>
      <c r="AF4" s="137"/>
      <c r="AG4" s="137"/>
      <c r="AH4" s="137"/>
      <c r="AI4" s="137"/>
      <c r="AJ4" s="137"/>
      <c r="AK4" s="137"/>
      <c r="AL4" s="137"/>
    </row>
    <row r="5" spans="1:38" ht="15.75" customHeight="1">
      <c r="A5" s="270" t="s">
        <v>346</v>
      </c>
      <c r="B5" s="271" t="s">
        <v>347</v>
      </c>
      <c r="C5" s="245" t="s">
        <v>354</v>
      </c>
      <c r="D5" s="275"/>
      <c r="E5" s="61" t="s">
        <v>350</v>
      </c>
      <c r="F5" s="61"/>
      <c r="G5" s="61"/>
      <c r="H5" s="61"/>
      <c r="I5" s="61"/>
      <c r="J5" s="61"/>
      <c r="K5" s="137"/>
      <c r="L5" s="274" t="s">
        <v>355</v>
      </c>
      <c r="M5" s="137"/>
      <c r="N5" s="47">
        <v>2</v>
      </c>
      <c r="O5" s="47">
        <v>1</v>
      </c>
      <c r="P5" s="137"/>
      <c r="Q5" s="137"/>
      <c r="R5" s="137"/>
      <c r="S5" s="137"/>
      <c r="T5" s="137"/>
      <c r="U5" s="137"/>
      <c r="V5" s="137"/>
      <c r="W5" s="137"/>
      <c r="X5" s="137"/>
      <c r="Y5" s="137"/>
      <c r="Z5" s="137"/>
      <c r="AA5" s="137"/>
      <c r="AB5" s="137"/>
      <c r="AC5" s="137"/>
      <c r="AD5" s="137"/>
      <c r="AE5" s="137"/>
      <c r="AF5" s="137"/>
      <c r="AG5" s="137"/>
      <c r="AH5" s="137"/>
      <c r="AI5" s="137"/>
      <c r="AJ5" s="137"/>
      <c r="AK5" s="137"/>
      <c r="AL5" s="137"/>
    </row>
    <row r="6" spans="1:38" ht="15.75" customHeight="1">
      <c r="A6" s="270" t="s">
        <v>346</v>
      </c>
      <c r="B6" s="271" t="s">
        <v>347</v>
      </c>
      <c r="C6" s="245" t="s">
        <v>356</v>
      </c>
      <c r="D6" s="272" t="s">
        <v>357</v>
      </c>
      <c r="E6" s="61" t="s">
        <v>350</v>
      </c>
      <c r="F6" s="61"/>
      <c r="G6" s="61"/>
      <c r="H6" s="61"/>
      <c r="I6" s="61"/>
      <c r="J6" s="61"/>
      <c r="K6" s="137"/>
      <c r="L6" s="274" t="s">
        <v>358</v>
      </c>
      <c r="M6" s="137"/>
      <c r="N6" s="47">
        <v>3</v>
      </c>
      <c r="O6" s="47">
        <v>2</v>
      </c>
      <c r="P6" s="137"/>
      <c r="Q6" s="137"/>
      <c r="R6" s="137"/>
      <c r="S6" s="137"/>
      <c r="T6" s="137"/>
      <c r="U6" s="137"/>
      <c r="V6" s="137"/>
      <c r="W6" s="137"/>
      <c r="X6" s="137"/>
      <c r="Y6" s="137"/>
      <c r="Z6" s="137"/>
      <c r="AA6" s="137"/>
      <c r="AB6" s="137"/>
      <c r="AC6" s="137"/>
      <c r="AD6" s="137"/>
      <c r="AE6" s="137"/>
      <c r="AF6" s="137"/>
      <c r="AG6" s="137"/>
      <c r="AH6" s="137"/>
      <c r="AI6" s="137"/>
      <c r="AJ6" s="137"/>
      <c r="AK6" s="137"/>
      <c r="AL6" s="137"/>
    </row>
    <row r="7" spans="1:38" ht="15.75" customHeight="1">
      <c r="A7" s="270" t="s">
        <v>346</v>
      </c>
      <c r="B7" s="271" t="s">
        <v>347</v>
      </c>
      <c r="C7" s="245" t="s">
        <v>359</v>
      </c>
      <c r="D7" s="272" t="s">
        <v>360</v>
      </c>
      <c r="E7" s="61" t="s">
        <v>350</v>
      </c>
      <c r="F7" s="61"/>
      <c r="G7" s="61"/>
      <c r="H7" s="61"/>
      <c r="I7" s="61"/>
      <c r="J7" s="61"/>
      <c r="K7" s="137"/>
      <c r="L7" s="274" t="s">
        <v>361</v>
      </c>
      <c r="M7" s="137"/>
      <c r="N7" s="47">
        <v>4</v>
      </c>
      <c r="O7" s="137">
        <v>3</v>
      </c>
      <c r="P7" s="137"/>
      <c r="Q7" s="137"/>
      <c r="R7" s="137"/>
      <c r="S7" s="137"/>
      <c r="T7" s="137"/>
      <c r="U7" s="137"/>
      <c r="V7" s="137"/>
      <c r="W7" s="137"/>
      <c r="X7" s="137"/>
      <c r="Y7" s="137"/>
      <c r="Z7" s="137"/>
      <c r="AA7" s="137"/>
      <c r="AB7" s="137"/>
      <c r="AC7" s="137"/>
      <c r="AD7" s="137"/>
      <c r="AE7" s="137"/>
      <c r="AF7" s="137"/>
      <c r="AG7" s="137"/>
      <c r="AH7" s="137"/>
      <c r="AI7" s="137"/>
      <c r="AJ7" s="137"/>
      <c r="AK7" s="137"/>
      <c r="AL7" s="137"/>
    </row>
    <row r="8" spans="1:38" ht="15.75" customHeight="1">
      <c r="A8" s="270" t="s">
        <v>346</v>
      </c>
      <c r="B8" s="271" t="s">
        <v>347</v>
      </c>
      <c r="C8" s="245" t="s">
        <v>362</v>
      </c>
      <c r="D8" s="272" t="s">
        <v>363</v>
      </c>
      <c r="E8" s="61" t="s">
        <v>350</v>
      </c>
      <c r="F8" s="61"/>
      <c r="G8" s="61"/>
      <c r="H8" s="61"/>
      <c r="I8" s="61"/>
      <c r="J8" s="61"/>
      <c r="K8" s="137"/>
      <c r="L8" s="274" t="s">
        <v>364</v>
      </c>
      <c r="M8" s="137"/>
      <c r="N8" s="47">
        <v>5</v>
      </c>
      <c r="O8" s="137" t="s">
        <v>365</v>
      </c>
      <c r="P8" s="137"/>
      <c r="Q8" s="137"/>
      <c r="R8" s="137"/>
      <c r="S8" s="137"/>
      <c r="T8" s="137"/>
      <c r="U8" s="137"/>
      <c r="V8" s="137"/>
      <c r="W8" s="137"/>
      <c r="X8" s="137"/>
      <c r="Y8" s="137"/>
      <c r="Z8" s="137"/>
      <c r="AA8" s="137"/>
      <c r="AB8" s="137"/>
      <c r="AC8" s="137"/>
      <c r="AD8" s="137"/>
      <c r="AE8" s="137"/>
      <c r="AF8" s="137"/>
      <c r="AG8" s="137"/>
      <c r="AH8" s="137"/>
      <c r="AI8" s="137"/>
      <c r="AJ8" s="137"/>
      <c r="AK8" s="137"/>
      <c r="AL8" s="137"/>
    </row>
    <row r="9" spans="1:38" ht="15.75" customHeight="1">
      <c r="A9" s="270" t="s">
        <v>346</v>
      </c>
      <c r="B9" s="271" t="s">
        <v>347</v>
      </c>
      <c r="C9" s="245" t="s">
        <v>366</v>
      </c>
      <c r="D9" s="272" t="s">
        <v>367</v>
      </c>
      <c r="E9" s="61" t="s">
        <v>350</v>
      </c>
      <c r="F9" s="61"/>
      <c r="G9" s="61"/>
      <c r="H9" s="61"/>
      <c r="I9" s="61"/>
      <c r="J9" s="61"/>
      <c r="K9" s="137"/>
      <c r="L9" s="274" t="s">
        <v>368</v>
      </c>
      <c r="M9" s="137"/>
      <c r="N9" s="47">
        <v>6</v>
      </c>
      <c r="O9" s="137"/>
      <c r="P9" s="137"/>
      <c r="Q9" s="137"/>
      <c r="R9" s="137"/>
      <c r="S9" s="137"/>
      <c r="T9" s="137"/>
      <c r="U9" s="137"/>
      <c r="V9" s="137"/>
      <c r="W9" s="137"/>
      <c r="X9" s="137"/>
      <c r="Y9" s="137"/>
      <c r="Z9" s="137"/>
      <c r="AA9" s="137"/>
      <c r="AB9" s="137"/>
      <c r="AC9" s="137"/>
      <c r="AD9" s="137"/>
      <c r="AE9" s="137"/>
      <c r="AF9" s="137"/>
      <c r="AG9" s="137"/>
      <c r="AH9" s="137"/>
      <c r="AI9" s="137"/>
      <c r="AJ9" s="137"/>
      <c r="AK9" s="137"/>
      <c r="AL9" s="137"/>
    </row>
    <row r="10" spans="1:38" ht="15.75" customHeight="1">
      <c r="A10" s="270" t="s">
        <v>346</v>
      </c>
      <c r="B10" s="271" t="s">
        <v>347</v>
      </c>
      <c r="C10" s="245" t="s">
        <v>369</v>
      </c>
      <c r="D10" s="262" t="s">
        <v>370</v>
      </c>
      <c r="E10" s="61" t="s">
        <v>350</v>
      </c>
      <c r="F10" s="61"/>
      <c r="G10" s="61"/>
      <c r="H10" s="61"/>
      <c r="I10" s="61"/>
      <c r="J10" s="61"/>
      <c r="K10" s="137"/>
      <c r="L10" s="274" t="s">
        <v>371</v>
      </c>
      <c r="M10" s="137"/>
      <c r="N10" s="47">
        <v>7</v>
      </c>
      <c r="O10" s="137"/>
      <c r="P10" s="137"/>
      <c r="Q10" s="137"/>
      <c r="R10" s="137"/>
      <c r="S10" s="137"/>
      <c r="T10" s="137"/>
      <c r="U10" s="137"/>
      <c r="V10" s="137"/>
      <c r="W10" s="137"/>
      <c r="X10" s="137"/>
      <c r="Y10" s="137"/>
      <c r="Z10" s="137"/>
      <c r="AA10" s="137"/>
      <c r="AB10" s="137"/>
      <c r="AC10" s="137"/>
      <c r="AD10" s="137"/>
      <c r="AE10" s="137"/>
      <c r="AF10" s="137"/>
      <c r="AG10" s="137"/>
      <c r="AH10" s="137"/>
      <c r="AI10" s="137"/>
      <c r="AJ10" s="137"/>
      <c r="AK10" s="137"/>
      <c r="AL10" s="137"/>
    </row>
    <row r="11" spans="1:38" ht="15.75" customHeight="1">
      <c r="A11" s="270" t="s">
        <v>346</v>
      </c>
      <c r="B11" s="271" t="s">
        <v>347</v>
      </c>
      <c r="C11" s="245" t="s">
        <v>372</v>
      </c>
      <c r="D11" s="272" t="s">
        <v>373</v>
      </c>
      <c r="E11" s="61" t="s">
        <v>350</v>
      </c>
      <c r="F11" s="61"/>
      <c r="G11" s="61"/>
      <c r="H11" s="61"/>
      <c r="I11" s="61"/>
      <c r="J11" s="61"/>
      <c r="K11" s="268"/>
      <c r="L11" s="274" t="s">
        <v>374</v>
      </c>
      <c r="M11" s="137"/>
      <c r="N11" s="47">
        <v>8</v>
      </c>
      <c r="O11" s="137"/>
      <c r="P11" s="137"/>
      <c r="Q11" s="137"/>
      <c r="R11" s="137"/>
      <c r="S11" s="137"/>
      <c r="T11" s="137"/>
      <c r="U11" s="137"/>
      <c r="V11" s="137"/>
      <c r="W11" s="137"/>
      <c r="X11" s="137"/>
      <c r="Y11" s="137"/>
      <c r="Z11" s="137"/>
      <c r="AA11" s="137"/>
      <c r="AB11" s="137"/>
      <c r="AC11" s="137"/>
      <c r="AD11" s="137"/>
      <c r="AE11" s="137"/>
      <c r="AF11" s="137"/>
      <c r="AG11" s="137"/>
      <c r="AH11" s="137"/>
      <c r="AI11" s="137"/>
      <c r="AJ11" s="137"/>
      <c r="AK11" s="137"/>
      <c r="AL11" s="137"/>
    </row>
    <row r="12" spans="1:38" ht="15.75" customHeight="1">
      <c r="A12" s="270" t="s">
        <v>346</v>
      </c>
      <c r="B12" s="271" t="s">
        <v>347</v>
      </c>
      <c r="C12" s="245" t="s">
        <v>375</v>
      </c>
      <c r="D12" s="272" t="s">
        <v>376</v>
      </c>
      <c r="E12" s="61" t="s">
        <v>350</v>
      </c>
      <c r="F12" s="61"/>
      <c r="G12" s="61"/>
      <c r="H12" s="61"/>
      <c r="I12" s="61"/>
      <c r="J12" s="61"/>
      <c r="K12" s="268"/>
      <c r="L12" s="274" t="s">
        <v>377</v>
      </c>
      <c r="M12" s="137"/>
      <c r="N12" s="47">
        <v>9</v>
      </c>
      <c r="O12" s="137"/>
      <c r="P12" s="137"/>
      <c r="Q12" s="137"/>
      <c r="R12" s="137"/>
      <c r="S12" s="137"/>
      <c r="T12" s="137"/>
      <c r="U12" s="137"/>
      <c r="V12" s="137"/>
      <c r="W12" s="137"/>
      <c r="X12" s="137"/>
      <c r="Y12" s="137"/>
      <c r="Z12" s="137"/>
      <c r="AA12" s="137"/>
      <c r="AB12" s="137"/>
      <c r="AC12" s="137"/>
      <c r="AD12" s="137"/>
      <c r="AE12" s="137"/>
      <c r="AF12" s="137"/>
      <c r="AG12" s="137"/>
      <c r="AH12" s="137"/>
      <c r="AI12" s="137"/>
      <c r="AJ12" s="137"/>
      <c r="AK12" s="137"/>
      <c r="AL12" s="137"/>
    </row>
    <row r="13" spans="1:38" ht="15.75" customHeight="1">
      <c r="A13" s="270" t="s">
        <v>346</v>
      </c>
      <c r="B13" s="271" t="s">
        <v>347</v>
      </c>
      <c r="C13" s="245" t="s">
        <v>378</v>
      </c>
      <c r="D13" s="275"/>
      <c r="E13" s="61" t="s">
        <v>350</v>
      </c>
      <c r="F13" s="61"/>
      <c r="G13" s="61"/>
      <c r="H13" s="61"/>
      <c r="I13" s="61"/>
      <c r="J13" s="61"/>
      <c r="K13" s="268"/>
      <c r="L13" s="274" t="s">
        <v>379</v>
      </c>
      <c r="M13" s="137"/>
      <c r="N13" s="137">
        <v>10</v>
      </c>
      <c r="O13" s="137"/>
      <c r="P13" s="137"/>
      <c r="Q13" s="137"/>
      <c r="R13" s="137"/>
      <c r="S13" s="137"/>
      <c r="T13" s="137"/>
      <c r="U13" s="137"/>
      <c r="V13" s="137"/>
      <c r="W13" s="137"/>
      <c r="X13" s="137"/>
      <c r="Y13" s="137"/>
      <c r="Z13" s="137"/>
      <c r="AA13" s="137"/>
      <c r="AB13" s="137"/>
      <c r="AC13" s="137"/>
      <c r="AD13" s="137"/>
      <c r="AE13" s="137"/>
      <c r="AF13" s="137"/>
      <c r="AG13" s="137"/>
      <c r="AH13" s="137"/>
      <c r="AI13" s="137"/>
      <c r="AJ13" s="137"/>
      <c r="AK13" s="137"/>
      <c r="AL13" s="137"/>
    </row>
    <row r="14" spans="1:38" ht="15.75" customHeight="1">
      <c r="A14" s="270" t="s">
        <v>346</v>
      </c>
      <c r="B14" s="271" t="s">
        <v>347</v>
      </c>
      <c r="C14" s="245" t="s">
        <v>380</v>
      </c>
      <c r="D14" s="272" t="s">
        <v>381</v>
      </c>
      <c r="E14" s="61" t="s">
        <v>350</v>
      </c>
      <c r="F14" s="61"/>
      <c r="G14" s="61"/>
      <c r="H14" s="61"/>
      <c r="I14" s="61"/>
      <c r="J14" s="61"/>
      <c r="K14" s="268"/>
      <c r="L14" s="274" t="s">
        <v>116</v>
      </c>
      <c r="M14" s="137"/>
      <c r="N14" s="137"/>
      <c r="O14" s="137"/>
      <c r="P14" s="137"/>
      <c r="Q14" s="137"/>
      <c r="R14" s="137"/>
      <c r="S14" s="137"/>
      <c r="T14" s="137"/>
      <c r="U14" s="137"/>
      <c r="V14" s="137"/>
      <c r="W14" s="137"/>
      <c r="X14" s="137"/>
      <c r="Y14" s="137"/>
      <c r="Z14" s="137"/>
      <c r="AA14" s="137"/>
      <c r="AB14" s="137"/>
      <c r="AC14" s="137"/>
      <c r="AD14" s="137"/>
      <c r="AE14" s="137"/>
      <c r="AF14" s="137"/>
      <c r="AG14" s="137"/>
      <c r="AH14" s="137"/>
      <c r="AI14" s="137"/>
      <c r="AJ14" s="137"/>
      <c r="AK14" s="137"/>
      <c r="AL14" s="137"/>
    </row>
    <row r="15" spans="1:38" ht="15.75" customHeight="1">
      <c r="A15" s="270" t="s">
        <v>346</v>
      </c>
      <c r="B15" s="271" t="s">
        <v>347</v>
      </c>
      <c r="C15" s="245" t="s">
        <v>382</v>
      </c>
      <c r="D15" s="272" t="s">
        <v>383</v>
      </c>
      <c r="E15" s="61" t="s">
        <v>350</v>
      </c>
      <c r="F15" s="61"/>
      <c r="G15" s="61"/>
      <c r="H15" s="61"/>
      <c r="I15" s="61"/>
      <c r="J15" s="61"/>
      <c r="K15" s="268"/>
      <c r="L15" s="274" t="s">
        <v>384</v>
      </c>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37"/>
      <c r="AJ15" s="137"/>
      <c r="AK15" s="137"/>
      <c r="AL15" s="137"/>
    </row>
    <row r="16" spans="1:38" ht="15.75" customHeight="1">
      <c r="A16" s="270" t="s">
        <v>346</v>
      </c>
      <c r="B16" s="271" t="s">
        <v>347</v>
      </c>
      <c r="C16" s="245" t="s">
        <v>385</v>
      </c>
      <c r="D16" s="272" t="s">
        <v>386</v>
      </c>
      <c r="E16" s="61" t="s">
        <v>350</v>
      </c>
      <c r="F16" s="61"/>
      <c r="G16" s="61"/>
      <c r="H16" s="61"/>
      <c r="I16" s="61"/>
      <c r="J16" s="61"/>
      <c r="K16" s="268"/>
      <c r="L16" s="274" t="s">
        <v>387</v>
      </c>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row>
    <row r="17" spans="1:38" ht="15.75" customHeight="1">
      <c r="A17" s="270" t="s">
        <v>346</v>
      </c>
      <c r="B17" s="271" t="s">
        <v>347</v>
      </c>
      <c r="C17" s="245" t="s">
        <v>388</v>
      </c>
      <c r="D17" s="272" t="s">
        <v>389</v>
      </c>
      <c r="E17" s="61" t="s">
        <v>350</v>
      </c>
      <c r="F17" s="61"/>
      <c r="G17" s="61"/>
      <c r="H17" s="61"/>
      <c r="I17" s="61"/>
      <c r="J17" s="61"/>
      <c r="K17" s="268"/>
      <c r="L17" s="61" t="s">
        <v>390</v>
      </c>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row>
    <row r="18" spans="1:38" ht="15.75" customHeight="1">
      <c r="A18" s="270" t="s">
        <v>346</v>
      </c>
      <c r="B18" s="271" t="s">
        <v>347</v>
      </c>
      <c r="C18" s="245" t="s">
        <v>391</v>
      </c>
      <c r="D18" s="272" t="s">
        <v>392</v>
      </c>
      <c r="E18" s="61" t="s">
        <v>350</v>
      </c>
      <c r="F18" s="61"/>
      <c r="G18" s="61"/>
      <c r="H18" s="61"/>
      <c r="I18" s="61"/>
      <c r="J18" s="61"/>
      <c r="K18" s="268"/>
      <c r="L18" s="61"/>
      <c r="M18" s="137"/>
      <c r="N18" s="137"/>
      <c r="O18" s="137"/>
      <c r="P18" s="137"/>
      <c r="Q18" s="137"/>
      <c r="R18" s="137"/>
      <c r="S18" s="137"/>
      <c r="T18" s="137"/>
      <c r="U18" s="137"/>
      <c r="V18" s="137"/>
      <c r="W18" s="137"/>
      <c r="X18" s="137"/>
      <c r="Y18" s="137"/>
      <c r="Z18" s="137"/>
      <c r="AA18" s="137"/>
      <c r="AB18" s="137"/>
      <c r="AC18" s="137"/>
      <c r="AD18" s="137"/>
      <c r="AE18" s="137"/>
      <c r="AF18" s="137"/>
      <c r="AG18" s="137"/>
      <c r="AH18" s="137"/>
      <c r="AI18" s="137"/>
      <c r="AJ18" s="137"/>
      <c r="AK18" s="137"/>
      <c r="AL18" s="137"/>
    </row>
    <row r="19" spans="1:38" ht="15.75" customHeight="1">
      <c r="A19" s="270" t="s">
        <v>346</v>
      </c>
      <c r="B19" s="271" t="s">
        <v>393</v>
      </c>
      <c r="C19" s="245" t="s">
        <v>394</v>
      </c>
      <c r="D19" s="272" t="s">
        <v>395</v>
      </c>
      <c r="E19" s="61" t="s">
        <v>355</v>
      </c>
      <c r="F19" s="61"/>
      <c r="G19" s="61"/>
      <c r="H19" s="61"/>
      <c r="I19" s="61" t="s">
        <v>350</v>
      </c>
      <c r="J19" s="61" t="s">
        <v>371</v>
      </c>
      <c r="K19" s="268"/>
      <c r="L19" s="61"/>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row>
    <row r="20" spans="1:38" ht="15.75" customHeight="1">
      <c r="A20" s="270" t="s">
        <v>346</v>
      </c>
      <c r="B20" s="271" t="s">
        <v>393</v>
      </c>
      <c r="C20" s="245" t="s">
        <v>396</v>
      </c>
      <c r="D20" s="272" t="s">
        <v>397</v>
      </c>
      <c r="E20" s="61" t="s">
        <v>355</v>
      </c>
      <c r="F20" s="61"/>
      <c r="G20" s="61"/>
      <c r="H20" s="61"/>
      <c r="I20" s="61" t="s">
        <v>350</v>
      </c>
      <c r="J20" s="61" t="s">
        <v>371</v>
      </c>
      <c r="K20" s="268"/>
      <c r="L20" s="61"/>
      <c r="M20" s="137"/>
      <c r="N20" s="137"/>
      <c r="O20" s="137"/>
      <c r="P20" s="137"/>
      <c r="Q20" s="137"/>
      <c r="R20" s="137"/>
      <c r="S20" s="137"/>
      <c r="T20" s="137"/>
      <c r="U20" s="137"/>
      <c r="V20" s="137"/>
      <c r="W20" s="137"/>
      <c r="X20" s="137"/>
      <c r="Y20" s="137"/>
      <c r="Z20" s="137"/>
      <c r="AA20" s="137"/>
      <c r="AB20" s="137"/>
      <c r="AC20" s="137"/>
      <c r="AD20" s="137"/>
      <c r="AE20" s="137"/>
      <c r="AF20" s="137"/>
      <c r="AG20" s="137"/>
      <c r="AH20" s="137"/>
      <c r="AI20" s="137"/>
      <c r="AJ20" s="137"/>
      <c r="AK20" s="137"/>
      <c r="AL20" s="137"/>
    </row>
    <row r="21" spans="1:38" ht="15.75" customHeight="1">
      <c r="A21" s="270" t="s">
        <v>346</v>
      </c>
      <c r="B21" s="271" t="s">
        <v>393</v>
      </c>
      <c r="C21" s="245" t="s">
        <v>398</v>
      </c>
      <c r="D21" s="272" t="s">
        <v>399</v>
      </c>
      <c r="E21" s="61" t="s">
        <v>355</v>
      </c>
      <c r="F21" s="61"/>
      <c r="G21" s="61"/>
      <c r="H21" s="61"/>
      <c r="I21" s="61" t="s">
        <v>350</v>
      </c>
      <c r="J21" s="61" t="s">
        <v>371</v>
      </c>
      <c r="K21" s="137"/>
      <c r="L21" s="137"/>
      <c r="M21" s="137"/>
      <c r="N21" s="137"/>
      <c r="O21" s="137"/>
      <c r="P21" s="137"/>
      <c r="Q21" s="137"/>
      <c r="R21" s="137"/>
      <c r="S21" s="137"/>
      <c r="T21" s="137"/>
      <c r="U21" s="137"/>
      <c r="V21" s="137"/>
      <c r="W21" s="137"/>
      <c r="X21" s="137"/>
      <c r="Y21" s="137"/>
      <c r="Z21" s="137"/>
      <c r="AA21" s="137"/>
      <c r="AB21" s="137"/>
      <c r="AC21" s="137"/>
      <c r="AD21" s="137"/>
      <c r="AE21" s="137"/>
      <c r="AF21" s="137"/>
      <c r="AG21" s="137"/>
      <c r="AH21" s="137"/>
      <c r="AI21" s="137"/>
      <c r="AJ21" s="137"/>
      <c r="AK21" s="137"/>
      <c r="AL21" s="137"/>
    </row>
    <row r="22" spans="1:38" ht="15.75" customHeight="1">
      <c r="A22" s="270" t="s">
        <v>346</v>
      </c>
      <c r="B22" s="271" t="s">
        <v>393</v>
      </c>
      <c r="C22" s="245" t="s">
        <v>400</v>
      </c>
      <c r="D22" s="272" t="s">
        <v>401</v>
      </c>
      <c r="E22" s="61" t="s">
        <v>355</v>
      </c>
      <c r="F22" s="61"/>
      <c r="G22" s="61"/>
      <c r="H22" s="61"/>
      <c r="I22" s="61" t="s">
        <v>350</v>
      </c>
      <c r="J22" s="61" t="s">
        <v>371</v>
      </c>
      <c r="K22" s="137"/>
      <c r="L22" s="137"/>
      <c r="M22" s="137"/>
      <c r="N22" s="137"/>
      <c r="O22" s="137"/>
      <c r="P22" s="137"/>
      <c r="Q22" s="137"/>
      <c r="R22" s="137"/>
      <c r="S22" s="137"/>
      <c r="T22" s="137"/>
      <c r="U22" s="137"/>
      <c r="V22" s="137"/>
      <c r="W22" s="137"/>
      <c r="X22" s="137"/>
      <c r="Y22" s="137"/>
      <c r="Z22" s="137"/>
      <c r="AA22" s="137"/>
      <c r="AB22" s="137"/>
      <c r="AC22" s="137"/>
      <c r="AD22" s="137"/>
      <c r="AE22" s="137"/>
      <c r="AF22" s="137"/>
      <c r="AG22" s="137"/>
      <c r="AH22" s="137"/>
      <c r="AI22" s="137"/>
      <c r="AJ22" s="137"/>
      <c r="AK22" s="137"/>
      <c r="AL22" s="137"/>
    </row>
    <row r="23" spans="1:38" ht="15.75" customHeight="1">
      <c r="A23" s="270" t="s">
        <v>346</v>
      </c>
      <c r="B23" s="271" t="s">
        <v>393</v>
      </c>
      <c r="C23" s="245" t="s">
        <v>402</v>
      </c>
      <c r="D23" s="272" t="s">
        <v>403</v>
      </c>
      <c r="E23" s="61" t="s">
        <v>355</v>
      </c>
      <c r="F23" s="61"/>
      <c r="G23" s="61"/>
      <c r="H23" s="61"/>
      <c r="I23" s="61" t="s">
        <v>350</v>
      </c>
      <c r="J23" s="61" t="s">
        <v>371</v>
      </c>
      <c r="K23" s="137"/>
      <c r="L23" s="137"/>
      <c r="M23" s="137"/>
      <c r="N23" s="137"/>
      <c r="O23" s="137"/>
      <c r="P23" s="137"/>
      <c r="Q23" s="137"/>
      <c r="R23" s="137"/>
      <c r="S23" s="137"/>
      <c r="T23" s="137"/>
      <c r="U23" s="137"/>
      <c r="V23" s="137"/>
      <c r="W23" s="137"/>
      <c r="X23" s="137"/>
      <c r="Y23" s="137"/>
      <c r="Z23" s="137"/>
      <c r="AA23" s="137"/>
      <c r="AB23" s="137"/>
      <c r="AC23" s="137"/>
      <c r="AD23" s="137"/>
      <c r="AE23" s="137"/>
      <c r="AF23" s="137"/>
      <c r="AG23" s="137"/>
      <c r="AH23" s="137"/>
      <c r="AI23" s="137"/>
      <c r="AJ23" s="137"/>
      <c r="AK23" s="137"/>
      <c r="AL23" s="137"/>
    </row>
    <row r="24" spans="1:38" ht="15.75" customHeight="1">
      <c r="A24" s="270" t="s">
        <v>346</v>
      </c>
      <c r="B24" s="271" t="s">
        <v>393</v>
      </c>
      <c r="C24" s="245" t="s">
        <v>404</v>
      </c>
      <c r="D24" s="272" t="s">
        <v>405</v>
      </c>
      <c r="E24" s="61" t="s">
        <v>355</v>
      </c>
      <c r="F24" s="61"/>
      <c r="G24" s="61"/>
      <c r="H24" s="61"/>
      <c r="I24" s="61" t="s">
        <v>350</v>
      </c>
      <c r="J24" s="61" t="s">
        <v>371</v>
      </c>
      <c r="K24" s="137"/>
      <c r="L24" s="137"/>
      <c r="M24" s="137"/>
      <c r="N24" s="137"/>
      <c r="O24" s="137"/>
      <c r="P24" s="137"/>
      <c r="Q24" s="137"/>
      <c r="R24" s="137"/>
      <c r="S24" s="137"/>
      <c r="T24" s="137"/>
      <c r="U24" s="137"/>
      <c r="V24" s="137"/>
      <c r="W24" s="137"/>
      <c r="X24" s="137"/>
      <c r="Y24" s="137"/>
      <c r="Z24" s="137"/>
      <c r="AA24" s="137"/>
      <c r="AB24" s="137"/>
      <c r="AC24" s="137"/>
      <c r="AD24" s="137"/>
      <c r="AE24" s="137"/>
      <c r="AF24" s="137"/>
      <c r="AG24" s="137"/>
      <c r="AH24" s="137"/>
      <c r="AI24" s="137"/>
      <c r="AJ24" s="137"/>
      <c r="AK24" s="137"/>
      <c r="AL24" s="137"/>
    </row>
    <row r="25" spans="1:38" ht="15.75" customHeight="1">
      <c r="A25" s="270" t="s">
        <v>346</v>
      </c>
      <c r="B25" s="271" t="s">
        <v>393</v>
      </c>
      <c r="C25" s="245" t="s">
        <v>406</v>
      </c>
      <c r="D25" s="275"/>
      <c r="E25" s="61" t="s">
        <v>355</v>
      </c>
      <c r="F25" s="61"/>
      <c r="G25" s="61"/>
      <c r="H25" s="61"/>
      <c r="I25" s="61" t="s">
        <v>350</v>
      </c>
      <c r="J25" s="61" t="s">
        <v>371</v>
      </c>
      <c r="K25" s="137"/>
      <c r="L25" s="137"/>
      <c r="M25" s="137"/>
      <c r="N25" s="137"/>
      <c r="O25" s="137"/>
      <c r="P25" s="137"/>
      <c r="Q25" s="137"/>
      <c r="R25" s="137"/>
      <c r="S25" s="137"/>
      <c r="T25" s="137"/>
      <c r="U25" s="137"/>
      <c r="V25" s="137"/>
      <c r="W25" s="137"/>
      <c r="X25" s="137"/>
      <c r="Y25" s="137"/>
      <c r="Z25" s="137"/>
      <c r="AA25" s="137"/>
      <c r="AB25" s="137"/>
      <c r="AC25" s="137"/>
      <c r="AD25" s="137"/>
      <c r="AE25" s="137"/>
      <c r="AF25" s="137"/>
      <c r="AG25" s="137"/>
      <c r="AH25" s="137"/>
      <c r="AI25" s="137"/>
      <c r="AJ25" s="137"/>
      <c r="AK25" s="137"/>
      <c r="AL25" s="137"/>
    </row>
    <row r="26" spans="1:38" ht="15.75" customHeight="1">
      <c r="A26" s="270" t="s">
        <v>346</v>
      </c>
      <c r="B26" s="271" t="s">
        <v>393</v>
      </c>
      <c r="C26" s="245" t="s">
        <v>407</v>
      </c>
      <c r="D26" s="272" t="s">
        <v>408</v>
      </c>
      <c r="E26" s="61" t="s">
        <v>355</v>
      </c>
      <c r="F26" s="61"/>
      <c r="G26" s="61"/>
      <c r="H26" s="61"/>
      <c r="I26" s="61" t="s">
        <v>350</v>
      </c>
      <c r="J26" s="61" t="s">
        <v>371</v>
      </c>
      <c r="K26" s="137"/>
      <c r="L26" s="137"/>
      <c r="M26" s="137"/>
      <c r="N26" s="137"/>
      <c r="O26" s="137"/>
      <c r="P26" s="137"/>
      <c r="Q26" s="137"/>
      <c r="R26" s="137"/>
      <c r="S26" s="137"/>
      <c r="T26" s="137"/>
      <c r="U26" s="137"/>
      <c r="V26" s="137"/>
      <c r="W26" s="137"/>
      <c r="X26" s="137"/>
      <c r="Y26" s="137"/>
      <c r="Z26" s="137"/>
      <c r="AA26" s="137"/>
      <c r="AB26" s="137"/>
      <c r="AC26" s="137"/>
      <c r="AD26" s="137"/>
      <c r="AE26" s="137"/>
      <c r="AF26" s="137"/>
      <c r="AG26" s="137"/>
      <c r="AH26" s="137"/>
      <c r="AI26" s="137"/>
      <c r="AJ26" s="137"/>
      <c r="AK26" s="137"/>
      <c r="AL26" s="137"/>
    </row>
    <row r="27" spans="1:38" ht="15.75" customHeight="1">
      <c r="A27" s="270" t="s">
        <v>346</v>
      </c>
      <c r="B27" s="271" t="s">
        <v>393</v>
      </c>
      <c r="C27" s="245" t="s">
        <v>409</v>
      </c>
      <c r="D27" s="272" t="s">
        <v>410</v>
      </c>
      <c r="E27" s="61" t="s">
        <v>355</v>
      </c>
      <c r="F27" s="61"/>
      <c r="G27" s="61"/>
      <c r="H27" s="61"/>
      <c r="I27" s="61" t="s">
        <v>350</v>
      </c>
      <c r="J27" s="61" t="s">
        <v>371</v>
      </c>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row>
    <row r="28" spans="1:38" ht="15.75" customHeight="1">
      <c r="A28" s="270" t="s">
        <v>346</v>
      </c>
      <c r="B28" s="271" t="s">
        <v>393</v>
      </c>
      <c r="C28" s="245" t="s">
        <v>411</v>
      </c>
      <c r="D28" s="272" t="s">
        <v>412</v>
      </c>
      <c r="E28" s="61" t="s">
        <v>355</v>
      </c>
      <c r="F28" s="61"/>
      <c r="G28" s="61"/>
      <c r="H28" s="61"/>
      <c r="I28" s="61" t="s">
        <v>350</v>
      </c>
      <c r="J28" s="61" t="s">
        <v>371</v>
      </c>
      <c r="K28" s="137"/>
      <c r="L28" s="137"/>
      <c r="M28" s="137"/>
      <c r="N28" s="137"/>
      <c r="O28" s="137"/>
      <c r="P28" s="137"/>
      <c r="Q28" s="137"/>
      <c r="R28" s="137"/>
      <c r="S28" s="137"/>
      <c r="T28" s="137"/>
      <c r="U28" s="137"/>
      <c r="V28" s="137"/>
      <c r="W28" s="137"/>
      <c r="X28" s="137"/>
      <c r="Y28" s="137"/>
      <c r="Z28" s="137"/>
      <c r="AA28" s="137"/>
      <c r="AB28" s="137"/>
      <c r="AC28" s="137"/>
      <c r="AD28" s="137"/>
      <c r="AE28" s="137"/>
      <c r="AF28" s="137"/>
      <c r="AG28" s="137"/>
      <c r="AH28" s="137"/>
      <c r="AI28" s="137"/>
      <c r="AJ28" s="137"/>
      <c r="AK28" s="137"/>
      <c r="AL28" s="137"/>
    </row>
    <row r="29" spans="1:38" ht="15.75" customHeight="1">
      <c r="A29" s="270" t="s">
        <v>346</v>
      </c>
      <c r="B29" s="271" t="s">
        <v>393</v>
      </c>
      <c r="C29" s="245" t="s">
        <v>413</v>
      </c>
      <c r="D29" s="272" t="s">
        <v>414</v>
      </c>
      <c r="E29" s="61" t="s">
        <v>355</v>
      </c>
      <c r="F29" s="61"/>
      <c r="G29" s="61"/>
      <c r="H29" s="61"/>
      <c r="I29" s="61" t="s">
        <v>350</v>
      </c>
      <c r="J29" s="61" t="s">
        <v>371</v>
      </c>
      <c r="K29" s="137"/>
      <c r="L29" s="137"/>
      <c r="M29" s="137"/>
      <c r="N29" s="137"/>
      <c r="O29" s="137"/>
      <c r="P29" s="137"/>
      <c r="Q29" s="137"/>
      <c r="R29" s="137"/>
      <c r="S29" s="137"/>
      <c r="T29" s="137"/>
      <c r="U29" s="137"/>
      <c r="V29" s="137"/>
      <c r="W29" s="137"/>
      <c r="X29" s="137"/>
      <c r="Y29" s="137"/>
      <c r="Z29" s="137"/>
      <c r="AA29" s="137"/>
      <c r="AB29" s="137"/>
      <c r="AC29" s="137"/>
      <c r="AD29" s="137"/>
      <c r="AE29" s="137"/>
      <c r="AF29" s="137"/>
      <c r="AG29" s="137"/>
      <c r="AH29" s="137"/>
      <c r="AI29" s="137"/>
      <c r="AJ29" s="137"/>
      <c r="AK29" s="137"/>
      <c r="AL29" s="137"/>
    </row>
    <row r="30" spans="1:38" ht="15.75" customHeight="1">
      <c r="A30" s="270" t="s">
        <v>346</v>
      </c>
      <c r="B30" s="271" t="s">
        <v>393</v>
      </c>
      <c r="C30" s="245" t="s">
        <v>415</v>
      </c>
      <c r="D30" s="272" t="s">
        <v>416</v>
      </c>
      <c r="E30" s="61" t="s">
        <v>355</v>
      </c>
      <c r="F30" s="61"/>
      <c r="G30" s="61"/>
      <c r="H30" s="61"/>
      <c r="I30" s="61" t="s">
        <v>350</v>
      </c>
      <c r="J30" s="61" t="s">
        <v>371</v>
      </c>
      <c r="K30" s="137"/>
      <c r="L30" s="137"/>
      <c r="M30" s="137"/>
      <c r="N30" s="137"/>
      <c r="O30" s="137"/>
      <c r="P30" s="137"/>
      <c r="Q30" s="137"/>
      <c r="R30" s="137"/>
      <c r="S30" s="137"/>
      <c r="T30" s="137"/>
      <c r="U30" s="137"/>
      <c r="V30" s="137"/>
      <c r="W30" s="137"/>
      <c r="X30" s="137"/>
      <c r="Y30" s="137"/>
      <c r="Z30" s="137"/>
      <c r="AA30" s="137"/>
      <c r="AB30" s="137"/>
      <c r="AC30" s="137"/>
      <c r="AD30" s="137"/>
      <c r="AE30" s="137"/>
      <c r="AF30" s="137"/>
      <c r="AG30" s="137"/>
      <c r="AH30" s="137"/>
      <c r="AI30" s="137"/>
      <c r="AJ30" s="137"/>
      <c r="AK30" s="137"/>
      <c r="AL30" s="137"/>
    </row>
    <row r="31" spans="1:38" ht="15.75" customHeight="1">
      <c r="A31" s="270" t="s">
        <v>346</v>
      </c>
      <c r="B31" s="271" t="s">
        <v>393</v>
      </c>
      <c r="C31" s="245" t="s">
        <v>150</v>
      </c>
      <c r="D31" s="272" t="s">
        <v>417</v>
      </c>
      <c r="E31" s="61" t="s">
        <v>355</v>
      </c>
      <c r="F31" s="61"/>
      <c r="G31" s="61"/>
      <c r="H31" s="61"/>
      <c r="I31" s="61" t="s">
        <v>350</v>
      </c>
      <c r="J31" s="61" t="s">
        <v>371</v>
      </c>
      <c r="K31" s="137"/>
      <c r="L31" s="137"/>
      <c r="M31" s="137"/>
      <c r="N31" s="137"/>
      <c r="O31" s="137"/>
      <c r="P31" s="137"/>
      <c r="Q31" s="137"/>
      <c r="R31" s="137"/>
      <c r="S31" s="137"/>
      <c r="T31" s="137"/>
      <c r="U31" s="137"/>
      <c r="V31" s="137"/>
      <c r="W31" s="137"/>
      <c r="X31" s="137"/>
      <c r="Y31" s="137"/>
      <c r="Z31" s="137"/>
      <c r="AA31" s="137"/>
      <c r="AB31" s="137"/>
      <c r="AC31" s="137"/>
      <c r="AD31" s="137"/>
      <c r="AE31" s="137"/>
      <c r="AF31" s="137"/>
      <c r="AG31" s="137"/>
      <c r="AH31" s="137"/>
      <c r="AI31" s="137"/>
      <c r="AJ31" s="137"/>
      <c r="AK31" s="137"/>
      <c r="AL31" s="137"/>
    </row>
    <row r="32" spans="1:38" ht="15.75" customHeight="1">
      <c r="A32" s="270" t="s">
        <v>346</v>
      </c>
      <c r="B32" s="271" t="s">
        <v>393</v>
      </c>
      <c r="C32" s="245" t="s">
        <v>418</v>
      </c>
      <c r="D32" s="275"/>
      <c r="E32" s="61" t="s">
        <v>355</v>
      </c>
      <c r="F32" s="61"/>
      <c r="G32" s="61"/>
      <c r="H32" s="61"/>
      <c r="I32" s="61" t="s">
        <v>350</v>
      </c>
      <c r="J32" s="61" t="s">
        <v>371</v>
      </c>
      <c r="K32" s="137"/>
      <c r="L32" s="137"/>
      <c r="M32" s="137"/>
      <c r="N32" s="137"/>
      <c r="O32" s="137"/>
      <c r="P32" s="137"/>
      <c r="Q32" s="137"/>
      <c r="R32" s="137"/>
      <c r="S32" s="137"/>
      <c r="T32" s="137"/>
      <c r="U32" s="137"/>
      <c r="V32" s="137"/>
      <c r="W32" s="137"/>
      <c r="X32" s="137"/>
      <c r="Y32" s="137"/>
      <c r="Z32" s="137"/>
      <c r="AA32" s="137"/>
      <c r="AB32" s="137"/>
      <c r="AC32" s="137"/>
      <c r="AD32" s="137"/>
      <c r="AE32" s="137"/>
      <c r="AF32" s="137"/>
      <c r="AG32" s="137"/>
      <c r="AH32" s="137"/>
      <c r="AI32" s="137"/>
      <c r="AJ32" s="137"/>
      <c r="AK32" s="137"/>
      <c r="AL32" s="137"/>
    </row>
    <row r="33" spans="1:38" ht="15.75" customHeight="1">
      <c r="A33" s="270" t="s">
        <v>346</v>
      </c>
      <c r="B33" s="271" t="s">
        <v>393</v>
      </c>
      <c r="C33" s="245" t="s">
        <v>419</v>
      </c>
      <c r="D33" s="272" t="s">
        <v>420</v>
      </c>
      <c r="E33" s="61" t="s">
        <v>355</v>
      </c>
      <c r="F33" s="61"/>
      <c r="G33" s="61"/>
      <c r="H33" s="61"/>
      <c r="I33" s="61" t="s">
        <v>350</v>
      </c>
      <c r="J33" s="61" t="s">
        <v>371</v>
      </c>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row>
    <row r="34" spans="1:38" ht="15.75" customHeight="1">
      <c r="A34" s="270" t="s">
        <v>346</v>
      </c>
      <c r="B34" s="271" t="s">
        <v>393</v>
      </c>
      <c r="C34" s="245" t="s">
        <v>421</v>
      </c>
      <c r="D34" s="272" t="s">
        <v>422</v>
      </c>
      <c r="E34" s="61" t="s">
        <v>355</v>
      </c>
      <c r="F34" s="61"/>
      <c r="G34" s="61"/>
      <c r="H34" s="61"/>
      <c r="I34" s="61" t="s">
        <v>350</v>
      </c>
      <c r="J34" s="61" t="s">
        <v>371</v>
      </c>
      <c r="K34" s="137"/>
      <c r="L34" s="137"/>
      <c r="M34" s="137"/>
      <c r="N34" s="137"/>
      <c r="O34" s="137"/>
      <c r="P34" s="137"/>
      <c r="Q34" s="137"/>
      <c r="R34" s="137"/>
      <c r="S34" s="137"/>
      <c r="T34" s="137"/>
      <c r="U34" s="137"/>
      <c r="V34" s="137"/>
      <c r="W34" s="137"/>
      <c r="X34" s="137"/>
      <c r="Y34" s="137"/>
      <c r="Z34" s="137"/>
      <c r="AA34" s="137"/>
      <c r="AB34" s="137"/>
      <c r="AC34" s="137"/>
      <c r="AD34" s="137"/>
      <c r="AE34" s="137"/>
      <c r="AF34" s="137"/>
      <c r="AG34" s="137"/>
      <c r="AH34" s="137"/>
      <c r="AI34" s="137"/>
      <c r="AJ34" s="137"/>
      <c r="AK34" s="137"/>
      <c r="AL34" s="137"/>
    </row>
    <row r="35" spans="1:38" ht="15.75" customHeight="1">
      <c r="A35" s="270" t="s">
        <v>346</v>
      </c>
      <c r="B35" s="271" t="s">
        <v>393</v>
      </c>
      <c r="C35" s="245" t="s">
        <v>423</v>
      </c>
      <c r="D35" s="272" t="s">
        <v>424</v>
      </c>
      <c r="E35" s="61" t="s">
        <v>355</v>
      </c>
      <c r="F35" s="61"/>
      <c r="G35" s="61"/>
      <c r="H35" s="61"/>
      <c r="I35" s="61" t="s">
        <v>350</v>
      </c>
      <c r="J35" s="61" t="s">
        <v>371</v>
      </c>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row>
    <row r="36" spans="1:38" ht="15.75" customHeight="1">
      <c r="A36" s="270" t="s">
        <v>346</v>
      </c>
      <c r="B36" s="271" t="s">
        <v>425</v>
      </c>
      <c r="C36" s="245" t="s">
        <v>426</v>
      </c>
      <c r="D36" s="272" t="s">
        <v>427</v>
      </c>
      <c r="E36" s="61" t="s">
        <v>364</v>
      </c>
      <c r="F36" s="61" t="s">
        <v>371</v>
      </c>
      <c r="G36" s="61"/>
      <c r="H36" s="61" t="s">
        <v>361</v>
      </c>
      <c r="I36" s="61"/>
      <c r="J36" s="61" t="s">
        <v>350</v>
      </c>
      <c r="K36" s="137"/>
      <c r="L36" s="137"/>
      <c r="M36" s="137"/>
      <c r="N36" s="137"/>
      <c r="O36" s="137"/>
      <c r="P36" s="137"/>
      <c r="Q36" s="137"/>
      <c r="R36" s="137"/>
      <c r="S36" s="137"/>
      <c r="T36" s="137"/>
      <c r="U36" s="137"/>
      <c r="V36" s="137"/>
      <c r="W36" s="137"/>
      <c r="X36" s="137"/>
      <c r="Y36" s="137"/>
      <c r="Z36" s="137"/>
      <c r="AA36" s="137"/>
      <c r="AB36" s="137"/>
      <c r="AC36" s="137"/>
      <c r="AD36" s="137"/>
      <c r="AE36" s="137"/>
      <c r="AF36" s="137"/>
      <c r="AG36" s="137"/>
      <c r="AH36" s="137"/>
      <c r="AI36" s="137"/>
      <c r="AJ36" s="137"/>
      <c r="AK36" s="137"/>
      <c r="AL36" s="137"/>
    </row>
    <row r="37" spans="1:38" ht="15.75" customHeight="1">
      <c r="A37" s="270" t="s">
        <v>346</v>
      </c>
      <c r="B37" s="271" t="s">
        <v>425</v>
      </c>
      <c r="C37" s="245" t="s">
        <v>428</v>
      </c>
      <c r="D37" s="272" t="s">
        <v>429</v>
      </c>
      <c r="E37" s="61" t="s">
        <v>364</v>
      </c>
      <c r="F37" s="61" t="s">
        <v>371</v>
      </c>
      <c r="G37" s="61"/>
      <c r="H37" s="61" t="s">
        <v>361</v>
      </c>
      <c r="I37" s="61"/>
      <c r="J37" s="61" t="s">
        <v>350</v>
      </c>
      <c r="K37" s="137"/>
      <c r="L37" s="137"/>
      <c r="M37" s="137"/>
      <c r="N37" s="137"/>
      <c r="O37" s="137"/>
      <c r="P37" s="137"/>
      <c r="Q37" s="137"/>
      <c r="R37" s="137"/>
      <c r="S37" s="137"/>
      <c r="T37" s="137"/>
      <c r="U37" s="137"/>
      <c r="V37" s="137"/>
      <c r="W37" s="137"/>
      <c r="X37" s="137"/>
      <c r="Y37" s="137"/>
      <c r="Z37" s="137"/>
      <c r="AA37" s="137"/>
      <c r="AB37" s="137"/>
      <c r="AC37" s="137"/>
      <c r="AD37" s="137"/>
      <c r="AE37" s="137"/>
      <c r="AF37" s="137"/>
      <c r="AG37" s="137"/>
      <c r="AH37" s="137"/>
      <c r="AI37" s="137"/>
      <c r="AJ37" s="137"/>
      <c r="AK37" s="137"/>
      <c r="AL37" s="137"/>
    </row>
    <row r="38" spans="1:38" ht="15.75" customHeight="1">
      <c r="A38" s="270" t="s">
        <v>346</v>
      </c>
      <c r="B38" s="271" t="s">
        <v>425</v>
      </c>
      <c r="C38" s="245" t="s">
        <v>430</v>
      </c>
      <c r="D38" s="272" t="s">
        <v>431</v>
      </c>
      <c r="E38" s="61" t="s">
        <v>364</v>
      </c>
      <c r="F38" s="61" t="s">
        <v>371</v>
      </c>
      <c r="G38" s="61"/>
      <c r="H38" s="61" t="s">
        <v>361</v>
      </c>
      <c r="I38" s="61"/>
      <c r="J38" s="61" t="s">
        <v>350</v>
      </c>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row>
    <row r="39" spans="1:38" ht="15.75" customHeight="1">
      <c r="A39" s="270" t="s">
        <v>346</v>
      </c>
      <c r="B39" s="271" t="s">
        <v>432</v>
      </c>
      <c r="C39" s="245" t="s">
        <v>433</v>
      </c>
      <c r="D39" s="272" t="s">
        <v>434</v>
      </c>
      <c r="E39" s="61" t="s">
        <v>355</v>
      </c>
      <c r="F39" s="61"/>
      <c r="G39" s="61"/>
      <c r="H39" s="61"/>
      <c r="I39" s="61" t="s">
        <v>371</v>
      </c>
      <c r="J39" s="61" t="s">
        <v>374</v>
      </c>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row>
    <row r="40" spans="1:38" ht="15.75" customHeight="1">
      <c r="A40" s="270" t="s">
        <v>346</v>
      </c>
      <c r="B40" s="271" t="s">
        <v>432</v>
      </c>
      <c r="C40" s="245" t="s">
        <v>435</v>
      </c>
      <c r="D40" s="272" t="s">
        <v>436</v>
      </c>
      <c r="E40" s="61" t="s">
        <v>355</v>
      </c>
      <c r="F40" s="61"/>
      <c r="G40" s="61"/>
      <c r="H40" s="61"/>
      <c r="I40" s="61" t="s">
        <v>371</v>
      </c>
      <c r="J40" s="61" t="s">
        <v>374</v>
      </c>
      <c r="K40" s="137"/>
      <c r="L40" s="137"/>
      <c r="M40" s="137"/>
      <c r="N40" s="137"/>
      <c r="O40" s="137"/>
      <c r="P40" s="137"/>
      <c r="Q40" s="137"/>
      <c r="R40" s="137"/>
      <c r="S40" s="137"/>
      <c r="T40" s="137"/>
      <c r="U40" s="137"/>
      <c r="V40" s="137"/>
      <c r="W40" s="137"/>
      <c r="X40" s="137"/>
      <c r="Y40" s="137"/>
      <c r="Z40" s="137"/>
      <c r="AA40" s="137"/>
      <c r="AB40" s="137"/>
      <c r="AC40" s="137"/>
      <c r="AD40" s="137"/>
      <c r="AE40" s="137"/>
      <c r="AF40" s="137"/>
      <c r="AG40" s="137"/>
      <c r="AH40" s="137"/>
      <c r="AI40" s="137"/>
      <c r="AJ40" s="137"/>
      <c r="AK40" s="137"/>
      <c r="AL40" s="137"/>
    </row>
    <row r="41" spans="1:38" ht="15.75" customHeight="1">
      <c r="A41" s="270" t="s">
        <v>346</v>
      </c>
      <c r="B41" s="271" t="s">
        <v>432</v>
      </c>
      <c r="C41" s="245" t="s">
        <v>437</v>
      </c>
      <c r="D41" s="272" t="s">
        <v>438</v>
      </c>
      <c r="E41" s="61" t="s">
        <v>355</v>
      </c>
      <c r="F41" s="61"/>
      <c r="G41" s="61"/>
      <c r="H41" s="61"/>
      <c r="I41" s="61" t="s">
        <v>371</v>
      </c>
      <c r="J41" s="61" t="s">
        <v>374</v>
      </c>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row>
    <row r="42" spans="1:38" ht="15.75" customHeight="1">
      <c r="A42" s="270" t="s">
        <v>346</v>
      </c>
      <c r="B42" s="271" t="s">
        <v>439</v>
      </c>
      <c r="C42" s="245" t="s">
        <v>440</v>
      </c>
      <c r="D42" s="272" t="s">
        <v>441</v>
      </c>
      <c r="E42" s="61" t="s">
        <v>364</v>
      </c>
      <c r="F42" s="61" t="s">
        <v>371</v>
      </c>
      <c r="G42" s="61"/>
      <c r="H42" s="61"/>
      <c r="I42" s="61" t="s">
        <v>384</v>
      </c>
      <c r="J42" s="61" t="s">
        <v>350</v>
      </c>
      <c r="K42" s="137"/>
      <c r="L42" s="137"/>
      <c r="M42" s="137"/>
      <c r="N42" s="137"/>
      <c r="O42" s="137"/>
      <c r="P42" s="137"/>
      <c r="Q42" s="137"/>
      <c r="R42" s="137"/>
      <c r="S42" s="137"/>
      <c r="T42" s="137"/>
      <c r="U42" s="137"/>
      <c r="V42" s="137"/>
      <c r="W42" s="137"/>
      <c r="X42" s="137"/>
      <c r="Y42" s="137"/>
      <c r="Z42" s="137"/>
      <c r="AA42" s="137"/>
      <c r="AB42" s="137"/>
      <c r="AC42" s="137"/>
      <c r="AD42" s="137"/>
      <c r="AE42" s="137"/>
      <c r="AF42" s="137"/>
      <c r="AG42" s="137"/>
      <c r="AH42" s="137"/>
      <c r="AI42" s="137"/>
      <c r="AJ42" s="137"/>
      <c r="AK42" s="137"/>
      <c r="AL42" s="137"/>
    </row>
    <row r="43" spans="1:38" ht="15.75" customHeight="1">
      <c r="A43" s="270" t="s">
        <v>346</v>
      </c>
      <c r="B43" s="271" t="s">
        <v>439</v>
      </c>
      <c r="C43" s="245" t="s">
        <v>442</v>
      </c>
      <c r="D43" s="272" t="s">
        <v>443</v>
      </c>
      <c r="E43" s="61" t="s">
        <v>364</v>
      </c>
      <c r="F43" s="61" t="s">
        <v>371</v>
      </c>
      <c r="G43" s="61"/>
      <c r="H43" s="61"/>
      <c r="I43" s="61"/>
      <c r="J43" s="61" t="s">
        <v>350</v>
      </c>
      <c r="K43" s="137"/>
      <c r="L43" s="137"/>
      <c r="M43" s="137"/>
      <c r="N43" s="137"/>
      <c r="O43" s="137"/>
      <c r="P43" s="137"/>
      <c r="Q43" s="137"/>
      <c r="R43" s="137"/>
      <c r="S43" s="137"/>
      <c r="T43" s="137"/>
      <c r="U43" s="137"/>
      <c r="V43" s="137"/>
      <c r="W43" s="137"/>
      <c r="X43" s="137"/>
      <c r="Y43" s="137"/>
      <c r="Z43" s="137"/>
      <c r="AA43" s="137"/>
      <c r="AB43" s="137"/>
      <c r="AC43" s="137"/>
      <c r="AD43" s="137"/>
      <c r="AE43" s="137"/>
      <c r="AF43" s="137"/>
      <c r="AG43" s="137"/>
      <c r="AH43" s="137"/>
      <c r="AI43" s="137"/>
      <c r="AJ43" s="137"/>
      <c r="AK43" s="137"/>
      <c r="AL43" s="137"/>
    </row>
    <row r="44" spans="1:38" ht="15.75" customHeight="1">
      <c r="A44" s="270" t="s">
        <v>346</v>
      </c>
      <c r="B44" s="271" t="s">
        <v>439</v>
      </c>
      <c r="C44" s="245" t="s">
        <v>444</v>
      </c>
      <c r="D44" s="272" t="s">
        <v>445</v>
      </c>
      <c r="E44" s="61" t="s">
        <v>364</v>
      </c>
      <c r="F44" s="61" t="s">
        <v>371</v>
      </c>
      <c r="G44" s="61"/>
      <c r="H44" s="61"/>
      <c r="I44" s="61" t="s">
        <v>384</v>
      </c>
      <c r="J44" s="61" t="s">
        <v>350</v>
      </c>
      <c r="K44" s="137"/>
      <c r="L44" s="137"/>
      <c r="M44" s="137"/>
      <c r="N44" s="137"/>
      <c r="O44" s="137"/>
      <c r="P44" s="137"/>
      <c r="Q44" s="137"/>
      <c r="R44" s="137"/>
      <c r="S44" s="137"/>
      <c r="T44" s="137"/>
      <c r="U44" s="137"/>
      <c r="V44" s="137"/>
      <c r="W44" s="137"/>
      <c r="X44" s="137"/>
      <c r="Y44" s="137"/>
      <c r="Z44" s="137"/>
      <c r="AA44" s="137"/>
      <c r="AB44" s="137"/>
      <c r="AC44" s="137"/>
      <c r="AD44" s="137"/>
      <c r="AE44" s="137"/>
      <c r="AF44" s="137"/>
      <c r="AG44" s="137"/>
      <c r="AH44" s="137"/>
      <c r="AI44" s="137"/>
      <c r="AJ44" s="137"/>
      <c r="AK44" s="137"/>
      <c r="AL44" s="137"/>
    </row>
    <row r="45" spans="1:38" ht="15.75" customHeight="1">
      <c r="A45" s="270" t="s">
        <v>346</v>
      </c>
      <c r="B45" s="271" t="s">
        <v>439</v>
      </c>
      <c r="C45" s="245" t="s">
        <v>446</v>
      </c>
      <c r="D45" s="272" t="s">
        <v>447</v>
      </c>
      <c r="E45" s="61" t="s">
        <v>364</v>
      </c>
      <c r="F45" s="61" t="s">
        <v>371</v>
      </c>
      <c r="G45" s="61"/>
      <c r="H45" s="61"/>
      <c r="I45" s="61" t="s">
        <v>384</v>
      </c>
      <c r="J45" s="61" t="s">
        <v>350</v>
      </c>
      <c r="K45" s="137"/>
      <c r="L45" s="137"/>
      <c r="M45" s="137"/>
      <c r="N45" s="137"/>
      <c r="O45" s="137"/>
      <c r="P45" s="137"/>
      <c r="Q45" s="137"/>
      <c r="R45" s="137"/>
      <c r="S45" s="137"/>
      <c r="T45" s="137"/>
      <c r="U45" s="137"/>
      <c r="V45" s="137"/>
      <c r="W45" s="137"/>
      <c r="X45" s="137"/>
      <c r="Y45" s="137"/>
      <c r="Z45" s="137"/>
      <c r="AA45" s="137"/>
      <c r="AB45" s="137"/>
      <c r="AC45" s="137"/>
      <c r="AD45" s="137"/>
      <c r="AE45" s="137"/>
      <c r="AF45" s="137"/>
      <c r="AG45" s="137"/>
      <c r="AH45" s="137"/>
      <c r="AI45" s="137"/>
      <c r="AJ45" s="137"/>
      <c r="AK45" s="137"/>
      <c r="AL45" s="137"/>
    </row>
    <row r="46" spans="1:38" ht="15.75" customHeight="1">
      <c r="A46" s="270" t="s">
        <v>346</v>
      </c>
      <c r="B46" s="271" t="s">
        <v>439</v>
      </c>
      <c r="C46" s="245" t="s">
        <v>448</v>
      </c>
      <c r="D46" s="272" t="s">
        <v>449</v>
      </c>
      <c r="E46" s="61" t="s">
        <v>361</v>
      </c>
      <c r="F46" s="61" t="s">
        <v>364</v>
      </c>
      <c r="G46" s="61"/>
      <c r="H46" s="61" t="s">
        <v>371</v>
      </c>
      <c r="I46" s="61"/>
      <c r="J46" s="61" t="s">
        <v>350</v>
      </c>
      <c r="K46" s="137"/>
      <c r="L46" s="137"/>
      <c r="M46" s="137"/>
      <c r="N46" s="137"/>
      <c r="O46" s="137"/>
      <c r="P46" s="137"/>
      <c r="Q46" s="137"/>
      <c r="R46" s="137"/>
      <c r="S46" s="137"/>
      <c r="T46" s="137"/>
      <c r="U46" s="137"/>
      <c r="V46" s="137"/>
      <c r="W46" s="137"/>
      <c r="X46" s="137"/>
      <c r="Y46" s="137"/>
      <c r="Z46" s="137"/>
      <c r="AA46" s="137"/>
      <c r="AB46" s="137"/>
      <c r="AC46" s="137"/>
      <c r="AD46" s="137"/>
      <c r="AE46" s="137"/>
      <c r="AF46" s="137"/>
      <c r="AG46" s="137"/>
      <c r="AH46" s="137"/>
      <c r="AI46" s="137"/>
      <c r="AJ46" s="137"/>
      <c r="AK46" s="137"/>
      <c r="AL46" s="137"/>
    </row>
    <row r="47" spans="1:38" ht="15.75" customHeight="1">
      <c r="A47" s="270" t="s">
        <v>346</v>
      </c>
      <c r="B47" s="271" t="s">
        <v>439</v>
      </c>
      <c r="C47" s="245" t="s">
        <v>450</v>
      </c>
      <c r="D47" s="275"/>
      <c r="E47" s="61" t="s">
        <v>361</v>
      </c>
      <c r="F47" s="61" t="s">
        <v>364</v>
      </c>
      <c r="G47" s="61"/>
      <c r="H47" s="61" t="s">
        <v>371</v>
      </c>
      <c r="I47" s="61"/>
      <c r="J47" s="61" t="s">
        <v>350</v>
      </c>
      <c r="K47" s="137"/>
      <c r="L47" s="137"/>
      <c r="M47" s="137"/>
      <c r="N47" s="137"/>
      <c r="O47" s="137"/>
      <c r="P47" s="137"/>
      <c r="Q47" s="137"/>
      <c r="R47" s="137"/>
      <c r="S47" s="137"/>
      <c r="T47" s="137"/>
      <c r="U47" s="137"/>
      <c r="V47" s="137"/>
      <c r="W47" s="137"/>
      <c r="X47" s="137"/>
      <c r="Y47" s="137"/>
      <c r="Z47" s="137"/>
      <c r="AA47" s="137"/>
      <c r="AB47" s="137"/>
      <c r="AC47" s="137"/>
      <c r="AD47" s="137"/>
      <c r="AE47" s="137"/>
      <c r="AF47" s="137"/>
      <c r="AG47" s="137"/>
      <c r="AH47" s="137"/>
      <c r="AI47" s="137"/>
      <c r="AJ47" s="137"/>
      <c r="AK47" s="137"/>
      <c r="AL47" s="137"/>
    </row>
    <row r="48" spans="1:38" ht="15.75" customHeight="1">
      <c r="A48" s="270" t="s">
        <v>346</v>
      </c>
      <c r="B48" s="271" t="s">
        <v>439</v>
      </c>
      <c r="C48" s="245" t="s">
        <v>451</v>
      </c>
      <c r="D48" s="275"/>
      <c r="E48" s="61" t="s">
        <v>361</v>
      </c>
      <c r="F48" s="61" t="s">
        <v>364</v>
      </c>
      <c r="G48" s="61"/>
      <c r="H48" s="61" t="s">
        <v>371</v>
      </c>
      <c r="I48" s="61"/>
      <c r="J48" s="61" t="s">
        <v>350</v>
      </c>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row>
    <row r="49" spans="1:38" ht="15.75" customHeight="1">
      <c r="A49" s="270" t="s">
        <v>346</v>
      </c>
      <c r="B49" s="271" t="s">
        <v>439</v>
      </c>
      <c r="C49" s="245" t="s">
        <v>452</v>
      </c>
      <c r="D49" s="272" t="s">
        <v>453</v>
      </c>
      <c r="E49" s="61" t="s">
        <v>364</v>
      </c>
      <c r="F49" s="61" t="s">
        <v>371</v>
      </c>
      <c r="G49" s="61"/>
      <c r="H49" s="61"/>
      <c r="I49" s="61"/>
      <c r="J49" s="61" t="s">
        <v>350</v>
      </c>
      <c r="K49" s="137"/>
      <c r="L49" s="137"/>
      <c r="M49" s="137"/>
      <c r="N49" s="137"/>
      <c r="O49" s="137"/>
      <c r="P49" s="137"/>
      <c r="Q49" s="137"/>
      <c r="R49" s="137"/>
      <c r="S49" s="137"/>
      <c r="T49" s="137"/>
      <c r="U49" s="137"/>
      <c r="V49" s="137"/>
      <c r="W49" s="137"/>
      <c r="X49" s="137"/>
      <c r="Y49" s="137"/>
      <c r="Z49" s="137"/>
      <c r="AA49" s="137"/>
      <c r="AB49" s="137"/>
      <c r="AC49" s="137"/>
      <c r="AD49" s="137"/>
      <c r="AE49" s="137"/>
      <c r="AF49" s="137"/>
      <c r="AG49" s="137"/>
      <c r="AH49" s="137"/>
      <c r="AI49" s="137"/>
      <c r="AJ49" s="137"/>
      <c r="AK49" s="137"/>
      <c r="AL49" s="137"/>
    </row>
    <row r="50" spans="1:38" ht="15.75" customHeight="1">
      <c r="A50" s="270" t="s">
        <v>346</v>
      </c>
      <c r="B50" s="271" t="s">
        <v>439</v>
      </c>
      <c r="C50" s="245" t="s">
        <v>454</v>
      </c>
      <c r="D50" s="272" t="s">
        <v>455</v>
      </c>
      <c r="E50" s="61" t="s">
        <v>364</v>
      </c>
      <c r="F50" s="61" t="s">
        <v>371</v>
      </c>
      <c r="G50" s="61"/>
      <c r="H50" s="61" t="s">
        <v>355</v>
      </c>
      <c r="I50" s="61"/>
      <c r="J50" s="61" t="s">
        <v>350</v>
      </c>
      <c r="K50" s="137"/>
      <c r="L50" s="137"/>
      <c r="M50" s="137"/>
      <c r="N50" s="137"/>
      <c r="O50" s="137"/>
      <c r="P50" s="137"/>
      <c r="Q50" s="137"/>
      <c r="R50" s="137"/>
      <c r="S50" s="137"/>
      <c r="T50" s="137"/>
      <c r="U50" s="137"/>
      <c r="V50" s="137"/>
      <c r="W50" s="137"/>
      <c r="X50" s="137"/>
      <c r="Y50" s="137"/>
      <c r="Z50" s="137"/>
      <c r="AA50" s="137"/>
      <c r="AB50" s="137"/>
      <c r="AC50" s="137"/>
      <c r="AD50" s="137"/>
      <c r="AE50" s="137"/>
      <c r="AF50" s="137"/>
      <c r="AG50" s="137"/>
      <c r="AH50" s="137"/>
      <c r="AI50" s="137"/>
      <c r="AJ50" s="137"/>
      <c r="AK50" s="137"/>
      <c r="AL50" s="137"/>
    </row>
    <row r="51" spans="1:38" ht="15.75" customHeight="1">
      <c r="A51" s="270" t="s">
        <v>346</v>
      </c>
      <c r="B51" s="271" t="s">
        <v>439</v>
      </c>
      <c r="C51" s="245" t="s">
        <v>456</v>
      </c>
      <c r="D51" s="272" t="s">
        <v>457</v>
      </c>
      <c r="E51" s="61" t="s">
        <v>364</v>
      </c>
      <c r="F51" s="61" t="s">
        <v>371</v>
      </c>
      <c r="G51" s="61"/>
      <c r="H51" s="61" t="s">
        <v>355</v>
      </c>
      <c r="I51" s="61" t="s">
        <v>384</v>
      </c>
      <c r="J51" s="61" t="s">
        <v>350</v>
      </c>
      <c r="K51" s="137"/>
      <c r="L51" s="137"/>
      <c r="M51" s="137"/>
      <c r="N51" s="137"/>
      <c r="O51" s="137"/>
      <c r="P51" s="137"/>
      <c r="Q51" s="137"/>
      <c r="R51" s="137"/>
      <c r="S51" s="137"/>
      <c r="T51" s="137"/>
      <c r="U51" s="137"/>
      <c r="V51" s="137"/>
      <c r="W51" s="137"/>
      <c r="X51" s="137"/>
      <c r="Y51" s="137"/>
      <c r="Z51" s="137"/>
      <c r="AA51" s="137"/>
      <c r="AB51" s="137"/>
      <c r="AC51" s="137"/>
      <c r="AD51" s="137"/>
      <c r="AE51" s="137"/>
      <c r="AF51" s="137"/>
      <c r="AG51" s="137"/>
      <c r="AH51" s="137"/>
      <c r="AI51" s="137"/>
      <c r="AJ51" s="137"/>
      <c r="AK51" s="137"/>
      <c r="AL51" s="137"/>
    </row>
    <row r="52" spans="1:38" ht="15.75" customHeight="1">
      <c r="A52" s="270" t="s">
        <v>346</v>
      </c>
      <c r="B52" s="271" t="s">
        <v>439</v>
      </c>
      <c r="C52" s="245" t="s">
        <v>458</v>
      </c>
      <c r="D52" s="272" t="s">
        <v>459</v>
      </c>
      <c r="E52" s="61" t="s">
        <v>364</v>
      </c>
      <c r="F52" s="61" t="s">
        <v>371</v>
      </c>
      <c r="G52" s="61"/>
      <c r="H52" s="61" t="s">
        <v>355</v>
      </c>
      <c r="I52" s="61" t="s">
        <v>384</v>
      </c>
      <c r="J52" s="61" t="s">
        <v>350</v>
      </c>
      <c r="K52" s="137"/>
      <c r="L52" s="137"/>
      <c r="M52" s="137"/>
      <c r="N52" s="137"/>
      <c r="O52" s="137"/>
      <c r="P52" s="137"/>
      <c r="Q52" s="137"/>
      <c r="R52" s="137"/>
      <c r="S52" s="137"/>
      <c r="T52" s="137"/>
      <c r="U52" s="137"/>
      <c r="V52" s="137"/>
      <c r="W52" s="137"/>
      <c r="X52" s="137"/>
      <c r="Y52" s="137"/>
      <c r="Z52" s="137"/>
      <c r="AA52" s="137"/>
      <c r="AB52" s="137"/>
      <c r="AC52" s="137"/>
      <c r="AD52" s="137"/>
      <c r="AE52" s="137"/>
      <c r="AF52" s="137"/>
      <c r="AG52" s="137"/>
      <c r="AH52" s="137"/>
      <c r="AI52" s="137"/>
      <c r="AJ52" s="137"/>
      <c r="AK52" s="137"/>
      <c r="AL52" s="137"/>
    </row>
    <row r="53" spans="1:38" ht="15.75" customHeight="1">
      <c r="A53" s="270" t="s">
        <v>346</v>
      </c>
      <c r="B53" s="271" t="s">
        <v>460</v>
      </c>
      <c r="C53" s="245" t="s">
        <v>461</v>
      </c>
      <c r="D53" s="272" t="s">
        <v>462</v>
      </c>
      <c r="E53" s="61" t="s">
        <v>355</v>
      </c>
      <c r="F53" s="61" t="s">
        <v>371</v>
      </c>
      <c r="G53" s="61"/>
      <c r="H53" s="61" t="s">
        <v>384</v>
      </c>
      <c r="I53" s="61" t="s">
        <v>364</v>
      </c>
      <c r="J53" s="61" t="s">
        <v>350</v>
      </c>
      <c r="K53" s="137"/>
      <c r="L53" s="137"/>
      <c r="M53" s="137"/>
      <c r="N53" s="137"/>
      <c r="O53" s="137"/>
      <c r="P53" s="137"/>
      <c r="Q53" s="137"/>
      <c r="R53" s="137"/>
      <c r="S53" s="137"/>
      <c r="T53" s="137"/>
      <c r="U53" s="137"/>
      <c r="V53" s="137"/>
      <c r="W53" s="137"/>
      <c r="X53" s="137"/>
      <c r="Y53" s="137"/>
      <c r="Z53" s="137"/>
      <c r="AA53" s="137"/>
      <c r="AB53" s="137"/>
      <c r="AC53" s="137"/>
      <c r="AD53" s="137"/>
      <c r="AE53" s="137"/>
      <c r="AF53" s="137"/>
      <c r="AG53" s="137"/>
      <c r="AH53" s="137"/>
      <c r="AI53" s="137"/>
      <c r="AJ53" s="137"/>
      <c r="AK53" s="137"/>
      <c r="AL53" s="137"/>
    </row>
    <row r="54" spans="1:38" ht="15.75" customHeight="1">
      <c r="A54" s="270" t="s">
        <v>346</v>
      </c>
      <c r="B54" s="271" t="s">
        <v>460</v>
      </c>
      <c r="C54" s="245" t="s">
        <v>463</v>
      </c>
      <c r="D54" s="272" t="s">
        <v>464</v>
      </c>
      <c r="E54" s="61" t="s">
        <v>355</v>
      </c>
      <c r="F54" s="61" t="s">
        <v>371</v>
      </c>
      <c r="G54" s="61"/>
      <c r="H54" s="61"/>
      <c r="I54" s="61" t="s">
        <v>364</v>
      </c>
      <c r="J54" s="61" t="s">
        <v>350</v>
      </c>
      <c r="K54" s="137"/>
      <c r="L54" s="137"/>
      <c r="M54" s="137"/>
      <c r="N54" s="137"/>
      <c r="O54" s="137"/>
      <c r="P54" s="137"/>
      <c r="Q54" s="137"/>
      <c r="R54" s="137"/>
      <c r="S54" s="137"/>
      <c r="T54" s="137"/>
      <c r="U54" s="137"/>
      <c r="V54" s="137"/>
      <c r="W54" s="137"/>
      <c r="X54" s="137"/>
      <c r="Y54" s="137"/>
      <c r="Z54" s="137"/>
      <c r="AA54" s="137"/>
      <c r="AB54" s="137"/>
      <c r="AC54" s="137"/>
      <c r="AD54" s="137"/>
      <c r="AE54" s="137"/>
      <c r="AF54" s="137"/>
      <c r="AG54" s="137"/>
      <c r="AH54" s="137"/>
      <c r="AI54" s="137"/>
      <c r="AJ54" s="137"/>
      <c r="AK54" s="137"/>
      <c r="AL54" s="137"/>
    </row>
    <row r="55" spans="1:38" ht="15.75" customHeight="1">
      <c r="A55" s="270" t="s">
        <v>346</v>
      </c>
      <c r="B55" s="271" t="s">
        <v>460</v>
      </c>
      <c r="C55" s="245" t="s">
        <v>465</v>
      </c>
      <c r="D55" s="272" t="s">
        <v>466</v>
      </c>
      <c r="E55" s="61" t="s">
        <v>355</v>
      </c>
      <c r="F55" s="61" t="s">
        <v>371</v>
      </c>
      <c r="G55" s="61"/>
      <c r="H55" s="61"/>
      <c r="I55" s="61" t="s">
        <v>364</v>
      </c>
      <c r="J55" s="61" t="s">
        <v>350</v>
      </c>
      <c r="K55" s="137"/>
      <c r="L55" s="137"/>
      <c r="M55" s="137"/>
      <c r="N55" s="137"/>
      <c r="O55" s="137"/>
      <c r="P55" s="137"/>
      <c r="Q55" s="137"/>
      <c r="R55" s="137"/>
      <c r="S55" s="137"/>
      <c r="T55" s="137"/>
      <c r="U55" s="137"/>
      <c r="V55" s="137"/>
      <c r="W55" s="137"/>
      <c r="X55" s="137"/>
      <c r="Y55" s="137"/>
      <c r="Z55" s="137"/>
      <c r="AA55" s="137"/>
      <c r="AB55" s="137"/>
      <c r="AC55" s="137"/>
      <c r="AD55" s="137"/>
      <c r="AE55" s="137"/>
      <c r="AF55" s="137"/>
      <c r="AG55" s="137"/>
      <c r="AH55" s="137"/>
      <c r="AI55" s="137"/>
      <c r="AJ55" s="137"/>
      <c r="AK55" s="137"/>
      <c r="AL55" s="137"/>
    </row>
    <row r="56" spans="1:38" ht="15.75" customHeight="1">
      <c r="A56" s="270" t="s">
        <v>346</v>
      </c>
      <c r="B56" s="271" t="s">
        <v>460</v>
      </c>
      <c r="C56" s="245" t="s">
        <v>467</v>
      </c>
      <c r="D56" s="272" t="s">
        <v>468</v>
      </c>
      <c r="E56" s="61" t="s">
        <v>355</v>
      </c>
      <c r="F56" s="61" t="s">
        <v>371</v>
      </c>
      <c r="G56" s="61"/>
      <c r="H56" s="61" t="s">
        <v>384</v>
      </c>
      <c r="I56" s="61" t="s">
        <v>364</v>
      </c>
      <c r="J56" s="61" t="s">
        <v>350</v>
      </c>
      <c r="K56" s="137"/>
      <c r="L56" s="137"/>
      <c r="M56" s="137"/>
      <c r="N56" s="137"/>
      <c r="O56" s="137"/>
      <c r="P56" s="137"/>
      <c r="Q56" s="137"/>
      <c r="R56" s="137"/>
      <c r="S56" s="137"/>
      <c r="T56" s="137"/>
      <c r="U56" s="137"/>
      <c r="V56" s="137"/>
      <c r="W56" s="137"/>
      <c r="X56" s="137"/>
      <c r="Y56" s="137"/>
      <c r="Z56" s="137"/>
      <c r="AA56" s="137"/>
      <c r="AB56" s="137"/>
      <c r="AC56" s="137"/>
      <c r="AD56" s="137"/>
      <c r="AE56" s="137"/>
      <c r="AF56" s="137"/>
      <c r="AG56" s="137"/>
      <c r="AH56" s="137"/>
      <c r="AI56" s="137"/>
      <c r="AJ56" s="137"/>
      <c r="AK56" s="137"/>
      <c r="AL56" s="137"/>
    </row>
    <row r="57" spans="1:38" ht="15.75" customHeight="1">
      <c r="A57" s="270" t="s">
        <v>346</v>
      </c>
      <c r="B57" s="271" t="s">
        <v>460</v>
      </c>
      <c r="C57" s="245" t="s">
        <v>469</v>
      </c>
      <c r="D57" s="272" t="s">
        <v>470</v>
      </c>
      <c r="E57" s="61" t="s">
        <v>355</v>
      </c>
      <c r="F57" s="61" t="s">
        <v>371</v>
      </c>
      <c r="G57" s="61"/>
      <c r="H57" s="61" t="s">
        <v>384</v>
      </c>
      <c r="I57" s="61" t="s">
        <v>364</v>
      </c>
      <c r="J57" s="61" t="s">
        <v>350</v>
      </c>
      <c r="K57" s="137"/>
      <c r="L57" s="137"/>
      <c r="M57" s="137"/>
      <c r="N57" s="137"/>
      <c r="O57" s="137"/>
      <c r="P57" s="137"/>
      <c r="Q57" s="137"/>
      <c r="R57" s="137"/>
      <c r="S57" s="137"/>
      <c r="T57" s="137"/>
      <c r="U57" s="137"/>
      <c r="V57" s="137"/>
      <c r="W57" s="137"/>
      <c r="X57" s="137"/>
      <c r="Y57" s="137"/>
      <c r="Z57" s="137"/>
      <c r="AA57" s="137"/>
      <c r="AB57" s="137"/>
      <c r="AC57" s="137"/>
      <c r="AD57" s="137"/>
      <c r="AE57" s="137"/>
      <c r="AF57" s="137"/>
      <c r="AG57" s="137"/>
      <c r="AH57" s="137"/>
      <c r="AI57" s="137"/>
      <c r="AJ57" s="137"/>
      <c r="AK57" s="137"/>
      <c r="AL57" s="137"/>
    </row>
    <row r="58" spans="1:38" ht="15.75" customHeight="1">
      <c r="A58" s="270" t="s">
        <v>346</v>
      </c>
      <c r="B58" s="271" t="s">
        <v>460</v>
      </c>
      <c r="C58" s="245" t="s">
        <v>471</v>
      </c>
      <c r="D58" s="272" t="s">
        <v>472</v>
      </c>
      <c r="E58" s="61" t="s">
        <v>355</v>
      </c>
      <c r="F58" s="61" t="s">
        <v>371</v>
      </c>
      <c r="G58" s="61"/>
      <c r="H58" s="61"/>
      <c r="I58" s="61" t="s">
        <v>364</v>
      </c>
      <c r="J58" s="61" t="s">
        <v>350</v>
      </c>
      <c r="K58" s="137"/>
      <c r="L58" s="137"/>
      <c r="M58" s="137"/>
      <c r="N58" s="137"/>
      <c r="O58" s="137"/>
      <c r="P58" s="137"/>
      <c r="Q58" s="137"/>
      <c r="R58" s="137"/>
      <c r="S58" s="137"/>
      <c r="T58" s="137"/>
      <c r="U58" s="137"/>
      <c r="V58" s="137"/>
      <c r="W58" s="137"/>
      <c r="X58" s="137"/>
      <c r="Y58" s="137"/>
      <c r="Z58" s="137"/>
      <c r="AA58" s="137"/>
      <c r="AB58" s="137"/>
      <c r="AC58" s="137"/>
      <c r="AD58" s="137"/>
      <c r="AE58" s="137"/>
      <c r="AF58" s="137"/>
      <c r="AG58" s="137"/>
      <c r="AH58" s="137"/>
      <c r="AI58" s="137"/>
      <c r="AJ58" s="137"/>
      <c r="AK58" s="137"/>
      <c r="AL58" s="137"/>
    </row>
    <row r="59" spans="1:38" ht="15.75" customHeight="1">
      <c r="A59" s="270" t="s">
        <v>346</v>
      </c>
      <c r="B59" s="271" t="s">
        <v>460</v>
      </c>
      <c r="C59" s="245" t="s">
        <v>473</v>
      </c>
      <c r="D59" s="272" t="s">
        <v>474</v>
      </c>
      <c r="E59" s="61" t="s">
        <v>355</v>
      </c>
      <c r="F59" s="61" t="s">
        <v>371</v>
      </c>
      <c r="G59" s="61"/>
      <c r="H59" s="61"/>
      <c r="I59" s="61" t="s">
        <v>364</v>
      </c>
      <c r="J59" s="61" t="s">
        <v>350</v>
      </c>
      <c r="K59" s="137"/>
      <c r="L59" s="137"/>
      <c r="M59" s="137"/>
      <c r="N59" s="137"/>
      <c r="O59" s="137"/>
      <c r="P59" s="137"/>
      <c r="Q59" s="137"/>
      <c r="R59" s="137"/>
      <c r="S59" s="137"/>
      <c r="T59" s="137"/>
      <c r="U59" s="137"/>
      <c r="V59" s="137"/>
      <c r="W59" s="137"/>
      <c r="X59" s="137"/>
      <c r="Y59" s="137"/>
      <c r="Z59" s="137"/>
      <c r="AA59" s="137"/>
      <c r="AB59" s="137"/>
      <c r="AC59" s="137"/>
      <c r="AD59" s="137"/>
      <c r="AE59" s="137"/>
      <c r="AF59" s="137"/>
      <c r="AG59" s="137"/>
      <c r="AH59" s="137"/>
      <c r="AI59" s="137"/>
      <c r="AJ59" s="137"/>
      <c r="AK59" s="137"/>
      <c r="AL59" s="137"/>
    </row>
    <row r="60" spans="1:38" ht="15.75" customHeight="1">
      <c r="A60" s="270" t="s">
        <v>346</v>
      </c>
      <c r="B60" s="271" t="s">
        <v>460</v>
      </c>
      <c r="C60" s="245" t="s">
        <v>475</v>
      </c>
      <c r="D60" s="272" t="s">
        <v>476</v>
      </c>
      <c r="E60" s="61" t="s">
        <v>355</v>
      </c>
      <c r="F60" s="61" t="s">
        <v>371</v>
      </c>
      <c r="G60" s="61"/>
      <c r="H60" s="61"/>
      <c r="I60" s="61" t="s">
        <v>364</v>
      </c>
      <c r="J60" s="61" t="s">
        <v>350</v>
      </c>
      <c r="K60" s="137"/>
      <c r="L60" s="137"/>
      <c r="M60" s="137"/>
      <c r="N60" s="137"/>
      <c r="O60" s="137"/>
      <c r="P60" s="137"/>
      <c r="Q60" s="137"/>
      <c r="R60" s="137"/>
      <c r="S60" s="137"/>
      <c r="T60" s="137"/>
      <c r="U60" s="137"/>
      <c r="V60" s="137"/>
      <c r="W60" s="137"/>
      <c r="X60" s="137"/>
      <c r="Y60" s="137"/>
      <c r="Z60" s="137"/>
      <c r="AA60" s="137"/>
      <c r="AB60" s="137"/>
      <c r="AC60" s="137"/>
      <c r="AD60" s="137"/>
      <c r="AE60" s="137"/>
      <c r="AF60" s="137"/>
      <c r="AG60" s="137"/>
      <c r="AH60" s="137"/>
      <c r="AI60" s="137"/>
      <c r="AJ60" s="137"/>
      <c r="AK60" s="137"/>
      <c r="AL60" s="137"/>
    </row>
    <row r="61" spans="1:38" ht="15.75" customHeight="1">
      <c r="A61" s="270" t="s">
        <v>346</v>
      </c>
      <c r="B61" s="271" t="s">
        <v>460</v>
      </c>
      <c r="C61" s="245" t="s">
        <v>477</v>
      </c>
      <c r="D61" s="272" t="s">
        <v>478</v>
      </c>
      <c r="E61" s="61" t="s">
        <v>355</v>
      </c>
      <c r="F61" s="61" t="s">
        <v>371</v>
      </c>
      <c r="G61" s="61"/>
      <c r="H61" s="61"/>
      <c r="I61" s="61" t="s">
        <v>364</v>
      </c>
      <c r="J61" s="61" t="s">
        <v>350</v>
      </c>
      <c r="K61" s="137"/>
      <c r="L61" s="137"/>
      <c r="M61" s="137"/>
      <c r="N61" s="137"/>
      <c r="O61" s="137"/>
      <c r="P61" s="137"/>
      <c r="Q61" s="137"/>
      <c r="R61" s="137"/>
      <c r="S61" s="137"/>
      <c r="T61" s="137"/>
      <c r="U61" s="137"/>
      <c r="V61" s="137"/>
      <c r="W61" s="137"/>
      <c r="X61" s="137"/>
      <c r="Y61" s="137"/>
      <c r="Z61" s="137"/>
      <c r="AA61" s="137"/>
      <c r="AB61" s="137"/>
      <c r="AC61" s="137"/>
      <c r="AD61" s="137"/>
      <c r="AE61" s="137"/>
      <c r="AF61" s="137"/>
      <c r="AG61" s="137"/>
      <c r="AH61" s="137"/>
      <c r="AI61" s="137"/>
      <c r="AJ61" s="137"/>
      <c r="AK61" s="137"/>
      <c r="AL61" s="137"/>
    </row>
    <row r="62" spans="1:38" ht="15.75" customHeight="1">
      <c r="A62" s="270" t="s">
        <v>346</v>
      </c>
      <c r="B62" s="271" t="s">
        <v>460</v>
      </c>
      <c r="C62" s="245" t="s">
        <v>479</v>
      </c>
      <c r="D62" s="272" t="s">
        <v>480</v>
      </c>
      <c r="E62" s="61" t="s">
        <v>355</v>
      </c>
      <c r="F62" s="61" t="s">
        <v>371</v>
      </c>
      <c r="G62" s="61"/>
      <c r="H62" s="61" t="s">
        <v>384</v>
      </c>
      <c r="I62" s="61" t="s">
        <v>364</v>
      </c>
      <c r="J62" s="61" t="s">
        <v>350</v>
      </c>
      <c r="K62" s="137"/>
      <c r="L62" s="137"/>
      <c r="M62" s="137"/>
      <c r="N62" s="137"/>
      <c r="O62" s="137"/>
      <c r="P62" s="137"/>
      <c r="Q62" s="137"/>
      <c r="R62" s="137"/>
      <c r="S62" s="137"/>
      <c r="T62" s="137"/>
      <c r="U62" s="137"/>
      <c r="V62" s="137"/>
      <c r="W62" s="137"/>
      <c r="X62" s="137"/>
      <c r="Y62" s="137"/>
      <c r="Z62" s="137"/>
      <c r="AA62" s="137"/>
      <c r="AB62" s="137"/>
      <c r="AC62" s="137"/>
      <c r="AD62" s="137"/>
      <c r="AE62" s="137"/>
      <c r="AF62" s="137"/>
      <c r="AG62" s="137"/>
      <c r="AH62" s="137"/>
      <c r="AI62" s="137"/>
      <c r="AJ62" s="137"/>
      <c r="AK62" s="137"/>
      <c r="AL62" s="137"/>
    </row>
    <row r="63" spans="1:38" ht="15.75" customHeight="1">
      <c r="A63" s="270" t="s">
        <v>346</v>
      </c>
      <c r="B63" s="271" t="s">
        <v>460</v>
      </c>
      <c r="C63" s="245" t="s">
        <v>481</v>
      </c>
      <c r="D63" s="272" t="s">
        <v>482</v>
      </c>
      <c r="E63" s="61" t="s">
        <v>355</v>
      </c>
      <c r="F63" s="61" t="s">
        <v>371</v>
      </c>
      <c r="G63" s="61"/>
      <c r="H63" s="61" t="s">
        <v>384</v>
      </c>
      <c r="I63" s="61" t="s">
        <v>364</v>
      </c>
      <c r="J63" s="61" t="s">
        <v>350</v>
      </c>
      <c r="K63" s="137"/>
      <c r="L63" s="137"/>
      <c r="M63" s="137"/>
      <c r="N63" s="137"/>
      <c r="O63" s="137"/>
      <c r="P63" s="137"/>
      <c r="Q63" s="137"/>
      <c r="R63" s="137"/>
      <c r="S63" s="137"/>
      <c r="T63" s="137"/>
      <c r="U63" s="137"/>
      <c r="V63" s="137"/>
      <c r="W63" s="137"/>
      <c r="X63" s="137"/>
      <c r="Y63" s="137"/>
      <c r="Z63" s="137"/>
      <c r="AA63" s="137"/>
      <c r="AB63" s="137"/>
      <c r="AC63" s="137"/>
      <c r="AD63" s="137"/>
      <c r="AE63" s="137"/>
      <c r="AF63" s="137"/>
      <c r="AG63" s="137"/>
      <c r="AH63" s="137"/>
      <c r="AI63" s="137"/>
      <c r="AJ63" s="137"/>
      <c r="AK63" s="137"/>
      <c r="AL63" s="137"/>
    </row>
    <row r="64" spans="1:38" ht="15.75" customHeight="1">
      <c r="A64" s="270" t="s">
        <v>346</v>
      </c>
      <c r="B64" s="271" t="s">
        <v>460</v>
      </c>
      <c r="C64" s="245" t="s">
        <v>156</v>
      </c>
      <c r="D64" s="272" t="s">
        <v>483</v>
      </c>
      <c r="E64" s="61" t="s">
        <v>355</v>
      </c>
      <c r="F64" s="61" t="s">
        <v>371</v>
      </c>
      <c r="G64" s="61"/>
      <c r="H64" s="61" t="s">
        <v>384</v>
      </c>
      <c r="I64" s="61" t="s">
        <v>364</v>
      </c>
      <c r="J64" s="61" t="s">
        <v>350</v>
      </c>
      <c r="K64" s="137"/>
      <c r="L64" s="137"/>
      <c r="M64" s="137"/>
      <c r="N64" s="137"/>
      <c r="O64" s="137"/>
      <c r="P64" s="137"/>
      <c r="Q64" s="137"/>
      <c r="R64" s="137"/>
      <c r="S64" s="137"/>
      <c r="T64" s="137"/>
      <c r="U64" s="137"/>
      <c r="V64" s="137"/>
      <c r="W64" s="137"/>
      <c r="X64" s="137"/>
      <c r="Y64" s="137"/>
      <c r="Z64" s="137"/>
      <c r="AA64" s="137"/>
      <c r="AB64" s="137"/>
      <c r="AC64" s="137"/>
      <c r="AD64" s="137"/>
      <c r="AE64" s="137"/>
      <c r="AF64" s="137"/>
      <c r="AG64" s="137"/>
      <c r="AH64" s="137"/>
      <c r="AI64" s="137"/>
      <c r="AJ64" s="137"/>
      <c r="AK64" s="137"/>
      <c r="AL64" s="137"/>
    </row>
    <row r="65" spans="1:38" ht="15.75" customHeight="1">
      <c r="A65" s="270" t="s">
        <v>346</v>
      </c>
      <c r="B65" s="271" t="s">
        <v>460</v>
      </c>
      <c r="C65" s="245" t="s">
        <v>484</v>
      </c>
      <c r="D65" s="272" t="s">
        <v>485</v>
      </c>
      <c r="E65" s="61" t="s">
        <v>355</v>
      </c>
      <c r="F65" s="61" t="s">
        <v>371</v>
      </c>
      <c r="G65" s="61"/>
      <c r="H65" s="61"/>
      <c r="I65" s="61" t="s">
        <v>364</v>
      </c>
      <c r="J65" s="61" t="s">
        <v>350</v>
      </c>
      <c r="K65" s="137"/>
      <c r="L65" s="137"/>
      <c r="M65" s="137"/>
      <c r="N65" s="137"/>
      <c r="O65" s="137"/>
      <c r="P65" s="137"/>
      <c r="Q65" s="137"/>
      <c r="R65" s="137"/>
      <c r="S65" s="137"/>
      <c r="T65" s="137"/>
      <c r="U65" s="137"/>
      <c r="V65" s="137"/>
      <c r="W65" s="137"/>
      <c r="X65" s="137"/>
      <c r="Y65" s="137"/>
      <c r="Z65" s="137"/>
      <c r="AA65" s="137"/>
      <c r="AB65" s="137"/>
      <c r="AC65" s="137"/>
      <c r="AD65" s="137"/>
      <c r="AE65" s="137"/>
      <c r="AF65" s="137"/>
      <c r="AG65" s="137"/>
      <c r="AH65" s="137"/>
      <c r="AI65" s="137"/>
      <c r="AJ65" s="137"/>
      <c r="AK65" s="137"/>
      <c r="AL65" s="137"/>
    </row>
    <row r="66" spans="1:38" ht="15.75" customHeight="1">
      <c r="A66" s="270" t="s">
        <v>346</v>
      </c>
      <c r="B66" s="271" t="s">
        <v>460</v>
      </c>
      <c r="C66" s="245" t="s">
        <v>486</v>
      </c>
      <c r="D66" s="272" t="s">
        <v>487</v>
      </c>
      <c r="E66" s="61" t="s">
        <v>355</v>
      </c>
      <c r="F66" s="61" t="s">
        <v>371</v>
      </c>
      <c r="G66" s="61"/>
      <c r="H66" s="61"/>
      <c r="I66" s="61" t="s">
        <v>364</v>
      </c>
      <c r="J66" s="61" t="s">
        <v>350</v>
      </c>
      <c r="K66" s="137"/>
      <c r="L66" s="137"/>
      <c r="M66" s="137"/>
      <c r="N66" s="137"/>
      <c r="O66" s="137"/>
      <c r="P66" s="137"/>
      <c r="Q66" s="137"/>
      <c r="R66" s="137"/>
      <c r="S66" s="137"/>
      <c r="T66" s="137"/>
      <c r="U66" s="137"/>
      <c r="V66" s="137"/>
      <c r="W66" s="137"/>
      <c r="X66" s="137"/>
      <c r="Y66" s="137"/>
      <c r="Z66" s="137"/>
      <c r="AA66" s="137"/>
      <c r="AB66" s="137"/>
      <c r="AC66" s="137"/>
      <c r="AD66" s="137"/>
      <c r="AE66" s="137"/>
      <c r="AF66" s="137"/>
      <c r="AG66" s="137"/>
      <c r="AH66" s="137"/>
      <c r="AI66" s="137"/>
      <c r="AJ66" s="137"/>
      <c r="AK66" s="137"/>
      <c r="AL66" s="137"/>
    </row>
    <row r="67" spans="1:38" ht="15.75" customHeight="1">
      <c r="A67" s="270" t="s">
        <v>346</v>
      </c>
      <c r="B67" s="271" t="s">
        <v>460</v>
      </c>
      <c r="C67" s="245" t="s">
        <v>488</v>
      </c>
      <c r="D67" s="272" t="s">
        <v>489</v>
      </c>
      <c r="E67" s="61" t="s">
        <v>355</v>
      </c>
      <c r="F67" s="61" t="s">
        <v>371</v>
      </c>
      <c r="G67" s="61"/>
      <c r="H67" s="61" t="s">
        <v>384</v>
      </c>
      <c r="I67" s="61" t="s">
        <v>364</v>
      </c>
      <c r="J67" s="61" t="s">
        <v>350</v>
      </c>
      <c r="K67" s="137"/>
      <c r="L67" s="137"/>
      <c r="M67" s="137"/>
      <c r="N67" s="137"/>
      <c r="O67" s="137"/>
      <c r="P67" s="137"/>
      <c r="Q67" s="137"/>
      <c r="R67" s="137"/>
      <c r="S67" s="137"/>
      <c r="T67" s="137"/>
      <c r="U67" s="137"/>
      <c r="V67" s="137"/>
      <c r="W67" s="137"/>
      <c r="X67" s="137"/>
      <c r="Y67" s="137"/>
      <c r="Z67" s="137"/>
      <c r="AA67" s="137"/>
      <c r="AB67" s="137"/>
      <c r="AC67" s="137"/>
      <c r="AD67" s="137"/>
      <c r="AE67" s="137"/>
      <c r="AF67" s="137"/>
      <c r="AG67" s="137"/>
      <c r="AH67" s="137"/>
      <c r="AI67" s="137"/>
      <c r="AJ67" s="137"/>
      <c r="AK67" s="137"/>
      <c r="AL67" s="137"/>
    </row>
    <row r="68" spans="1:38" ht="15.75" customHeight="1">
      <c r="A68" s="270" t="s">
        <v>346</v>
      </c>
      <c r="B68" s="271" t="s">
        <v>460</v>
      </c>
      <c r="C68" s="245" t="s">
        <v>490</v>
      </c>
      <c r="D68" s="275"/>
      <c r="E68" s="61" t="s">
        <v>355</v>
      </c>
      <c r="F68" s="61" t="s">
        <v>371</v>
      </c>
      <c r="G68" s="61"/>
      <c r="H68" s="61" t="s">
        <v>384</v>
      </c>
      <c r="I68" s="61" t="s">
        <v>364</v>
      </c>
      <c r="J68" s="61" t="s">
        <v>350</v>
      </c>
      <c r="K68" s="137"/>
      <c r="L68" s="137"/>
      <c r="M68" s="137"/>
      <c r="N68" s="137"/>
      <c r="O68" s="137"/>
      <c r="P68" s="137"/>
      <c r="Q68" s="137"/>
      <c r="R68" s="137"/>
      <c r="S68" s="137"/>
      <c r="T68" s="137"/>
      <c r="U68" s="137"/>
      <c r="V68" s="137"/>
      <c r="W68" s="137"/>
      <c r="X68" s="137"/>
      <c r="Y68" s="137"/>
      <c r="Z68" s="137"/>
      <c r="AA68" s="137"/>
      <c r="AB68" s="137"/>
      <c r="AC68" s="137"/>
      <c r="AD68" s="137"/>
      <c r="AE68" s="137"/>
      <c r="AF68" s="137"/>
      <c r="AG68" s="137"/>
      <c r="AH68" s="137"/>
      <c r="AI68" s="137"/>
      <c r="AJ68" s="137"/>
      <c r="AK68" s="137"/>
      <c r="AL68" s="137"/>
    </row>
    <row r="69" spans="1:38" ht="15.75" customHeight="1">
      <c r="A69" s="270" t="s">
        <v>346</v>
      </c>
      <c r="B69" s="271" t="s">
        <v>460</v>
      </c>
      <c r="C69" s="245" t="s">
        <v>491</v>
      </c>
      <c r="D69" s="272" t="s">
        <v>492</v>
      </c>
      <c r="E69" s="61" t="s">
        <v>355</v>
      </c>
      <c r="F69" s="61" t="s">
        <v>371</v>
      </c>
      <c r="G69" s="61"/>
      <c r="H69" s="61" t="s">
        <v>384</v>
      </c>
      <c r="I69" s="61" t="s">
        <v>364</v>
      </c>
      <c r="J69" s="61" t="s">
        <v>350</v>
      </c>
      <c r="K69" s="137"/>
      <c r="L69" s="137"/>
      <c r="M69" s="137"/>
      <c r="N69" s="137"/>
      <c r="O69" s="137"/>
      <c r="P69" s="137"/>
      <c r="Q69" s="137"/>
      <c r="R69" s="137"/>
      <c r="S69" s="137"/>
      <c r="T69" s="137"/>
      <c r="U69" s="137"/>
      <c r="V69" s="137"/>
      <c r="W69" s="137"/>
      <c r="X69" s="137"/>
      <c r="Y69" s="137"/>
      <c r="Z69" s="137"/>
      <c r="AA69" s="137"/>
      <c r="AB69" s="137"/>
      <c r="AC69" s="137"/>
      <c r="AD69" s="137"/>
      <c r="AE69" s="137"/>
      <c r="AF69" s="137"/>
      <c r="AG69" s="137"/>
      <c r="AH69" s="137"/>
      <c r="AI69" s="137"/>
      <c r="AJ69" s="137"/>
      <c r="AK69" s="137"/>
      <c r="AL69" s="137"/>
    </row>
    <row r="70" spans="1:38" ht="15.75" customHeight="1">
      <c r="A70" s="270" t="s">
        <v>346</v>
      </c>
      <c r="B70" s="271" t="s">
        <v>460</v>
      </c>
      <c r="C70" s="245" t="s">
        <v>493</v>
      </c>
      <c r="D70" s="272" t="s">
        <v>494</v>
      </c>
      <c r="E70" s="61" t="s">
        <v>355</v>
      </c>
      <c r="F70" s="61" t="s">
        <v>371</v>
      </c>
      <c r="G70" s="61"/>
      <c r="H70" s="61" t="s">
        <v>384</v>
      </c>
      <c r="I70" s="61" t="s">
        <v>364</v>
      </c>
      <c r="J70" s="61" t="s">
        <v>350</v>
      </c>
      <c r="K70" s="137"/>
      <c r="L70" s="137"/>
      <c r="M70" s="137"/>
      <c r="N70" s="137"/>
      <c r="O70" s="137"/>
      <c r="P70" s="137"/>
      <c r="Q70" s="137"/>
      <c r="R70" s="137"/>
      <c r="S70" s="137"/>
      <c r="T70" s="137"/>
      <c r="U70" s="137"/>
      <c r="V70" s="137"/>
      <c r="W70" s="137"/>
      <c r="X70" s="137"/>
      <c r="Y70" s="137"/>
      <c r="Z70" s="137"/>
      <c r="AA70" s="137"/>
      <c r="AB70" s="137"/>
      <c r="AC70" s="137"/>
      <c r="AD70" s="137"/>
      <c r="AE70" s="137"/>
      <c r="AF70" s="137"/>
      <c r="AG70" s="137"/>
      <c r="AH70" s="137"/>
      <c r="AI70" s="137"/>
      <c r="AJ70" s="137"/>
      <c r="AK70" s="137"/>
      <c r="AL70" s="137"/>
    </row>
    <row r="71" spans="1:38" ht="15.75" customHeight="1">
      <c r="A71" s="270" t="s">
        <v>346</v>
      </c>
      <c r="B71" s="271" t="s">
        <v>460</v>
      </c>
      <c r="C71" s="245" t="s">
        <v>495</v>
      </c>
      <c r="D71" s="272" t="s">
        <v>496</v>
      </c>
      <c r="E71" s="61" t="s">
        <v>355</v>
      </c>
      <c r="F71" s="61" t="s">
        <v>371</v>
      </c>
      <c r="G71" s="61"/>
      <c r="H71" s="61" t="s">
        <v>384</v>
      </c>
      <c r="I71" s="61" t="s">
        <v>364</v>
      </c>
      <c r="J71" s="61" t="s">
        <v>350</v>
      </c>
      <c r="K71" s="137"/>
      <c r="L71" s="137"/>
      <c r="M71" s="137"/>
      <c r="N71" s="137"/>
      <c r="O71" s="137"/>
      <c r="P71" s="137"/>
      <c r="Q71" s="137"/>
      <c r="R71" s="137"/>
      <c r="S71" s="137"/>
      <c r="T71" s="137"/>
      <c r="U71" s="137"/>
      <c r="V71" s="137"/>
      <c r="W71" s="137"/>
      <c r="X71" s="137"/>
      <c r="Y71" s="137"/>
      <c r="Z71" s="137"/>
      <c r="AA71" s="137"/>
      <c r="AB71" s="137"/>
      <c r="AC71" s="137"/>
      <c r="AD71" s="137"/>
      <c r="AE71" s="137"/>
      <c r="AF71" s="137"/>
      <c r="AG71" s="137"/>
      <c r="AH71" s="137"/>
      <c r="AI71" s="137"/>
      <c r="AJ71" s="137"/>
      <c r="AK71" s="137"/>
      <c r="AL71" s="137"/>
    </row>
    <row r="72" spans="1:38" ht="15.75" customHeight="1">
      <c r="A72" s="270" t="s">
        <v>346</v>
      </c>
      <c r="B72" s="271" t="s">
        <v>460</v>
      </c>
      <c r="C72" s="245" t="s">
        <v>497</v>
      </c>
      <c r="D72" s="272" t="s">
        <v>498</v>
      </c>
      <c r="E72" s="61" t="s">
        <v>355</v>
      </c>
      <c r="F72" s="61" t="s">
        <v>371</v>
      </c>
      <c r="G72" s="61"/>
      <c r="H72" s="61" t="s">
        <v>384</v>
      </c>
      <c r="I72" s="61" t="s">
        <v>364</v>
      </c>
      <c r="J72" s="61" t="s">
        <v>350</v>
      </c>
      <c r="K72" s="137"/>
      <c r="L72" s="137"/>
      <c r="M72" s="137"/>
      <c r="N72" s="137"/>
      <c r="O72" s="137"/>
      <c r="P72" s="137"/>
      <c r="Q72" s="137"/>
      <c r="R72" s="137"/>
      <c r="S72" s="137"/>
      <c r="T72" s="137"/>
      <c r="U72" s="137"/>
      <c r="V72" s="137"/>
      <c r="W72" s="137"/>
      <c r="X72" s="137"/>
      <c r="Y72" s="137"/>
      <c r="Z72" s="137"/>
      <c r="AA72" s="137"/>
      <c r="AB72" s="137"/>
      <c r="AC72" s="137"/>
      <c r="AD72" s="137"/>
      <c r="AE72" s="137"/>
      <c r="AF72" s="137"/>
      <c r="AG72" s="137"/>
      <c r="AH72" s="137"/>
      <c r="AI72" s="137"/>
      <c r="AJ72" s="137"/>
      <c r="AK72" s="137"/>
      <c r="AL72" s="137"/>
    </row>
    <row r="73" spans="1:38" ht="15.75" customHeight="1">
      <c r="A73" s="270" t="s">
        <v>346</v>
      </c>
      <c r="B73" s="271" t="s">
        <v>371</v>
      </c>
      <c r="C73" s="245" t="s">
        <v>499</v>
      </c>
      <c r="D73" s="275"/>
      <c r="E73" s="61" t="s">
        <v>371</v>
      </c>
      <c r="F73" s="61"/>
      <c r="G73" s="61"/>
      <c r="H73" s="61"/>
      <c r="I73" s="61"/>
      <c r="J73" s="61"/>
      <c r="K73" s="137"/>
      <c r="L73" s="137"/>
      <c r="M73" s="137"/>
      <c r="N73" s="137"/>
      <c r="O73" s="137"/>
      <c r="P73" s="137"/>
      <c r="Q73" s="137"/>
      <c r="R73" s="137"/>
      <c r="S73" s="137"/>
      <c r="T73" s="137"/>
      <c r="U73" s="137"/>
      <c r="V73" s="137"/>
      <c r="W73" s="137"/>
      <c r="X73" s="137"/>
      <c r="Y73" s="137"/>
      <c r="Z73" s="137"/>
      <c r="AA73" s="137"/>
      <c r="AB73" s="137"/>
      <c r="AC73" s="137"/>
      <c r="AD73" s="137"/>
      <c r="AE73" s="137"/>
      <c r="AF73" s="137"/>
      <c r="AG73" s="137"/>
      <c r="AH73" s="137"/>
      <c r="AI73" s="137"/>
      <c r="AJ73" s="137"/>
      <c r="AK73" s="137"/>
      <c r="AL73" s="137"/>
    </row>
    <row r="74" spans="1:38" ht="15.75" customHeight="1">
      <c r="A74" s="270" t="s">
        <v>346</v>
      </c>
      <c r="B74" s="271" t="s">
        <v>371</v>
      </c>
      <c r="C74" s="245" t="s">
        <v>500</v>
      </c>
      <c r="D74" s="275"/>
      <c r="E74" s="61" t="s">
        <v>371</v>
      </c>
      <c r="F74" s="61"/>
      <c r="G74" s="61"/>
      <c r="H74" s="61"/>
      <c r="I74" s="61"/>
      <c r="J74" s="61"/>
      <c r="K74" s="137"/>
      <c r="L74" s="137"/>
      <c r="M74" s="137"/>
      <c r="N74" s="137"/>
      <c r="O74" s="137"/>
      <c r="P74" s="137"/>
      <c r="Q74" s="137"/>
      <c r="R74" s="137"/>
      <c r="S74" s="137"/>
      <c r="T74" s="137"/>
      <c r="U74" s="137"/>
      <c r="V74" s="137"/>
      <c r="W74" s="137"/>
      <c r="X74" s="137"/>
      <c r="Y74" s="137"/>
      <c r="Z74" s="137"/>
      <c r="AA74" s="137"/>
      <c r="AB74" s="137"/>
      <c r="AC74" s="137"/>
      <c r="AD74" s="137"/>
      <c r="AE74" s="137"/>
      <c r="AF74" s="137"/>
      <c r="AG74" s="137"/>
      <c r="AH74" s="137"/>
      <c r="AI74" s="137"/>
      <c r="AJ74" s="137"/>
      <c r="AK74" s="137"/>
      <c r="AL74" s="137"/>
    </row>
    <row r="75" spans="1:38" ht="15.75" customHeight="1">
      <c r="A75" s="270" t="s">
        <v>346</v>
      </c>
      <c r="B75" s="271" t="s">
        <v>371</v>
      </c>
      <c r="C75" s="245" t="s">
        <v>501</v>
      </c>
      <c r="D75" s="275"/>
      <c r="E75" s="61" t="s">
        <v>371</v>
      </c>
      <c r="F75" s="61"/>
      <c r="G75" s="61"/>
      <c r="H75" s="61"/>
      <c r="I75" s="61"/>
      <c r="J75" s="61"/>
      <c r="K75" s="137"/>
      <c r="L75" s="137"/>
      <c r="M75" s="137"/>
      <c r="N75" s="137"/>
      <c r="O75" s="137"/>
      <c r="P75" s="137"/>
      <c r="Q75" s="137"/>
      <c r="R75" s="137"/>
      <c r="S75" s="137"/>
      <c r="T75" s="137"/>
      <c r="U75" s="137"/>
      <c r="V75" s="137"/>
      <c r="W75" s="137"/>
      <c r="X75" s="137"/>
      <c r="Y75" s="137"/>
      <c r="Z75" s="137"/>
      <c r="AA75" s="137"/>
      <c r="AB75" s="137"/>
      <c r="AC75" s="137"/>
      <c r="AD75" s="137"/>
      <c r="AE75" s="137"/>
      <c r="AF75" s="137"/>
      <c r="AG75" s="137"/>
      <c r="AH75" s="137"/>
      <c r="AI75" s="137"/>
      <c r="AJ75" s="137"/>
      <c r="AK75" s="137"/>
      <c r="AL75" s="137"/>
    </row>
    <row r="76" spans="1:38" ht="15.75" customHeight="1">
      <c r="A76" s="270" t="s">
        <v>346</v>
      </c>
      <c r="B76" s="271" t="s">
        <v>502</v>
      </c>
      <c r="C76" s="245" t="s">
        <v>503</v>
      </c>
      <c r="D76" s="275"/>
      <c r="E76" s="61" t="s">
        <v>371</v>
      </c>
      <c r="F76" s="61" t="s">
        <v>364</v>
      </c>
      <c r="G76" s="61"/>
      <c r="H76" s="61" t="s">
        <v>361</v>
      </c>
      <c r="I76" s="61"/>
      <c r="J76" s="61"/>
      <c r="K76" s="137"/>
      <c r="L76" s="137"/>
      <c r="M76" s="137"/>
      <c r="N76" s="137"/>
      <c r="O76" s="137"/>
      <c r="P76" s="137"/>
      <c r="Q76" s="137"/>
      <c r="R76" s="137"/>
      <c r="S76" s="137"/>
      <c r="T76" s="137"/>
      <c r="U76" s="137"/>
      <c r="V76" s="137"/>
      <c r="W76" s="137"/>
      <c r="X76" s="137"/>
      <c r="Y76" s="137"/>
      <c r="Z76" s="137"/>
      <c r="AA76" s="137"/>
      <c r="AB76" s="137"/>
      <c r="AC76" s="137"/>
      <c r="AD76" s="137"/>
      <c r="AE76" s="137"/>
      <c r="AF76" s="137"/>
      <c r="AG76" s="137"/>
      <c r="AH76" s="137"/>
      <c r="AI76" s="137"/>
      <c r="AJ76" s="137"/>
      <c r="AK76" s="137"/>
      <c r="AL76" s="137"/>
    </row>
    <row r="77" spans="1:38" ht="15.75" customHeight="1">
      <c r="A77" s="270" t="s">
        <v>346</v>
      </c>
      <c r="B77" s="271" t="s">
        <v>502</v>
      </c>
      <c r="C77" s="245" t="s">
        <v>504</v>
      </c>
      <c r="D77" s="272" t="s">
        <v>505</v>
      </c>
      <c r="E77" s="61" t="s">
        <v>364</v>
      </c>
      <c r="F77" s="61"/>
      <c r="G77" s="61" t="s">
        <v>371</v>
      </c>
      <c r="H77" s="61" t="s">
        <v>361</v>
      </c>
      <c r="I77" s="61"/>
      <c r="J77" s="61"/>
      <c r="K77" s="137"/>
      <c r="L77" s="137"/>
      <c r="M77" s="137"/>
      <c r="N77" s="137"/>
      <c r="O77" s="137"/>
      <c r="P77" s="137"/>
      <c r="Q77" s="137"/>
      <c r="R77" s="137"/>
      <c r="S77" s="137"/>
      <c r="T77" s="137"/>
      <c r="U77" s="137"/>
      <c r="V77" s="137"/>
      <c r="W77" s="137"/>
      <c r="X77" s="137"/>
      <c r="Y77" s="137"/>
      <c r="Z77" s="137"/>
      <c r="AA77" s="137"/>
      <c r="AB77" s="137"/>
      <c r="AC77" s="137"/>
      <c r="AD77" s="137"/>
      <c r="AE77" s="137"/>
      <c r="AF77" s="137"/>
      <c r="AG77" s="137"/>
      <c r="AH77" s="137"/>
      <c r="AI77" s="137"/>
      <c r="AJ77" s="137"/>
      <c r="AK77" s="137"/>
      <c r="AL77" s="137"/>
    </row>
    <row r="78" spans="1:38" ht="15.75" customHeight="1">
      <c r="A78" s="270" t="s">
        <v>346</v>
      </c>
      <c r="B78" s="271" t="s">
        <v>502</v>
      </c>
      <c r="C78" s="245" t="s">
        <v>506</v>
      </c>
      <c r="D78" s="275"/>
      <c r="E78" s="61" t="s">
        <v>364</v>
      </c>
      <c r="F78" s="61"/>
      <c r="G78" s="61" t="s">
        <v>371</v>
      </c>
      <c r="H78" s="61" t="s">
        <v>361</v>
      </c>
      <c r="I78" s="61"/>
      <c r="J78" s="61"/>
      <c r="K78" s="137"/>
      <c r="L78" s="137"/>
      <c r="M78" s="137"/>
      <c r="N78" s="137"/>
      <c r="O78" s="137"/>
      <c r="P78" s="137"/>
      <c r="Q78" s="137"/>
      <c r="R78" s="137"/>
      <c r="S78" s="137"/>
      <c r="T78" s="137"/>
      <c r="U78" s="137"/>
      <c r="V78" s="137"/>
      <c r="W78" s="137"/>
      <c r="X78" s="137"/>
      <c r="Y78" s="137"/>
      <c r="Z78" s="137"/>
      <c r="AA78" s="137"/>
      <c r="AB78" s="137"/>
      <c r="AC78" s="137"/>
      <c r="AD78" s="137"/>
      <c r="AE78" s="137"/>
      <c r="AF78" s="137"/>
      <c r="AG78" s="137"/>
      <c r="AH78" s="137"/>
      <c r="AI78" s="137"/>
      <c r="AJ78" s="137"/>
      <c r="AK78" s="137"/>
      <c r="AL78" s="137"/>
    </row>
    <row r="79" spans="1:38" ht="15.75" customHeight="1">
      <c r="A79" s="270" t="s">
        <v>346</v>
      </c>
      <c r="B79" s="271" t="s">
        <v>502</v>
      </c>
      <c r="C79" s="245" t="s">
        <v>507</v>
      </c>
      <c r="D79" s="272" t="s">
        <v>508</v>
      </c>
      <c r="E79" s="61" t="s">
        <v>364</v>
      </c>
      <c r="F79" s="61"/>
      <c r="G79" s="61" t="s">
        <v>371</v>
      </c>
      <c r="H79" s="61" t="s">
        <v>361</v>
      </c>
      <c r="I79" s="61"/>
      <c r="J79" s="61"/>
      <c r="K79" s="137"/>
      <c r="L79" s="137"/>
      <c r="M79" s="137"/>
      <c r="N79" s="137"/>
      <c r="O79" s="137"/>
      <c r="P79" s="137"/>
      <c r="Q79" s="137"/>
      <c r="R79" s="137"/>
      <c r="S79" s="137"/>
      <c r="T79" s="137"/>
      <c r="U79" s="137"/>
      <c r="V79" s="137"/>
      <c r="W79" s="137"/>
      <c r="X79" s="137"/>
      <c r="Y79" s="137"/>
      <c r="Z79" s="137"/>
      <c r="AA79" s="137"/>
      <c r="AB79" s="137"/>
      <c r="AC79" s="137"/>
      <c r="AD79" s="137"/>
      <c r="AE79" s="137"/>
      <c r="AF79" s="137"/>
      <c r="AG79" s="137"/>
      <c r="AH79" s="137"/>
      <c r="AI79" s="137"/>
      <c r="AJ79" s="137"/>
      <c r="AK79" s="137"/>
      <c r="AL79" s="137"/>
    </row>
    <row r="80" spans="1:38" ht="15.75" customHeight="1">
      <c r="A80" s="270" t="s">
        <v>346</v>
      </c>
      <c r="B80" s="271" t="s">
        <v>502</v>
      </c>
      <c r="C80" s="245" t="s">
        <v>509</v>
      </c>
      <c r="D80" s="272" t="s">
        <v>510</v>
      </c>
      <c r="E80" s="61" t="s">
        <v>364</v>
      </c>
      <c r="F80" s="61"/>
      <c r="G80" s="61" t="s">
        <v>371</v>
      </c>
      <c r="H80" s="61" t="s">
        <v>361</v>
      </c>
      <c r="I80" s="61"/>
      <c r="J80" s="61"/>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row>
    <row r="81" spans="1:38" ht="15.75" customHeight="1">
      <c r="A81" s="270" t="s">
        <v>346</v>
      </c>
      <c r="B81" s="271" t="s">
        <v>502</v>
      </c>
      <c r="C81" s="245" t="s">
        <v>511</v>
      </c>
      <c r="D81" s="272" t="s">
        <v>512</v>
      </c>
      <c r="E81" s="61" t="s">
        <v>364</v>
      </c>
      <c r="F81" s="61"/>
      <c r="G81" s="61" t="s">
        <v>371</v>
      </c>
      <c r="H81" s="61" t="s">
        <v>361</v>
      </c>
      <c r="I81" s="61"/>
      <c r="J81" s="61"/>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row>
    <row r="82" spans="1:38" ht="15.75" customHeight="1">
      <c r="A82" s="270" t="s">
        <v>346</v>
      </c>
      <c r="B82" s="271" t="s">
        <v>502</v>
      </c>
      <c r="C82" s="245" t="s">
        <v>513</v>
      </c>
      <c r="D82" s="272" t="s">
        <v>514</v>
      </c>
      <c r="E82" s="61" t="s">
        <v>364</v>
      </c>
      <c r="F82" s="61"/>
      <c r="G82" s="61" t="s">
        <v>371</v>
      </c>
      <c r="H82" s="61" t="s">
        <v>361</v>
      </c>
      <c r="I82" s="61"/>
      <c r="J82" s="61"/>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row>
    <row r="83" spans="1:38" ht="15.75" customHeight="1">
      <c r="A83" s="276" t="s">
        <v>515</v>
      </c>
      <c r="B83" s="277" t="s">
        <v>516</v>
      </c>
      <c r="C83" s="245" t="s">
        <v>517</v>
      </c>
      <c r="D83" s="272" t="s">
        <v>518</v>
      </c>
      <c r="E83" s="61" t="s">
        <v>116</v>
      </c>
      <c r="F83" s="61"/>
      <c r="G83" s="61"/>
      <c r="H83" s="61"/>
      <c r="I83" s="61"/>
      <c r="J83" s="61"/>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row>
    <row r="84" spans="1:38" ht="15.75" customHeight="1">
      <c r="A84" s="276" t="s">
        <v>515</v>
      </c>
      <c r="B84" s="277" t="s">
        <v>516</v>
      </c>
      <c r="C84" s="245" t="s">
        <v>519</v>
      </c>
      <c r="D84" s="272" t="s">
        <v>520</v>
      </c>
      <c r="E84" s="61" t="s">
        <v>116</v>
      </c>
      <c r="F84" s="61"/>
      <c r="G84" s="61"/>
      <c r="H84" s="61"/>
      <c r="I84" s="61"/>
      <c r="J84" s="61"/>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c r="AH84" s="137"/>
      <c r="AI84" s="137"/>
      <c r="AJ84" s="137"/>
      <c r="AK84" s="137"/>
      <c r="AL84" s="137"/>
    </row>
    <row r="85" spans="1:38" ht="15.75" customHeight="1">
      <c r="A85" s="276" t="s">
        <v>515</v>
      </c>
      <c r="B85" s="277" t="s">
        <v>516</v>
      </c>
      <c r="C85" s="245" t="s">
        <v>521</v>
      </c>
      <c r="D85" s="275"/>
      <c r="E85" s="61" t="s">
        <v>116</v>
      </c>
      <c r="F85" s="61"/>
      <c r="G85" s="61"/>
      <c r="H85" s="61"/>
      <c r="I85" s="61"/>
      <c r="J85" s="61"/>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c r="AH85" s="137"/>
      <c r="AI85" s="137"/>
      <c r="AJ85" s="137"/>
      <c r="AK85" s="137"/>
      <c r="AL85" s="137"/>
    </row>
    <row r="86" spans="1:38" ht="15.75" customHeight="1">
      <c r="A86" s="276" t="s">
        <v>515</v>
      </c>
      <c r="B86" s="277" t="s">
        <v>522</v>
      </c>
      <c r="C86" s="245" t="s">
        <v>523</v>
      </c>
      <c r="D86" s="272" t="s">
        <v>524</v>
      </c>
      <c r="E86" s="61" t="s">
        <v>390</v>
      </c>
      <c r="F86" s="61"/>
      <c r="G86" s="61"/>
      <c r="H86" s="61"/>
      <c r="I86" s="61"/>
      <c r="J86" s="61"/>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37"/>
      <c r="AH86" s="137"/>
      <c r="AI86" s="137"/>
      <c r="AJ86" s="137"/>
      <c r="AK86" s="137"/>
      <c r="AL86" s="137"/>
    </row>
    <row r="87" spans="1:38" ht="15.75" customHeight="1">
      <c r="A87" s="276" t="s">
        <v>515</v>
      </c>
      <c r="B87" s="277" t="s">
        <v>522</v>
      </c>
      <c r="C87" s="245" t="s">
        <v>525</v>
      </c>
      <c r="D87" s="275"/>
      <c r="E87" s="61" t="s">
        <v>390</v>
      </c>
      <c r="F87" s="61"/>
      <c r="G87" s="61"/>
      <c r="H87" s="61"/>
      <c r="I87" s="61"/>
      <c r="J87" s="61"/>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c r="AH87" s="137"/>
      <c r="AI87" s="137"/>
      <c r="AJ87" s="137"/>
      <c r="AK87" s="137"/>
      <c r="AL87" s="137"/>
    </row>
    <row r="88" spans="1:38" ht="15.75" customHeight="1">
      <c r="A88" s="276" t="s">
        <v>515</v>
      </c>
      <c r="B88" s="277" t="s">
        <v>522</v>
      </c>
      <c r="C88" s="245" t="s">
        <v>526</v>
      </c>
      <c r="D88" s="275"/>
      <c r="E88" s="61" t="s">
        <v>390</v>
      </c>
      <c r="F88" s="61"/>
      <c r="G88" s="61"/>
      <c r="H88" s="61"/>
      <c r="I88" s="61"/>
      <c r="J88" s="61"/>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row>
    <row r="89" spans="1:38" ht="15.75" customHeight="1">
      <c r="A89" s="276" t="s">
        <v>515</v>
      </c>
      <c r="B89" s="277" t="s">
        <v>527</v>
      </c>
      <c r="C89" s="245" t="s">
        <v>155</v>
      </c>
      <c r="D89" s="278" t="s">
        <v>528</v>
      </c>
      <c r="E89" s="61" t="s">
        <v>377</v>
      </c>
      <c r="F89" s="61" t="s">
        <v>116</v>
      </c>
      <c r="G89" s="61"/>
      <c r="H89" s="61" t="s">
        <v>390</v>
      </c>
      <c r="I89" s="61" t="s">
        <v>379</v>
      </c>
      <c r="J89" s="61" t="s">
        <v>387</v>
      </c>
      <c r="K89" s="137"/>
      <c r="L89" s="137"/>
      <c r="M89" s="137"/>
      <c r="N89" s="137"/>
      <c r="O89" s="137"/>
      <c r="P89" s="137"/>
      <c r="Q89" s="137"/>
      <c r="R89" s="137"/>
      <c r="S89" s="137"/>
      <c r="T89" s="137"/>
      <c r="U89" s="137"/>
      <c r="V89" s="137"/>
      <c r="W89" s="137"/>
      <c r="X89" s="137"/>
      <c r="Y89" s="137"/>
      <c r="Z89" s="137"/>
      <c r="AA89" s="137"/>
      <c r="AB89" s="137"/>
      <c r="AC89" s="137"/>
      <c r="AD89" s="137"/>
      <c r="AE89" s="137"/>
      <c r="AF89" s="137"/>
      <c r="AG89" s="137"/>
      <c r="AH89" s="137"/>
      <c r="AI89" s="137"/>
      <c r="AJ89" s="137"/>
      <c r="AK89" s="137"/>
      <c r="AL89" s="137"/>
    </row>
    <row r="90" spans="1:38" ht="15.75" customHeight="1">
      <c r="A90" s="276" t="s">
        <v>515</v>
      </c>
      <c r="B90" s="277" t="s">
        <v>527</v>
      </c>
      <c r="C90" s="245" t="s">
        <v>147</v>
      </c>
      <c r="D90" s="279" t="s">
        <v>529</v>
      </c>
      <c r="E90" s="61" t="s">
        <v>377</v>
      </c>
      <c r="F90" s="61" t="s">
        <v>116</v>
      </c>
      <c r="G90" s="61"/>
      <c r="H90" s="61" t="s">
        <v>390</v>
      </c>
      <c r="I90" s="61" t="s">
        <v>379</v>
      </c>
      <c r="J90" s="61" t="s">
        <v>387</v>
      </c>
      <c r="K90" s="137"/>
      <c r="L90" s="137"/>
      <c r="M90" s="137"/>
      <c r="N90" s="137"/>
      <c r="O90" s="137"/>
      <c r="P90" s="137"/>
      <c r="Q90" s="137"/>
      <c r="R90" s="137"/>
      <c r="S90" s="137"/>
      <c r="T90" s="137"/>
      <c r="U90" s="137"/>
      <c r="V90" s="137"/>
      <c r="W90" s="137"/>
      <c r="X90" s="137"/>
      <c r="Y90" s="137"/>
      <c r="Z90" s="137"/>
      <c r="AA90" s="137"/>
      <c r="AB90" s="137"/>
      <c r="AC90" s="137"/>
      <c r="AD90" s="137"/>
      <c r="AE90" s="137"/>
      <c r="AF90" s="137"/>
      <c r="AG90" s="137"/>
      <c r="AH90" s="137"/>
      <c r="AI90" s="137"/>
      <c r="AJ90" s="137"/>
      <c r="AK90" s="137"/>
      <c r="AL90" s="137"/>
    </row>
    <row r="91" spans="1:38" ht="15.75" customHeight="1">
      <c r="A91" s="276" t="s">
        <v>515</v>
      </c>
      <c r="B91" s="277" t="s">
        <v>527</v>
      </c>
      <c r="C91" s="245" t="s">
        <v>530</v>
      </c>
      <c r="D91" s="272" t="s">
        <v>531</v>
      </c>
      <c r="E91" s="61" t="s">
        <v>377</v>
      </c>
      <c r="F91" s="61" t="s">
        <v>116</v>
      </c>
      <c r="G91" s="61"/>
      <c r="H91" s="61" t="s">
        <v>390</v>
      </c>
      <c r="I91" s="61" t="s">
        <v>379</v>
      </c>
      <c r="J91" s="61" t="s">
        <v>387</v>
      </c>
      <c r="K91" s="137"/>
      <c r="L91" s="137"/>
      <c r="M91" s="137"/>
      <c r="N91" s="137"/>
      <c r="O91" s="137"/>
      <c r="P91" s="137"/>
      <c r="Q91" s="137"/>
      <c r="R91" s="137"/>
      <c r="S91" s="137"/>
      <c r="T91" s="137"/>
      <c r="U91" s="137"/>
      <c r="V91" s="137"/>
      <c r="W91" s="137"/>
      <c r="X91" s="137"/>
      <c r="Y91" s="137"/>
      <c r="Z91" s="137"/>
      <c r="AA91" s="137"/>
      <c r="AB91" s="137"/>
      <c r="AC91" s="137"/>
      <c r="AD91" s="137"/>
      <c r="AE91" s="137"/>
      <c r="AF91" s="137"/>
      <c r="AG91" s="137"/>
      <c r="AH91" s="137"/>
      <c r="AI91" s="137"/>
      <c r="AJ91" s="137"/>
      <c r="AK91" s="137"/>
      <c r="AL91" s="137"/>
    </row>
    <row r="92" spans="1:38" ht="15.75" customHeight="1">
      <c r="A92" s="276" t="s">
        <v>515</v>
      </c>
      <c r="B92" s="277" t="s">
        <v>527</v>
      </c>
      <c r="C92" s="245" t="s">
        <v>532</v>
      </c>
      <c r="D92" s="272" t="s">
        <v>533</v>
      </c>
      <c r="E92" s="61" t="s">
        <v>377</v>
      </c>
      <c r="F92" s="61" t="s">
        <v>116</v>
      </c>
      <c r="G92" s="61"/>
      <c r="H92" s="61" t="s">
        <v>390</v>
      </c>
      <c r="I92" s="61" t="s">
        <v>387</v>
      </c>
      <c r="J92" s="61" t="s">
        <v>379</v>
      </c>
      <c r="K92" s="137"/>
      <c r="L92" s="137"/>
      <c r="M92" s="137"/>
      <c r="N92" s="137"/>
      <c r="O92" s="137"/>
      <c r="P92" s="137"/>
      <c r="Q92" s="137"/>
      <c r="R92" s="137"/>
      <c r="S92" s="137"/>
      <c r="T92" s="137"/>
      <c r="U92" s="137"/>
      <c r="V92" s="137"/>
      <c r="W92" s="137"/>
      <c r="X92" s="137"/>
      <c r="Y92" s="137"/>
      <c r="Z92" s="137"/>
      <c r="AA92" s="137"/>
      <c r="AB92" s="137"/>
      <c r="AC92" s="137"/>
      <c r="AD92" s="137"/>
      <c r="AE92" s="137"/>
      <c r="AF92" s="137"/>
      <c r="AG92" s="137"/>
      <c r="AH92" s="137"/>
      <c r="AI92" s="137"/>
      <c r="AJ92" s="137"/>
      <c r="AK92" s="137"/>
      <c r="AL92" s="137"/>
    </row>
    <row r="93" spans="1:38" ht="15.75" customHeight="1">
      <c r="A93" s="276" t="s">
        <v>515</v>
      </c>
      <c r="B93" s="277" t="s">
        <v>527</v>
      </c>
      <c r="C93" s="245" t="s">
        <v>534</v>
      </c>
      <c r="D93" s="272" t="s">
        <v>535</v>
      </c>
      <c r="E93" s="61" t="s">
        <v>377</v>
      </c>
      <c r="F93" s="61" t="s">
        <v>116</v>
      </c>
      <c r="G93" s="61"/>
      <c r="H93" s="61" t="s">
        <v>390</v>
      </c>
      <c r="I93" s="61" t="s">
        <v>387</v>
      </c>
      <c r="J93" s="61" t="s">
        <v>379</v>
      </c>
      <c r="K93" s="137"/>
      <c r="L93" s="137"/>
      <c r="M93" s="137"/>
      <c r="N93" s="137"/>
      <c r="O93" s="137"/>
      <c r="P93" s="137"/>
      <c r="Q93" s="137"/>
      <c r="R93" s="137"/>
      <c r="S93" s="137"/>
      <c r="T93" s="137"/>
      <c r="U93" s="137"/>
      <c r="V93" s="137"/>
      <c r="W93" s="137"/>
      <c r="X93" s="137"/>
      <c r="Y93" s="137"/>
      <c r="Z93" s="137"/>
      <c r="AA93" s="137"/>
      <c r="AB93" s="137"/>
      <c r="AC93" s="137"/>
      <c r="AD93" s="137"/>
      <c r="AE93" s="137"/>
      <c r="AF93" s="137"/>
      <c r="AG93" s="137"/>
      <c r="AH93" s="137"/>
      <c r="AI93" s="137"/>
      <c r="AJ93" s="137"/>
      <c r="AK93" s="137"/>
      <c r="AL93" s="137"/>
    </row>
    <row r="94" spans="1:38" ht="15.75" customHeight="1">
      <c r="A94" s="276" t="s">
        <v>515</v>
      </c>
      <c r="B94" s="277" t="s">
        <v>527</v>
      </c>
      <c r="C94" s="245" t="s">
        <v>536</v>
      </c>
      <c r="D94" s="272" t="s">
        <v>537</v>
      </c>
      <c r="E94" s="61" t="s">
        <v>377</v>
      </c>
      <c r="F94" s="61" t="s">
        <v>116</v>
      </c>
      <c r="G94" s="61"/>
      <c r="H94" s="61" t="s">
        <v>390</v>
      </c>
      <c r="I94" s="61" t="s">
        <v>387</v>
      </c>
      <c r="J94" s="61" t="s">
        <v>379</v>
      </c>
      <c r="K94" s="137"/>
      <c r="L94" s="137"/>
      <c r="M94" s="137"/>
      <c r="N94" s="137"/>
      <c r="O94" s="137"/>
      <c r="P94" s="137"/>
      <c r="Q94" s="137"/>
      <c r="R94" s="137"/>
      <c r="S94" s="137"/>
      <c r="T94" s="137"/>
      <c r="U94" s="137"/>
      <c r="V94" s="137"/>
      <c r="W94" s="137"/>
      <c r="X94" s="137"/>
      <c r="Y94" s="137"/>
      <c r="Z94" s="137"/>
      <c r="AA94" s="137"/>
      <c r="AB94" s="137"/>
      <c r="AC94" s="137"/>
      <c r="AD94" s="137"/>
      <c r="AE94" s="137"/>
      <c r="AF94" s="137"/>
      <c r="AG94" s="137"/>
      <c r="AH94" s="137"/>
      <c r="AI94" s="137"/>
      <c r="AJ94" s="137"/>
      <c r="AK94" s="137"/>
      <c r="AL94" s="137"/>
    </row>
    <row r="95" spans="1:38" ht="15.75" customHeight="1">
      <c r="A95" s="276" t="s">
        <v>515</v>
      </c>
      <c r="B95" s="277" t="s">
        <v>527</v>
      </c>
      <c r="C95" s="245" t="s">
        <v>538</v>
      </c>
      <c r="D95" s="272" t="s">
        <v>539</v>
      </c>
      <c r="E95" s="61" t="s">
        <v>377</v>
      </c>
      <c r="F95" s="61" t="s">
        <v>116</v>
      </c>
      <c r="G95" s="61"/>
      <c r="H95" s="61" t="s">
        <v>390</v>
      </c>
      <c r="I95" s="61" t="s">
        <v>387</v>
      </c>
      <c r="J95" s="61" t="s">
        <v>379</v>
      </c>
      <c r="K95" s="137"/>
      <c r="L95" s="137"/>
      <c r="M95" s="137"/>
      <c r="N95" s="137"/>
      <c r="O95" s="137"/>
      <c r="P95" s="137"/>
      <c r="Q95" s="137"/>
      <c r="R95" s="137"/>
      <c r="S95" s="137"/>
      <c r="T95" s="137"/>
      <c r="U95" s="137"/>
      <c r="V95" s="137"/>
      <c r="W95" s="137"/>
      <c r="X95" s="137"/>
      <c r="Y95" s="137"/>
      <c r="Z95" s="137"/>
      <c r="AA95" s="137"/>
      <c r="AB95" s="137"/>
      <c r="AC95" s="137"/>
      <c r="AD95" s="137"/>
      <c r="AE95" s="137"/>
      <c r="AF95" s="137"/>
      <c r="AG95" s="137"/>
      <c r="AH95" s="137"/>
      <c r="AI95" s="137"/>
      <c r="AJ95" s="137"/>
      <c r="AK95" s="137"/>
      <c r="AL95" s="137"/>
    </row>
    <row r="96" spans="1:38" ht="15.75" customHeight="1">
      <c r="A96" s="276" t="s">
        <v>515</v>
      </c>
      <c r="B96" s="277" t="s">
        <v>527</v>
      </c>
      <c r="C96" s="245" t="s">
        <v>540</v>
      </c>
      <c r="D96" s="272" t="s">
        <v>541</v>
      </c>
      <c r="E96" s="61" t="s">
        <v>377</v>
      </c>
      <c r="F96" s="61" t="s">
        <v>116</v>
      </c>
      <c r="G96" s="61"/>
      <c r="H96" s="61" t="s">
        <v>390</v>
      </c>
      <c r="I96" s="61" t="s">
        <v>379</v>
      </c>
      <c r="J96" s="61" t="s">
        <v>387</v>
      </c>
      <c r="K96" s="137"/>
      <c r="L96" s="137"/>
      <c r="M96" s="137"/>
      <c r="N96" s="137"/>
      <c r="O96" s="137"/>
      <c r="P96" s="137"/>
      <c r="Q96" s="137"/>
      <c r="R96" s="137"/>
      <c r="S96" s="137"/>
      <c r="T96" s="137"/>
      <c r="U96" s="137"/>
      <c r="V96" s="137"/>
      <c r="W96" s="137"/>
      <c r="X96" s="137"/>
      <c r="Y96" s="137"/>
      <c r="Z96" s="137"/>
      <c r="AA96" s="137"/>
      <c r="AB96" s="137"/>
      <c r="AC96" s="137"/>
      <c r="AD96" s="137"/>
      <c r="AE96" s="137"/>
      <c r="AF96" s="137"/>
      <c r="AG96" s="137"/>
      <c r="AH96" s="137"/>
      <c r="AI96" s="137"/>
      <c r="AJ96" s="137"/>
      <c r="AK96" s="137"/>
      <c r="AL96" s="137"/>
    </row>
    <row r="97" spans="1:38" ht="15.75" customHeight="1">
      <c r="A97" s="276" t="s">
        <v>515</v>
      </c>
      <c r="B97" s="277" t="s">
        <v>527</v>
      </c>
      <c r="C97" s="245" t="s">
        <v>542</v>
      </c>
      <c r="D97" s="272" t="s">
        <v>543</v>
      </c>
      <c r="E97" s="61" t="s">
        <v>377</v>
      </c>
      <c r="F97" s="61" t="s">
        <v>116</v>
      </c>
      <c r="G97" s="61"/>
      <c r="H97" s="61" t="s">
        <v>390</v>
      </c>
      <c r="I97" s="61" t="s">
        <v>379</v>
      </c>
      <c r="J97" s="61" t="s">
        <v>387</v>
      </c>
      <c r="K97" s="137"/>
      <c r="L97" s="137"/>
      <c r="M97" s="137"/>
      <c r="N97" s="137"/>
      <c r="O97" s="137"/>
      <c r="P97" s="137"/>
      <c r="Q97" s="137"/>
      <c r="R97" s="137"/>
      <c r="S97" s="137"/>
      <c r="T97" s="137"/>
      <c r="U97" s="137"/>
      <c r="V97" s="137"/>
      <c r="W97" s="137"/>
      <c r="X97" s="137"/>
      <c r="Y97" s="137"/>
      <c r="Z97" s="137"/>
      <c r="AA97" s="137"/>
      <c r="AB97" s="137"/>
      <c r="AC97" s="137"/>
      <c r="AD97" s="137"/>
      <c r="AE97" s="137"/>
      <c r="AF97" s="137"/>
      <c r="AG97" s="137"/>
      <c r="AH97" s="137"/>
      <c r="AI97" s="137"/>
      <c r="AJ97" s="137"/>
      <c r="AK97" s="137"/>
      <c r="AL97" s="137"/>
    </row>
    <row r="98" spans="1:38" ht="15.75" customHeight="1">
      <c r="A98" s="276" t="s">
        <v>515</v>
      </c>
      <c r="B98" s="277" t="s">
        <v>387</v>
      </c>
      <c r="C98" s="245" t="s">
        <v>544</v>
      </c>
      <c r="D98" s="275"/>
      <c r="E98" s="61" t="s">
        <v>387</v>
      </c>
      <c r="F98" s="61"/>
      <c r="G98" s="61"/>
      <c r="H98" s="61"/>
      <c r="I98" s="61"/>
      <c r="J98" s="61"/>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row>
    <row r="99" spans="1:38" ht="15.75" customHeight="1">
      <c r="A99" s="276" t="s">
        <v>515</v>
      </c>
      <c r="B99" s="277" t="s">
        <v>387</v>
      </c>
      <c r="C99" s="245" t="s">
        <v>545</v>
      </c>
      <c r="D99" s="272" t="s">
        <v>546</v>
      </c>
      <c r="E99" s="61" t="s">
        <v>387</v>
      </c>
      <c r="F99" s="61"/>
      <c r="G99" s="61"/>
      <c r="H99" s="61"/>
      <c r="I99" s="61"/>
      <c r="J99" s="61"/>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row>
    <row r="100" spans="1:38" ht="15.75" customHeight="1">
      <c r="A100" s="276" t="s">
        <v>515</v>
      </c>
      <c r="B100" s="277" t="s">
        <v>387</v>
      </c>
      <c r="C100" s="245" t="s">
        <v>151</v>
      </c>
      <c r="D100" s="272" t="s">
        <v>547</v>
      </c>
      <c r="E100" s="61" t="s">
        <v>387</v>
      </c>
      <c r="F100" s="61"/>
      <c r="G100" s="61"/>
      <c r="H100" s="61"/>
      <c r="I100" s="61"/>
      <c r="J100" s="61"/>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row>
    <row r="101" spans="1:38" ht="15.75" customHeight="1">
      <c r="A101" s="276" t="s">
        <v>515</v>
      </c>
      <c r="B101" s="277" t="s">
        <v>387</v>
      </c>
      <c r="C101" s="245" t="s">
        <v>548</v>
      </c>
      <c r="D101" s="275"/>
      <c r="E101" s="61" t="s">
        <v>387</v>
      </c>
      <c r="F101" s="61"/>
      <c r="G101" s="61"/>
      <c r="H101" s="61"/>
      <c r="I101" s="61"/>
      <c r="J101" s="61"/>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row>
    <row r="102" spans="1:38" ht="15.75" customHeight="1">
      <c r="A102" s="276" t="s">
        <v>515</v>
      </c>
      <c r="B102" s="277" t="s">
        <v>549</v>
      </c>
      <c r="C102" s="245" t="s">
        <v>550</v>
      </c>
      <c r="D102" s="272" t="s">
        <v>551</v>
      </c>
      <c r="E102" s="61" t="s">
        <v>116</v>
      </c>
      <c r="F102" s="61"/>
      <c r="G102" s="61"/>
      <c r="H102" s="61" t="s">
        <v>379</v>
      </c>
      <c r="I102" s="61"/>
      <c r="J102" s="61" t="s">
        <v>390</v>
      </c>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row>
    <row r="103" spans="1:38" ht="15.75" customHeight="1">
      <c r="A103" s="276" t="s">
        <v>515</v>
      </c>
      <c r="B103" s="277" t="s">
        <v>549</v>
      </c>
      <c r="C103" s="245" t="s">
        <v>552</v>
      </c>
      <c r="D103" s="275"/>
      <c r="E103" s="61" t="s">
        <v>116</v>
      </c>
      <c r="F103" s="61" t="s">
        <v>379</v>
      </c>
      <c r="G103" s="61"/>
      <c r="H103" s="61"/>
      <c r="I103" s="61"/>
      <c r="J103" s="61" t="s">
        <v>390</v>
      </c>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row>
    <row r="104" spans="1:38" ht="15.75" customHeight="1">
      <c r="A104" s="276" t="s">
        <v>515</v>
      </c>
      <c r="B104" s="277" t="s">
        <v>549</v>
      </c>
      <c r="C104" s="245" t="s">
        <v>553</v>
      </c>
      <c r="D104" s="272" t="s">
        <v>554</v>
      </c>
      <c r="E104" s="61" t="s">
        <v>116</v>
      </c>
      <c r="F104" s="61"/>
      <c r="G104" s="61"/>
      <c r="H104" s="61" t="s">
        <v>379</v>
      </c>
      <c r="I104" s="61"/>
      <c r="J104" s="61" t="s">
        <v>390</v>
      </c>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row>
    <row r="105" spans="1:38" ht="15.75" customHeight="1">
      <c r="A105" s="276" t="s">
        <v>515</v>
      </c>
      <c r="B105" s="277" t="s">
        <v>549</v>
      </c>
      <c r="C105" s="245" t="s">
        <v>555</v>
      </c>
      <c r="D105" s="272" t="s">
        <v>554</v>
      </c>
      <c r="E105" s="61" t="s">
        <v>116</v>
      </c>
      <c r="F105" s="61" t="s">
        <v>379</v>
      </c>
      <c r="G105" s="61"/>
      <c r="H105" s="61"/>
      <c r="I105" s="61"/>
      <c r="J105" s="61" t="s">
        <v>390</v>
      </c>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row>
    <row r="106" spans="1:38" ht="15.75" customHeight="1">
      <c r="A106" s="276" t="s">
        <v>515</v>
      </c>
      <c r="B106" s="277" t="s">
        <v>556</v>
      </c>
      <c r="C106" s="245" t="s">
        <v>557</v>
      </c>
      <c r="D106" s="272" t="s">
        <v>558</v>
      </c>
      <c r="E106" s="61" t="s">
        <v>377</v>
      </c>
      <c r="F106" s="61"/>
      <c r="G106" s="61"/>
      <c r="H106" s="61" t="s">
        <v>116</v>
      </c>
      <c r="I106" s="61" t="s">
        <v>390</v>
      </c>
      <c r="J106" s="61" t="s">
        <v>387</v>
      </c>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row>
    <row r="107" spans="1:38" ht="15.75" customHeight="1">
      <c r="A107" s="276" t="s">
        <v>515</v>
      </c>
      <c r="B107" s="277" t="s">
        <v>556</v>
      </c>
      <c r="C107" s="245" t="s">
        <v>559</v>
      </c>
      <c r="D107" s="272" t="s">
        <v>560</v>
      </c>
      <c r="E107" s="61" t="s">
        <v>377</v>
      </c>
      <c r="F107" s="61" t="s">
        <v>116</v>
      </c>
      <c r="G107" s="61"/>
      <c r="H107" s="61" t="s">
        <v>379</v>
      </c>
      <c r="I107" s="61" t="s">
        <v>390</v>
      </c>
      <c r="J107" s="61" t="s">
        <v>387</v>
      </c>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row>
    <row r="108" spans="1:38" ht="15.75" customHeight="1">
      <c r="A108" s="276" t="s">
        <v>515</v>
      </c>
      <c r="B108" s="277" t="s">
        <v>556</v>
      </c>
      <c r="C108" s="245" t="s">
        <v>561</v>
      </c>
      <c r="D108" s="272" t="s">
        <v>562</v>
      </c>
      <c r="E108" s="61" t="s">
        <v>377</v>
      </c>
      <c r="F108" s="61"/>
      <c r="G108" s="61"/>
      <c r="H108" s="61" t="s">
        <v>116</v>
      </c>
      <c r="I108" s="61" t="s">
        <v>390</v>
      </c>
      <c r="J108" s="61" t="s">
        <v>387</v>
      </c>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row>
    <row r="109" spans="1:38" ht="15.75" customHeight="1">
      <c r="A109" s="276" t="s">
        <v>515</v>
      </c>
      <c r="B109" s="277" t="s">
        <v>556</v>
      </c>
      <c r="C109" s="245" t="s">
        <v>563</v>
      </c>
      <c r="D109" s="272" t="s">
        <v>564</v>
      </c>
      <c r="E109" s="61" t="s">
        <v>377</v>
      </c>
      <c r="F109" s="61"/>
      <c r="G109" s="61"/>
      <c r="H109" s="61" t="s">
        <v>116</v>
      </c>
      <c r="I109" s="61" t="s">
        <v>390</v>
      </c>
      <c r="J109" s="61" t="s">
        <v>387</v>
      </c>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row>
    <row r="110" spans="1:38" ht="15.75" customHeight="1">
      <c r="A110" s="276" t="s">
        <v>515</v>
      </c>
      <c r="B110" s="277" t="s">
        <v>556</v>
      </c>
      <c r="C110" s="245" t="s">
        <v>565</v>
      </c>
      <c r="D110" s="272" t="s">
        <v>566</v>
      </c>
      <c r="E110" s="61" t="s">
        <v>377</v>
      </c>
      <c r="F110" s="61"/>
      <c r="G110" s="61" t="s">
        <v>116</v>
      </c>
      <c r="H110" s="61" t="s">
        <v>379</v>
      </c>
      <c r="I110" s="61" t="s">
        <v>390</v>
      </c>
      <c r="J110" s="61" t="s">
        <v>387</v>
      </c>
      <c r="K110" s="137"/>
      <c r="L110" s="137"/>
      <c r="M110" s="137"/>
      <c r="N110" s="137"/>
      <c r="O110" s="137"/>
      <c r="P110" s="137"/>
      <c r="Q110" s="137"/>
      <c r="R110" s="137"/>
      <c r="S110" s="137"/>
      <c r="T110" s="137"/>
      <c r="U110" s="137"/>
      <c r="V110" s="137"/>
      <c r="W110" s="137"/>
      <c r="X110" s="137"/>
      <c r="Y110" s="137"/>
      <c r="Z110" s="137"/>
      <c r="AA110" s="137"/>
      <c r="AB110" s="137"/>
      <c r="AC110" s="137"/>
      <c r="AD110" s="137"/>
      <c r="AE110" s="137"/>
      <c r="AF110" s="137"/>
      <c r="AG110" s="137"/>
      <c r="AH110" s="137"/>
      <c r="AI110" s="137"/>
      <c r="AJ110" s="137"/>
      <c r="AK110" s="137"/>
      <c r="AL110" s="137"/>
    </row>
    <row r="111" spans="1:38" ht="15.75" customHeight="1">
      <c r="A111" s="276" t="s">
        <v>515</v>
      </c>
      <c r="B111" s="277" t="s">
        <v>556</v>
      </c>
      <c r="C111" s="245" t="s">
        <v>567</v>
      </c>
      <c r="D111" s="272" t="s">
        <v>568</v>
      </c>
      <c r="E111" s="61" t="s">
        <v>377</v>
      </c>
      <c r="F111" s="61"/>
      <c r="G111" s="61" t="s">
        <v>116</v>
      </c>
      <c r="H111" s="61" t="s">
        <v>379</v>
      </c>
      <c r="I111" s="61" t="s">
        <v>390</v>
      </c>
      <c r="J111" s="61" t="s">
        <v>387</v>
      </c>
      <c r="K111" s="137"/>
      <c r="L111" s="137"/>
      <c r="M111" s="137"/>
      <c r="N111" s="137"/>
      <c r="O111" s="137"/>
      <c r="P111" s="137"/>
      <c r="Q111" s="137"/>
      <c r="R111" s="137"/>
      <c r="S111" s="137"/>
      <c r="T111" s="137"/>
      <c r="U111" s="137"/>
      <c r="V111" s="137"/>
      <c r="W111" s="137"/>
      <c r="X111" s="137"/>
      <c r="Y111" s="137"/>
      <c r="Z111" s="137"/>
      <c r="AA111" s="137"/>
      <c r="AB111" s="137"/>
      <c r="AC111" s="137"/>
      <c r="AD111" s="137"/>
      <c r="AE111" s="137"/>
      <c r="AF111" s="137"/>
      <c r="AG111" s="137"/>
      <c r="AH111" s="137"/>
      <c r="AI111" s="137"/>
      <c r="AJ111" s="137"/>
      <c r="AK111" s="137"/>
      <c r="AL111" s="137"/>
    </row>
    <row r="112" spans="1:38" ht="15.75" customHeight="1">
      <c r="A112" s="276" t="s">
        <v>515</v>
      </c>
      <c r="B112" s="277" t="s">
        <v>556</v>
      </c>
      <c r="C112" s="245" t="s">
        <v>569</v>
      </c>
      <c r="D112" s="272" t="s">
        <v>570</v>
      </c>
      <c r="E112" s="61" t="s">
        <v>377</v>
      </c>
      <c r="F112" s="61"/>
      <c r="G112" s="61"/>
      <c r="H112" s="61" t="s">
        <v>116</v>
      </c>
      <c r="I112" s="61" t="s">
        <v>390</v>
      </c>
      <c r="J112" s="61" t="s">
        <v>387</v>
      </c>
      <c r="K112" s="137"/>
      <c r="L112" s="137"/>
      <c r="M112" s="137"/>
      <c r="N112" s="137"/>
      <c r="O112" s="137"/>
      <c r="P112" s="137"/>
      <c r="Q112" s="137"/>
      <c r="R112" s="137"/>
      <c r="S112" s="137"/>
      <c r="T112" s="137"/>
      <c r="U112" s="137"/>
      <c r="V112" s="137"/>
      <c r="W112" s="137"/>
      <c r="X112" s="137"/>
      <c r="Y112" s="137"/>
      <c r="Z112" s="137"/>
      <c r="AA112" s="137"/>
      <c r="AB112" s="137"/>
      <c r="AC112" s="137"/>
      <c r="AD112" s="137"/>
      <c r="AE112" s="137"/>
      <c r="AF112" s="137"/>
      <c r="AG112" s="137"/>
      <c r="AH112" s="137"/>
      <c r="AI112" s="137"/>
      <c r="AJ112" s="137"/>
      <c r="AK112" s="137"/>
      <c r="AL112" s="137"/>
    </row>
    <row r="113" spans="1:38" ht="15.75" customHeight="1">
      <c r="A113" s="276" t="s">
        <v>515</v>
      </c>
      <c r="B113" s="277" t="s">
        <v>556</v>
      </c>
      <c r="C113" s="245" t="s">
        <v>571</v>
      </c>
      <c r="D113" s="272" t="s">
        <v>572</v>
      </c>
      <c r="E113" s="61" t="s">
        <v>377</v>
      </c>
      <c r="F113" s="61"/>
      <c r="G113" s="61" t="s">
        <v>116</v>
      </c>
      <c r="H113" s="61" t="s">
        <v>379</v>
      </c>
      <c r="I113" s="61" t="s">
        <v>390</v>
      </c>
      <c r="J113" s="61" t="s">
        <v>387</v>
      </c>
      <c r="K113" s="137"/>
      <c r="L113" s="137"/>
      <c r="M113" s="137"/>
      <c r="N113" s="137"/>
      <c r="O113" s="137"/>
      <c r="P113" s="137"/>
      <c r="Q113" s="137"/>
      <c r="R113" s="137"/>
      <c r="S113" s="137"/>
      <c r="T113" s="137"/>
      <c r="U113" s="137"/>
      <c r="V113" s="137"/>
      <c r="W113" s="137"/>
      <c r="X113" s="137"/>
      <c r="Y113" s="137"/>
      <c r="Z113" s="137"/>
      <c r="AA113" s="137"/>
      <c r="AB113" s="137"/>
      <c r="AC113" s="137"/>
      <c r="AD113" s="137"/>
      <c r="AE113" s="137"/>
      <c r="AF113" s="137"/>
      <c r="AG113" s="137"/>
      <c r="AH113" s="137"/>
      <c r="AI113" s="137"/>
      <c r="AJ113" s="137"/>
      <c r="AK113" s="137"/>
      <c r="AL113" s="137"/>
    </row>
    <row r="114" spans="1:38" ht="15.75" customHeight="1">
      <c r="A114" s="276" t="s">
        <v>515</v>
      </c>
      <c r="B114" s="277" t="s">
        <v>556</v>
      </c>
      <c r="C114" s="245" t="s">
        <v>573</v>
      </c>
      <c r="D114" s="272" t="s">
        <v>574</v>
      </c>
      <c r="E114" s="61" t="s">
        <v>377</v>
      </c>
      <c r="F114" s="61"/>
      <c r="G114" s="61" t="s">
        <v>116</v>
      </c>
      <c r="H114" s="61" t="s">
        <v>379</v>
      </c>
      <c r="I114" s="61" t="s">
        <v>390</v>
      </c>
      <c r="J114" s="61" t="s">
        <v>387</v>
      </c>
      <c r="K114" s="137"/>
      <c r="L114" s="137"/>
      <c r="M114" s="137"/>
      <c r="N114" s="137"/>
      <c r="O114" s="137"/>
      <c r="P114" s="137"/>
      <c r="Q114" s="137"/>
      <c r="R114" s="137"/>
      <c r="S114" s="137"/>
      <c r="T114" s="137"/>
      <c r="U114" s="137"/>
      <c r="V114" s="137"/>
      <c r="W114" s="137"/>
      <c r="X114" s="137"/>
      <c r="Y114" s="137"/>
      <c r="Z114" s="137"/>
      <c r="AA114" s="137"/>
      <c r="AB114" s="137"/>
      <c r="AC114" s="137"/>
      <c r="AD114" s="137"/>
      <c r="AE114" s="137"/>
      <c r="AF114" s="137"/>
      <c r="AG114" s="137"/>
      <c r="AH114" s="137"/>
      <c r="AI114" s="137"/>
      <c r="AJ114" s="137"/>
      <c r="AK114" s="137"/>
      <c r="AL114" s="137"/>
    </row>
    <row r="115" spans="1:38" ht="15.75" customHeight="1">
      <c r="A115" s="276" t="s">
        <v>515</v>
      </c>
      <c r="B115" s="277" t="s">
        <v>556</v>
      </c>
      <c r="C115" s="245" t="s">
        <v>575</v>
      </c>
      <c r="D115" s="272" t="s">
        <v>576</v>
      </c>
      <c r="E115" s="61" t="s">
        <v>377</v>
      </c>
      <c r="F115" s="61"/>
      <c r="G115" s="61"/>
      <c r="H115" s="61"/>
      <c r="I115" s="61" t="s">
        <v>390</v>
      </c>
      <c r="J115" s="61" t="s">
        <v>387</v>
      </c>
      <c r="K115" s="137"/>
      <c r="L115" s="137"/>
      <c r="M115" s="137"/>
      <c r="N115" s="137"/>
      <c r="O115" s="137"/>
      <c r="P115" s="137"/>
      <c r="Q115" s="137"/>
      <c r="R115" s="137"/>
      <c r="S115" s="137"/>
      <c r="T115" s="137"/>
      <c r="U115" s="137"/>
      <c r="V115" s="137"/>
      <c r="W115" s="137"/>
      <c r="X115" s="137"/>
      <c r="Y115" s="137"/>
      <c r="Z115" s="137"/>
      <c r="AA115" s="137"/>
      <c r="AB115" s="137"/>
      <c r="AC115" s="137"/>
      <c r="AD115" s="137"/>
      <c r="AE115" s="137"/>
      <c r="AF115" s="137"/>
      <c r="AG115" s="137"/>
      <c r="AH115" s="137"/>
      <c r="AI115" s="137"/>
      <c r="AJ115" s="137"/>
      <c r="AK115" s="137"/>
      <c r="AL115" s="137"/>
    </row>
    <row r="116" spans="1:38" ht="15.75" customHeight="1">
      <c r="A116" s="276" t="s">
        <v>515</v>
      </c>
      <c r="B116" s="277" t="s">
        <v>556</v>
      </c>
      <c r="C116" s="245" t="s">
        <v>577</v>
      </c>
      <c r="D116" s="280" t="s">
        <v>578</v>
      </c>
      <c r="E116" s="61" t="s">
        <v>377</v>
      </c>
      <c r="F116" s="61"/>
      <c r="G116" s="61"/>
      <c r="H116" s="61"/>
      <c r="I116" s="61" t="s">
        <v>390</v>
      </c>
      <c r="J116" s="61" t="s">
        <v>387</v>
      </c>
      <c r="K116" s="137"/>
      <c r="L116" s="137"/>
      <c r="M116" s="137"/>
      <c r="N116" s="137"/>
      <c r="O116" s="137"/>
      <c r="P116" s="137"/>
      <c r="Q116" s="137"/>
      <c r="R116" s="137"/>
      <c r="S116" s="137"/>
      <c r="T116" s="137"/>
      <c r="U116" s="137"/>
      <c r="V116" s="137"/>
      <c r="W116" s="137"/>
      <c r="X116" s="137"/>
      <c r="Y116" s="137"/>
      <c r="Z116" s="137"/>
      <c r="AA116" s="137"/>
      <c r="AB116" s="137"/>
      <c r="AC116" s="137"/>
      <c r="AD116" s="137"/>
      <c r="AE116" s="137"/>
      <c r="AF116" s="137"/>
      <c r="AG116" s="137"/>
      <c r="AH116" s="137"/>
      <c r="AI116" s="137"/>
      <c r="AJ116" s="137"/>
      <c r="AK116" s="137"/>
      <c r="AL116" s="137"/>
    </row>
    <row r="117" spans="1:38" ht="15.75" customHeight="1">
      <c r="A117" s="276" t="s">
        <v>515</v>
      </c>
      <c r="B117" s="277" t="s">
        <v>556</v>
      </c>
      <c r="C117" s="245" t="s">
        <v>579</v>
      </c>
      <c r="D117" s="275"/>
      <c r="E117" s="61" t="s">
        <v>377</v>
      </c>
      <c r="F117" s="61"/>
      <c r="G117" s="61"/>
      <c r="H117" s="61"/>
      <c r="I117" s="61" t="s">
        <v>390</v>
      </c>
      <c r="J117" s="61" t="s">
        <v>387</v>
      </c>
      <c r="K117" s="137"/>
      <c r="L117" s="137"/>
      <c r="M117" s="137"/>
      <c r="N117" s="137"/>
      <c r="O117" s="137"/>
      <c r="P117" s="137"/>
      <c r="Q117" s="137"/>
      <c r="R117" s="137"/>
      <c r="S117" s="137"/>
      <c r="T117" s="137"/>
      <c r="U117" s="137"/>
      <c r="V117" s="137"/>
      <c r="W117" s="137"/>
      <c r="X117" s="137"/>
      <c r="Y117" s="137"/>
      <c r="Z117" s="137"/>
      <c r="AA117" s="137"/>
      <c r="AB117" s="137"/>
      <c r="AC117" s="137"/>
      <c r="AD117" s="137"/>
      <c r="AE117" s="137"/>
      <c r="AF117" s="137"/>
      <c r="AG117" s="137"/>
      <c r="AH117" s="137"/>
      <c r="AI117" s="137"/>
      <c r="AJ117" s="137"/>
      <c r="AK117" s="137"/>
      <c r="AL117" s="137"/>
    </row>
    <row r="118" spans="1:38" ht="15.75" customHeight="1">
      <c r="A118" s="276" t="s">
        <v>515</v>
      </c>
      <c r="B118" s="277" t="s">
        <v>580</v>
      </c>
      <c r="C118" s="245" t="s">
        <v>581</v>
      </c>
      <c r="D118" s="272" t="s">
        <v>582</v>
      </c>
      <c r="E118" s="61" t="s">
        <v>379</v>
      </c>
      <c r="F118" s="61"/>
      <c r="G118" s="61"/>
      <c r="H118" s="61"/>
      <c r="I118" s="61" t="s">
        <v>387</v>
      </c>
      <c r="J118" s="61"/>
      <c r="K118" s="137"/>
      <c r="L118" s="137"/>
      <c r="M118" s="137"/>
      <c r="N118" s="137"/>
      <c r="O118" s="137"/>
      <c r="P118" s="137"/>
      <c r="Q118" s="137"/>
      <c r="R118" s="137"/>
      <c r="S118" s="137"/>
      <c r="T118" s="137"/>
      <c r="U118" s="137"/>
      <c r="V118" s="137"/>
      <c r="W118" s="137"/>
      <c r="X118" s="137"/>
      <c r="Y118" s="137"/>
      <c r="Z118" s="137"/>
      <c r="AA118" s="137"/>
      <c r="AB118" s="137"/>
      <c r="AC118" s="137"/>
      <c r="AD118" s="137"/>
      <c r="AE118" s="137"/>
      <c r="AF118" s="137"/>
      <c r="AG118" s="137"/>
      <c r="AH118" s="137"/>
      <c r="AI118" s="137"/>
      <c r="AJ118" s="137"/>
      <c r="AK118" s="137"/>
      <c r="AL118" s="137"/>
    </row>
    <row r="119" spans="1:38" ht="15.75" customHeight="1">
      <c r="A119" s="276" t="s">
        <v>515</v>
      </c>
      <c r="B119" s="277" t="s">
        <v>580</v>
      </c>
      <c r="C119" s="245" t="s">
        <v>583</v>
      </c>
      <c r="D119" s="272" t="s">
        <v>584</v>
      </c>
      <c r="E119" s="61" t="s">
        <v>379</v>
      </c>
      <c r="F119" s="61"/>
      <c r="G119" s="61"/>
      <c r="H119" s="61"/>
      <c r="I119" s="61" t="s">
        <v>387</v>
      </c>
      <c r="J119" s="61"/>
      <c r="K119" s="137"/>
      <c r="L119" s="137"/>
      <c r="M119" s="137"/>
      <c r="N119" s="137"/>
      <c r="O119" s="137"/>
      <c r="P119" s="137"/>
      <c r="Q119" s="137"/>
      <c r="R119" s="137"/>
      <c r="S119" s="137"/>
      <c r="T119" s="137"/>
      <c r="U119" s="137"/>
      <c r="V119" s="137"/>
      <c r="W119" s="137"/>
      <c r="X119" s="137"/>
      <c r="Y119" s="137"/>
      <c r="Z119" s="137"/>
      <c r="AA119" s="137"/>
      <c r="AB119" s="137"/>
      <c r="AC119" s="137"/>
      <c r="AD119" s="137"/>
      <c r="AE119" s="137"/>
      <c r="AF119" s="137"/>
      <c r="AG119" s="137"/>
      <c r="AH119" s="137"/>
      <c r="AI119" s="137"/>
      <c r="AJ119" s="137"/>
      <c r="AK119" s="137"/>
      <c r="AL119" s="137"/>
    </row>
    <row r="120" spans="1:38" ht="15.75" customHeight="1">
      <c r="A120" s="276" t="s">
        <v>515</v>
      </c>
      <c r="B120" s="277" t="s">
        <v>580</v>
      </c>
      <c r="C120" s="245" t="s">
        <v>585</v>
      </c>
      <c r="D120" s="272" t="s">
        <v>586</v>
      </c>
      <c r="E120" s="61" t="s">
        <v>379</v>
      </c>
      <c r="F120" s="61"/>
      <c r="G120" s="61"/>
      <c r="H120" s="61"/>
      <c r="I120" s="61" t="s">
        <v>387</v>
      </c>
      <c r="J120" s="61"/>
      <c r="K120" s="137"/>
      <c r="L120" s="137"/>
      <c r="M120" s="137"/>
      <c r="N120" s="137"/>
      <c r="O120" s="137"/>
      <c r="P120" s="137"/>
      <c r="Q120" s="137"/>
      <c r="R120" s="137"/>
      <c r="S120" s="137"/>
      <c r="T120" s="137"/>
      <c r="U120" s="137"/>
      <c r="V120" s="137"/>
      <c r="W120" s="137"/>
      <c r="X120" s="137"/>
      <c r="Y120" s="137"/>
      <c r="Z120" s="137"/>
      <c r="AA120" s="137"/>
      <c r="AB120" s="137"/>
      <c r="AC120" s="137"/>
      <c r="AD120" s="137"/>
      <c r="AE120" s="137"/>
      <c r="AF120" s="137"/>
      <c r="AG120" s="137"/>
      <c r="AH120" s="137"/>
      <c r="AI120" s="137"/>
      <c r="AJ120" s="137"/>
      <c r="AK120" s="137"/>
      <c r="AL120" s="137"/>
    </row>
    <row r="121" spans="1:38" ht="15.75" customHeight="1">
      <c r="A121" s="276" t="s">
        <v>515</v>
      </c>
      <c r="B121" s="277" t="s">
        <v>580</v>
      </c>
      <c r="C121" s="245" t="s">
        <v>587</v>
      </c>
      <c r="D121" s="272" t="s">
        <v>588</v>
      </c>
      <c r="E121" s="61" t="s">
        <v>379</v>
      </c>
      <c r="F121" s="61"/>
      <c r="G121" s="61"/>
      <c r="H121" s="61"/>
      <c r="I121" s="61" t="s">
        <v>387</v>
      </c>
      <c r="J121" s="61"/>
      <c r="K121" s="137"/>
      <c r="L121" s="137"/>
      <c r="M121" s="137"/>
      <c r="N121" s="137"/>
      <c r="O121" s="137"/>
      <c r="P121" s="137"/>
      <c r="Q121" s="137"/>
      <c r="R121" s="137"/>
      <c r="S121" s="137"/>
      <c r="T121" s="137"/>
      <c r="U121" s="137"/>
      <c r="V121" s="137"/>
      <c r="W121" s="137"/>
      <c r="X121" s="137"/>
      <c r="Y121" s="137"/>
      <c r="Z121" s="137"/>
      <c r="AA121" s="137"/>
      <c r="AB121" s="137"/>
      <c r="AC121" s="137"/>
      <c r="AD121" s="137"/>
      <c r="AE121" s="137"/>
      <c r="AF121" s="137"/>
      <c r="AG121" s="137"/>
      <c r="AH121" s="137"/>
      <c r="AI121" s="137"/>
      <c r="AJ121" s="137"/>
      <c r="AK121" s="137"/>
      <c r="AL121" s="137"/>
    </row>
    <row r="122" spans="1:38" ht="15.75" customHeight="1">
      <c r="A122" s="276" t="s">
        <v>515</v>
      </c>
      <c r="B122" s="277" t="s">
        <v>580</v>
      </c>
      <c r="C122" s="245" t="s">
        <v>589</v>
      </c>
      <c r="D122" s="272" t="s">
        <v>590</v>
      </c>
      <c r="E122" s="61" t="s">
        <v>379</v>
      </c>
      <c r="F122" s="61"/>
      <c r="G122" s="61"/>
      <c r="H122" s="61"/>
      <c r="I122" s="61" t="s">
        <v>387</v>
      </c>
      <c r="J122" s="61"/>
      <c r="K122" s="137"/>
      <c r="L122" s="137"/>
      <c r="M122" s="137"/>
      <c r="N122" s="137"/>
      <c r="O122" s="137"/>
      <c r="P122" s="137"/>
      <c r="Q122" s="137"/>
      <c r="R122" s="137"/>
      <c r="S122" s="137"/>
      <c r="T122" s="137"/>
      <c r="U122" s="137"/>
      <c r="V122" s="137"/>
      <c r="W122" s="137"/>
      <c r="X122" s="137"/>
      <c r="Y122" s="137"/>
      <c r="Z122" s="137"/>
      <c r="AA122" s="137"/>
      <c r="AB122" s="137"/>
      <c r="AC122" s="137"/>
      <c r="AD122" s="137"/>
      <c r="AE122" s="137"/>
      <c r="AF122" s="137"/>
      <c r="AG122" s="137"/>
      <c r="AH122" s="137"/>
      <c r="AI122" s="137"/>
      <c r="AJ122" s="137"/>
      <c r="AK122" s="137"/>
      <c r="AL122" s="137"/>
    </row>
    <row r="123" spans="1:38" ht="15.75" customHeight="1">
      <c r="A123" s="276" t="s">
        <v>515</v>
      </c>
      <c r="B123" s="277" t="s">
        <v>580</v>
      </c>
      <c r="C123" s="245" t="s">
        <v>591</v>
      </c>
      <c r="D123" s="272" t="s">
        <v>592</v>
      </c>
      <c r="E123" s="61" t="s">
        <v>379</v>
      </c>
      <c r="F123" s="61"/>
      <c r="G123" s="61"/>
      <c r="H123" s="61"/>
      <c r="I123" s="61" t="s">
        <v>387</v>
      </c>
      <c r="J123" s="61"/>
      <c r="K123" s="137"/>
      <c r="L123" s="137"/>
      <c r="M123" s="137"/>
      <c r="N123" s="137"/>
      <c r="O123" s="137"/>
      <c r="P123" s="137"/>
      <c r="Q123" s="137"/>
      <c r="R123" s="137"/>
      <c r="S123" s="137"/>
      <c r="T123" s="137"/>
      <c r="U123" s="137"/>
      <c r="V123" s="137"/>
      <c r="W123" s="137"/>
      <c r="X123" s="137"/>
      <c r="Y123" s="137"/>
      <c r="Z123" s="137"/>
      <c r="AA123" s="137"/>
      <c r="AB123" s="137"/>
      <c r="AC123" s="137"/>
      <c r="AD123" s="137"/>
      <c r="AE123" s="137"/>
      <c r="AF123" s="137"/>
      <c r="AG123" s="137"/>
      <c r="AH123" s="137"/>
      <c r="AI123" s="137"/>
      <c r="AJ123" s="137"/>
      <c r="AK123" s="137"/>
      <c r="AL123" s="137"/>
    </row>
    <row r="124" spans="1:38" ht="15.75" customHeight="1">
      <c r="A124" s="276" t="s">
        <v>515</v>
      </c>
      <c r="B124" s="277" t="s">
        <v>580</v>
      </c>
      <c r="C124" s="245" t="s">
        <v>593</v>
      </c>
      <c r="D124" s="272" t="s">
        <v>594</v>
      </c>
      <c r="E124" s="61" t="s">
        <v>379</v>
      </c>
      <c r="F124" s="61"/>
      <c r="G124" s="61"/>
      <c r="H124" s="61"/>
      <c r="I124" s="61" t="s">
        <v>387</v>
      </c>
      <c r="J124" s="61"/>
      <c r="K124" s="137"/>
      <c r="L124" s="137"/>
      <c r="M124" s="137"/>
      <c r="N124" s="137"/>
      <c r="O124" s="137"/>
      <c r="P124" s="137"/>
      <c r="Q124" s="137"/>
      <c r="R124" s="137"/>
      <c r="S124" s="137"/>
      <c r="T124" s="137"/>
      <c r="U124" s="137"/>
      <c r="V124" s="137"/>
      <c r="W124" s="137"/>
      <c r="X124" s="137"/>
      <c r="Y124" s="137"/>
      <c r="Z124" s="137"/>
      <c r="AA124" s="137"/>
      <c r="AB124" s="137"/>
      <c r="AC124" s="137"/>
      <c r="AD124" s="137"/>
      <c r="AE124" s="137"/>
      <c r="AF124" s="137"/>
      <c r="AG124" s="137"/>
      <c r="AH124" s="137"/>
      <c r="AI124" s="137"/>
      <c r="AJ124" s="137"/>
      <c r="AK124" s="137"/>
      <c r="AL124" s="137"/>
    </row>
    <row r="125" spans="1:38" ht="15.75" customHeight="1">
      <c r="A125" s="276" t="s">
        <v>515</v>
      </c>
      <c r="B125" s="277" t="s">
        <v>580</v>
      </c>
      <c r="C125" s="245" t="s">
        <v>595</v>
      </c>
      <c r="D125" s="272" t="s">
        <v>596</v>
      </c>
      <c r="E125" s="61" t="s">
        <v>379</v>
      </c>
      <c r="F125" s="61"/>
      <c r="G125" s="61"/>
      <c r="H125" s="61"/>
      <c r="I125" s="61" t="s">
        <v>116</v>
      </c>
      <c r="J125" s="61"/>
      <c r="K125" s="137"/>
      <c r="L125" s="137"/>
      <c r="M125" s="137"/>
      <c r="N125" s="137"/>
      <c r="O125" s="137"/>
      <c r="P125" s="137"/>
      <c r="Q125" s="137"/>
      <c r="R125" s="137"/>
      <c r="S125" s="137"/>
      <c r="T125" s="137"/>
      <c r="U125" s="137"/>
      <c r="V125" s="137"/>
      <c r="W125" s="137"/>
      <c r="X125" s="137"/>
      <c r="Y125" s="137"/>
      <c r="Z125" s="137"/>
      <c r="AA125" s="137"/>
      <c r="AB125" s="137"/>
      <c r="AC125" s="137"/>
      <c r="AD125" s="137"/>
      <c r="AE125" s="137"/>
      <c r="AF125" s="137"/>
      <c r="AG125" s="137"/>
      <c r="AH125" s="137"/>
      <c r="AI125" s="137"/>
      <c r="AJ125" s="137"/>
      <c r="AK125" s="137"/>
      <c r="AL125" s="137"/>
    </row>
    <row r="126" spans="1:38" ht="15.75" customHeight="1">
      <c r="A126" s="276" t="s">
        <v>515</v>
      </c>
      <c r="B126" s="277" t="s">
        <v>597</v>
      </c>
      <c r="C126" s="245" t="s">
        <v>598</v>
      </c>
      <c r="D126" s="272" t="s">
        <v>599</v>
      </c>
      <c r="E126" s="61" t="s">
        <v>377</v>
      </c>
      <c r="F126" s="61"/>
      <c r="G126" s="61"/>
      <c r="H126" s="61"/>
      <c r="I126" s="61"/>
      <c r="J126" s="61"/>
      <c r="K126" s="137"/>
      <c r="L126" s="137"/>
      <c r="M126" s="137"/>
      <c r="N126" s="137"/>
      <c r="O126" s="137"/>
      <c r="P126" s="137"/>
      <c r="Q126" s="137"/>
      <c r="R126" s="137"/>
      <c r="S126" s="137"/>
      <c r="T126" s="137"/>
      <c r="U126" s="137"/>
      <c r="V126" s="137"/>
      <c r="W126" s="137"/>
      <c r="X126" s="137"/>
      <c r="Y126" s="137"/>
      <c r="Z126" s="137"/>
      <c r="AA126" s="137"/>
      <c r="AB126" s="137"/>
      <c r="AC126" s="137"/>
      <c r="AD126" s="137"/>
      <c r="AE126" s="137"/>
      <c r="AF126" s="137"/>
      <c r="AG126" s="137"/>
      <c r="AH126" s="137"/>
      <c r="AI126" s="137"/>
      <c r="AJ126" s="137"/>
      <c r="AK126" s="137"/>
      <c r="AL126" s="137"/>
    </row>
    <row r="127" spans="1:38" ht="15.75" customHeight="1">
      <c r="A127" s="276" t="s">
        <v>515</v>
      </c>
      <c r="B127" s="277" t="s">
        <v>597</v>
      </c>
      <c r="C127" s="245" t="s">
        <v>600</v>
      </c>
      <c r="D127" s="272" t="s">
        <v>601</v>
      </c>
      <c r="E127" s="61" t="s">
        <v>377</v>
      </c>
      <c r="F127" s="61"/>
      <c r="G127" s="61"/>
      <c r="H127" s="61"/>
      <c r="I127" s="61"/>
      <c r="J127" s="61"/>
      <c r="K127" s="137"/>
      <c r="L127" s="137"/>
      <c r="M127" s="137"/>
      <c r="N127" s="137"/>
      <c r="O127" s="137"/>
      <c r="P127" s="137"/>
      <c r="Q127" s="137"/>
      <c r="R127" s="137"/>
      <c r="S127" s="137"/>
      <c r="T127" s="137"/>
      <c r="U127" s="137"/>
      <c r="V127" s="137"/>
      <c r="W127" s="137"/>
      <c r="X127" s="137"/>
      <c r="Y127" s="137"/>
      <c r="Z127" s="137"/>
      <c r="AA127" s="137"/>
      <c r="AB127" s="137"/>
      <c r="AC127" s="137"/>
      <c r="AD127" s="137"/>
      <c r="AE127" s="137"/>
      <c r="AF127" s="137"/>
      <c r="AG127" s="137"/>
      <c r="AH127" s="137"/>
      <c r="AI127" s="137"/>
      <c r="AJ127" s="137"/>
      <c r="AK127" s="137"/>
      <c r="AL127" s="137"/>
    </row>
    <row r="128" spans="1:38" ht="15.75" customHeight="1">
      <c r="A128" s="276" t="s">
        <v>515</v>
      </c>
      <c r="B128" s="277" t="s">
        <v>602</v>
      </c>
      <c r="C128" s="245" t="s">
        <v>603</v>
      </c>
      <c r="D128" s="272" t="s">
        <v>604</v>
      </c>
      <c r="E128" s="61" t="s">
        <v>377</v>
      </c>
      <c r="F128" s="61" t="s">
        <v>116</v>
      </c>
      <c r="G128" s="61"/>
      <c r="H128" s="61" t="s">
        <v>390</v>
      </c>
      <c r="I128" s="61" t="s">
        <v>379</v>
      </c>
      <c r="J128" s="61" t="s">
        <v>387</v>
      </c>
      <c r="K128" s="137"/>
      <c r="L128" s="137"/>
      <c r="M128" s="137"/>
      <c r="N128" s="137"/>
      <c r="O128" s="137"/>
      <c r="P128" s="137"/>
      <c r="Q128" s="137"/>
      <c r="R128" s="137"/>
      <c r="S128" s="137"/>
      <c r="T128" s="137"/>
      <c r="U128" s="137"/>
      <c r="V128" s="137"/>
      <c r="W128" s="137"/>
      <c r="X128" s="137"/>
      <c r="Y128" s="137"/>
      <c r="Z128" s="137"/>
      <c r="AA128" s="137"/>
      <c r="AB128" s="137"/>
      <c r="AC128" s="137"/>
      <c r="AD128" s="137"/>
      <c r="AE128" s="137"/>
      <c r="AF128" s="137"/>
      <c r="AG128" s="137"/>
      <c r="AH128" s="137"/>
      <c r="AI128" s="137"/>
      <c r="AJ128" s="137"/>
      <c r="AK128" s="137"/>
      <c r="AL128" s="137"/>
    </row>
    <row r="129" spans="1:38" ht="15.75" customHeight="1">
      <c r="A129" s="276" t="s">
        <v>515</v>
      </c>
      <c r="B129" s="277" t="s">
        <v>602</v>
      </c>
      <c r="C129" s="245" t="s">
        <v>605</v>
      </c>
      <c r="D129" s="272" t="s">
        <v>606</v>
      </c>
      <c r="E129" s="61" t="s">
        <v>377</v>
      </c>
      <c r="F129" s="61"/>
      <c r="G129" s="61"/>
      <c r="H129" s="61" t="s">
        <v>116</v>
      </c>
      <c r="I129" s="61" t="s">
        <v>387</v>
      </c>
      <c r="J129" s="61" t="s">
        <v>379</v>
      </c>
      <c r="K129" s="137"/>
      <c r="L129" s="137"/>
      <c r="M129" s="137"/>
      <c r="N129" s="137"/>
      <c r="O129" s="137"/>
      <c r="P129" s="137"/>
      <c r="Q129" s="137"/>
      <c r="R129" s="137"/>
      <c r="S129" s="137"/>
      <c r="T129" s="137"/>
      <c r="U129" s="137"/>
      <c r="V129" s="137"/>
      <c r="W129" s="137"/>
      <c r="X129" s="137"/>
      <c r="Y129" s="137"/>
      <c r="Z129" s="137"/>
      <c r="AA129" s="137"/>
      <c r="AB129" s="137"/>
      <c r="AC129" s="137"/>
      <c r="AD129" s="137"/>
      <c r="AE129" s="137"/>
      <c r="AF129" s="137"/>
      <c r="AG129" s="137"/>
      <c r="AH129" s="137"/>
      <c r="AI129" s="137"/>
      <c r="AJ129" s="137"/>
      <c r="AK129" s="137"/>
      <c r="AL129" s="137"/>
    </row>
    <row r="130" spans="1:38" ht="15.75" customHeight="1">
      <c r="A130" s="276" t="s">
        <v>515</v>
      </c>
      <c r="B130" s="277" t="s">
        <v>602</v>
      </c>
      <c r="C130" s="245" t="s">
        <v>607</v>
      </c>
      <c r="D130" s="272" t="s">
        <v>608</v>
      </c>
      <c r="E130" s="61" t="s">
        <v>377</v>
      </c>
      <c r="F130" s="61" t="s">
        <v>116</v>
      </c>
      <c r="G130" s="61"/>
      <c r="H130" s="61" t="s">
        <v>390</v>
      </c>
      <c r="I130" s="61" t="s">
        <v>379</v>
      </c>
      <c r="J130" s="61" t="s">
        <v>387</v>
      </c>
      <c r="K130" s="137"/>
      <c r="L130" s="137"/>
      <c r="M130" s="137"/>
      <c r="N130" s="137"/>
      <c r="O130" s="137"/>
      <c r="P130" s="137"/>
      <c r="Q130" s="137"/>
      <c r="R130" s="137"/>
      <c r="S130" s="137"/>
      <c r="T130" s="137"/>
      <c r="U130" s="137"/>
      <c r="V130" s="137"/>
      <c r="W130" s="137"/>
      <c r="X130" s="137"/>
      <c r="Y130" s="137"/>
      <c r="Z130" s="137"/>
      <c r="AA130" s="137"/>
      <c r="AB130" s="137"/>
      <c r="AC130" s="137"/>
      <c r="AD130" s="137"/>
      <c r="AE130" s="137"/>
      <c r="AF130" s="137"/>
      <c r="AG130" s="137"/>
      <c r="AH130" s="137"/>
      <c r="AI130" s="137"/>
      <c r="AJ130" s="137"/>
      <c r="AK130" s="137"/>
      <c r="AL130" s="137"/>
    </row>
    <row r="131" spans="1:38" ht="15.75" customHeight="1">
      <c r="A131" s="276" t="s">
        <v>515</v>
      </c>
      <c r="B131" s="277" t="s">
        <v>609</v>
      </c>
      <c r="C131" s="245" t="s">
        <v>610</v>
      </c>
      <c r="D131" s="272" t="s">
        <v>611</v>
      </c>
      <c r="E131" s="274" t="s">
        <v>377</v>
      </c>
      <c r="F131" s="274" t="s">
        <v>116</v>
      </c>
      <c r="G131" s="274"/>
      <c r="H131" s="61" t="s">
        <v>379</v>
      </c>
      <c r="I131" s="61" t="s">
        <v>390</v>
      </c>
      <c r="J131" s="61" t="s">
        <v>387</v>
      </c>
      <c r="K131" s="137"/>
      <c r="L131" s="137"/>
      <c r="M131" s="137"/>
      <c r="N131" s="137"/>
      <c r="O131" s="137"/>
      <c r="P131" s="137"/>
      <c r="Q131" s="137"/>
      <c r="R131" s="137"/>
      <c r="S131" s="137"/>
      <c r="T131" s="137"/>
      <c r="U131" s="137"/>
      <c r="V131" s="137"/>
      <c r="W131" s="137"/>
      <c r="X131" s="137"/>
      <c r="Y131" s="137"/>
      <c r="Z131" s="137"/>
      <c r="AA131" s="137"/>
      <c r="AB131" s="137"/>
      <c r="AC131" s="137"/>
      <c r="AD131" s="137"/>
      <c r="AE131" s="137"/>
      <c r="AF131" s="137"/>
      <c r="AG131" s="137"/>
      <c r="AH131" s="137"/>
      <c r="AI131" s="137"/>
      <c r="AJ131" s="137"/>
      <c r="AK131" s="137"/>
      <c r="AL131" s="137"/>
    </row>
    <row r="132" spans="1:38" ht="15.75" customHeight="1">
      <c r="A132" s="276" t="s">
        <v>515</v>
      </c>
      <c r="B132" s="277" t="s">
        <v>609</v>
      </c>
      <c r="C132" s="245" t="s">
        <v>612</v>
      </c>
      <c r="D132" s="272" t="s">
        <v>613</v>
      </c>
      <c r="E132" s="61" t="s">
        <v>377</v>
      </c>
      <c r="F132" s="61" t="s">
        <v>116</v>
      </c>
      <c r="G132" s="61"/>
      <c r="H132" s="61" t="s">
        <v>379</v>
      </c>
      <c r="I132" s="61" t="s">
        <v>390</v>
      </c>
      <c r="J132" s="61" t="s">
        <v>387</v>
      </c>
      <c r="K132" s="137"/>
      <c r="L132" s="137"/>
      <c r="M132" s="137"/>
      <c r="N132" s="137"/>
      <c r="O132" s="137"/>
      <c r="P132" s="137"/>
      <c r="Q132" s="137"/>
      <c r="R132" s="137"/>
      <c r="S132" s="137"/>
      <c r="T132" s="137"/>
      <c r="U132" s="137"/>
      <c r="V132" s="137"/>
      <c r="W132" s="137"/>
      <c r="X132" s="137"/>
      <c r="Y132" s="137"/>
      <c r="Z132" s="137"/>
      <c r="AA132" s="137"/>
      <c r="AB132" s="137"/>
      <c r="AC132" s="137"/>
      <c r="AD132" s="137"/>
      <c r="AE132" s="137"/>
      <c r="AF132" s="137"/>
      <c r="AG132" s="137"/>
      <c r="AH132" s="137"/>
      <c r="AI132" s="137"/>
      <c r="AJ132" s="137"/>
      <c r="AK132" s="137"/>
      <c r="AL132" s="137"/>
    </row>
    <row r="133" spans="1:38" ht="15.75" customHeight="1">
      <c r="A133" s="276" t="s">
        <v>515</v>
      </c>
      <c r="B133" s="277" t="s">
        <v>609</v>
      </c>
      <c r="C133" s="245" t="s">
        <v>614</v>
      </c>
      <c r="D133" s="272" t="s">
        <v>615</v>
      </c>
      <c r="E133" s="61" t="s">
        <v>377</v>
      </c>
      <c r="F133" s="61" t="s">
        <v>116</v>
      </c>
      <c r="G133" s="61"/>
      <c r="H133" s="61" t="s">
        <v>379</v>
      </c>
      <c r="I133" s="61" t="s">
        <v>390</v>
      </c>
      <c r="J133" s="61" t="s">
        <v>387</v>
      </c>
      <c r="K133" s="137"/>
      <c r="L133" s="137"/>
      <c r="M133" s="137"/>
      <c r="N133" s="137"/>
      <c r="O133" s="137"/>
      <c r="P133" s="137"/>
      <c r="Q133" s="137"/>
      <c r="R133" s="137"/>
      <c r="S133" s="137"/>
      <c r="T133" s="137"/>
      <c r="U133" s="137"/>
      <c r="V133" s="137"/>
      <c r="W133" s="137"/>
      <c r="X133" s="137"/>
      <c r="Y133" s="137"/>
      <c r="Z133" s="137"/>
      <c r="AA133" s="137"/>
      <c r="AB133" s="137"/>
      <c r="AC133" s="137"/>
      <c r="AD133" s="137"/>
      <c r="AE133" s="137"/>
      <c r="AF133" s="137"/>
      <c r="AG133" s="137"/>
      <c r="AH133" s="137"/>
      <c r="AI133" s="137"/>
      <c r="AJ133" s="137"/>
      <c r="AK133" s="137"/>
      <c r="AL133" s="137"/>
    </row>
    <row r="134" spans="1:38" ht="15.75" customHeight="1">
      <c r="A134" s="276" t="s">
        <v>515</v>
      </c>
      <c r="B134" s="277" t="s">
        <v>609</v>
      </c>
      <c r="C134" s="245" t="s">
        <v>616</v>
      </c>
      <c r="D134" s="272" t="s">
        <v>617</v>
      </c>
      <c r="E134" s="61" t="s">
        <v>377</v>
      </c>
      <c r="F134" s="61" t="s">
        <v>116</v>
      </c>
      <c r="G134" s="61"/>
      <c r="H134" s="61" t="s">
        <v>379</v>
      </c>
      <c r="I134" s="61" t="s">
        <v>390</v>
      </c>
      <c r="J134" s="61" t="s">
        <v>387</v>
      </c>
      <c r="K134" s="137"/>
      <c r="L134" s="137"/>
      <c r="M134" s="137"/>
      <c r="N134" s="137"/>
      <c r="O134" s="137"/>
      <c r="P134" s="137"/>
      <c r="Q134" s="137"/>
      <c r="R134" s="137"/>
      <c r="S134" s="137"/>
      <c r="T134" s="137"/>
      <c r="U134" s="137"/>
      <c r="V134" s="137"/>
      <c r="W134" s="137"/>
      <c r="X134" s="137"/>
      <c r="Y134" s="137"/>
      <c r="Z134" s="137"/>
      <c r="AA134" s="137"/>
      <c r="AB134" s="137"/>
      <c r="AC134" s="137"/>
      <c r="AD134" s="137"/>
      <c r="AE134" s="137"/>
      <c r="AF134" s="137"/>
      <c r="AG134" s="137"/>
      <c r="AH134" s="137"/>
      <c r="AI134" s="137"/>
      <c r="AJ134" s="137"/>
      <c r="AK134" s="137"/>
      <c r="AL134" s="137"/>
    </row>
    <row r="135" spans="1:38" ht="15.75" customHeight="1">
      <c r="A135" s="276" t="s">
        <v>515</v>
      </c>
      <c r="B135" s="277" t="s">
        <v>609</v>
      </c>
      <c r="C135" s="245" t="s">
        <v>618</v>
      </c>
      <c r="D135" s="275"/>
      <c r="E135" s="61" t="s">
        <v>377</v>
      </c>
      <c r="F135" s="61" t="s">
        <v>116</v>
      </c>
      <c r="G135" s="61"/>
      <c r="H135" s="61" t="s">
        <v>379</v>
      </c>
      <c r="I135" s="61" t="s">
        <v>390</v>
      </c>
      <c r="J135" s="61" t="s">
        <v>387</v>
      </c>
      <c r="K135" s="137"/>
      <c r="L135" s="137"/>
      <c r="M135" s="137"/>
      <c r="N135" s="137"/>
      <c r="O135" s="137"/>
      <c r="P135" s="137"/>
      <c r="Q135" s="137"/>
      <c r="R135" s="137"/>
      <c r="S135" s="137"/>
      <c r="T135" s="137"/>
      <c r="U135" s="137"/>
      <c r="V135" s="137"/>
      <c r="W135" s="137"/>
      <c r="X135" s="137"/>
      <c r="Y135" s="137"/>
      <c r="Z135" s="137"/>
      <c r="AA135" s="137"/>
      <c r="AB135" s="137"/>
      <c r="AC135" s="137"/>
      <c r="AD135" s="137"/>
      <c r="AE135" s="137"/>
      <c r="AF135" s="137"/>
      <c r="AG135" s="137"/>
      <c r="AH135" s="137"/>
      <c r="AI135" s="137"/>
      <c r="AJ135" s="137"/>
      <c r="AK135" s="137"/>
      <c r="AL135" s="137"/>
    </row>
    <row r="136" spans="1:38" ht="15.75" customHeight="1">
      <c r="A136" s="276" t="s">
        <v>515</v>
      </c>
      <c r="B136" s="277" t="s">
        <v>609</v>
      </c>
      <c r="C136" s="245" t="s">
        <v>619</v>
      </c>
      <c r="D136" s="272" t="s">
        <v>620</v>
      </c>
      <c r="E136" s="61" t="s">
        <v>377</v>
      </c>
      <c r="F136" s="61"/>
      <c r="G136" s="61"/>
      <c r="H136" s="61" t="s">
        <v>116</v>
      </c>
      <c r="I136" s="61" t="s">
        <v>390</v>
      </c>
      <c r="J136" s="61" t="s">
        <v>387</v>
      </c>
      <c r="K136" s="137"/>
      <c r="L136" s="137"/>
      <c r="M136" s="137"/>
      <c r="N136" s="137"/>
      <c r="O136" s="137"/>
      <c r="P136" s="137"/>
      <c r="Q136" s="137"/>
      <c r="R136" s="137"/>
      <c r="S136" s="137"/>
      <c r="T136" s="137"/>
      <c r="U136" s="137"/>
      <c r="V136" s="137"/>
      <c r="W136" s="137"/>
      <c r="X136" s="137"/>
      <c r="Y136" s="137"/>
      <c r="Z136" s="137"/>
      <c r="AA136" s="137"/>
      <c r="AB136" s="137"/>
      <c r="AC136" s="137"/>
      <c r="AD136" s="137"/>
      <c r="AE136" s="137"/>
      <c r="AF136" s="137"/>
      <c r="AG136" s="137"/>
      <c r="AH136" s="137"/>
      <c r="AI136" s="137"/>
      <c r="AJ136" s="137"/>
      <c r="AK136" s="137"/>
      <c r="AL136" s="137"/>
    </row>
    <row r="137" spans="1:38" ht="15.75" customHeight="1">
      <c r="A137" s="276" t="s">
        <v>515</v>
      </c>
      <c r="B137" s="277" t="s">
        <v>609</v>
      </c>
      <c r="C137" s="245" t="s">
        <v>621</v>
      </c>
      <c r="D137" s="272" t="s">
        <v>622</v>
      </c>
      <c r="E137" s="61" t="s">
        <v>377</v>
      </c>
      <c r="F137" s="61" t="s">
        <v>116</v>
      </c>
      <c r="G137" s="61"/>
      <c r="H137" s="61" t="s">
        <v>379</v>
      </c>
      <c r="I137" s="61" t="s">
        <v>390</v>
      </c>
      <c r="J137" s="61" t="s">
        <v>387</v>
      </c>
      <c r="K137" s="137"/>
      <c r="L137" s="137"/>
      <c r="M137" s="137"/>
      <c r="N137" s="137"/>
      <c r="O137" s="137"/>
      <c r="P137" s="137"/>
      <c r="Q137" s="137"/>
      <c r="R137" s="137"/>
      <c r="S137" s="137"/>
      <c r="T137" s="137"/>
      <c r="U137" s="137"/>
      <c r="V137" s="137"/>
      <c r="W137" s="137"/>
      <c r="X137" s="137"/>
      <c r="Y137" s="137"/>
      <c r="Z137" s="137"/>
      <c r="AA137" s="137"/>
      <c r="AB137" s="137"/>
      <c r="AC137" s="137"/>
      <c r="AD137" s="137"/>
      <c r="AE137" s="137"/>
      <c r="AF137" s="137"/>
      <c r="AG137" s="137"/>
      <c r="AH137" s="137"/>
      <c r="AI137" s="137"/>
      <c r="AJ137" s="137"/>
      <c r="AK137" s="137"/>
      <c r="AL137" s="137"/>
    </row>
    <row r="138" spans="1:38" ht="15.75" customHeight="1">
      <c r="A138" s="276" t="s">
        <v>515</v>
      </c>
      <c r="B138" s="277" t="s">
        <v>609</v>
      </c>
      <c r="C138" s="245" t="s">
        <v>623</v>
      </c>
      <c r="D138" s="272" t="s">
        <v>624</v>
      </c>
      <c r="E138" s="61" t="s">
        <v>377</v>
      </c>
      <c r="F138" s="61" t="s">
        <v>116</v>
      </c>
      <c r="G138" s="61"/>
      <c r="H138" s="61" t="s">
        <v>379</v>
      </c>
      <c r="I138" s="61" t="s">
        <v>390</v>
      </c>
      <c r="J138" s="61" t="s">
        <v>387</v>
      </c>
      <c r="K138" s="137"/>
      <c r="L138" s="137"/>
      <c r="M138" s="137"/>
      <c r="N138" s="137"/>
      <c r="O138" s="137"/>
      <c r="P138" s="137"/>
      <c r="Q138" s="137"/>
      <c r="R138" s="137"/>
      <c r="S138" s="137"/>
      <c r="T138" s="137"/>
      <c r="U138" s="137"/>
      <c r="V138" s="137"/>
      <c r="W138" s="137"/>
      <c r="X138" s="137"/>
      <c r="Y138" s="137"/>
      <c r="Z138" s="137"/>
      <c r="AA138" s="137"/>
      <c r="AB138" s="137"/>
      <c r="AC138" s="137"/>
      <c r="AD138" s="137"/>
      <c r="AE138" s="137"/>
      <c r="AF138" s="137"/>
      <c r="AG138" s="137"/>
      <c r="AH138" s="137"/>
      <c r="AI138" s="137"/>
      <c r="AJ138" s="137"/>
      <c r="AK138" s="137"/>
      <c r="AL138" s="137"/>
    </row>
    <row r="139" spans="1:38" ht="15.75" customHeight="1">
      <c r="A139" s="276" t="s">
        <v>515</v>
      </c>
      <c r="B139" s="277" t="s">
        <v>609</v>
      </c>
      <c r="C139" s="245" t="s">
        <v>625</v>
      </c>
      <c r="D139" s="272" t="s">
        <v>626</v>
      </c>
      <c r="E139" s="61" t="s">
        <v>377</v>
      </c>
      <c r="F139" s="61" t="s">
        <v>116</v>
      </c>
      <c r="G139" s="61"/>
      <c r="H139" s="61" t="s">
        <v>379</v>
      </c>
      <c r="I139" s="61" t="s">
        <v>390</v>
      </c>
      <c r="J139" s="61" t="s">
        <v>387</v>
      </c>
      <c r="K139" s="137"/>
      <c r="L139" s="137"/>
      <c r="M139" s="137"/>
      <c r="N139" s="137"/>
      <c r="O139" s="137"/>
      <c r="P139" s="137"/>
      <c r="Q139" s="137"/>
      <c r="R139" s="137"/>
      <c r="S139" s="137"/>
      <c r="T139" s="137"/>
      <c r="U139" s="137"/>
      <c r="V139" s="137"/>
      <c r="W139" s="137"/>
      <c r="X139" s="137"/>
      <c r="Y139" s="137"/>
      <c r="Z139" s="137"/>
      <c r="AA139" s="137"/>
      <c r="AB139" s="137"/>
      <c r="AC139" s="137"/>
      <c r="AD139" s="137"/>
      <c r="AE139" s="137"/>
      <c r="AF139" s="137"/>
      <c r="AG139" s="137"/>
      <c r="AH139" s="137"/>
      <c r="AI139" s="137"/>
      <c r="AJ139" s="137"/>
      <c r="AK139" s="137"/>
      <c r="AL139" s="137"/>
    </row>
    <row r="140" spans="1:38" ht="15.75" customHeight="1">
      <c r="A140" s="276" t="s">
        <v>515</v>
      </c>
      <c r="B140" s="277" t="s">
        <v>609</v>
      </c>
      <c r="C140" s="245" t="s">
        <v>627</v>
      </c>
      <c r="D140" s="272" t="s">
        <v>628</v>
      </c>
      <c r="E140" s="61" t="s">
        <v>377</v>
      </c>
      <c r="F140" s="61" t="s">
        <v>116</v>
      </c>
      <c r="G140" s="61"/>
      <c r="H140" s="61" t="s">
        <v>379</v>
      </c>
      <c r="I140" s="61" t="s">
        <v>390</v>
      </c>
      <c r="J140" s="61" t="s">
        <v>387</v>
      </c>
      <c r="K140" s="137"/>
      <c r="L140" s="137"/>
      <c r="M140" s="137"/>
      <c r="N140" s="137"/>
      <c r="O140" s="137"/>
      <c r="P140" s="137"/>
      <c r="Q140" s="137"/>
      <c r="R140" s="137"/>
      <c r="S140" s="137"/>
      <c r="T140" s="137"/>
      <c r="U140" s="137"/>
      <c r="V140" s="137"/>
      <c r="W140" s="137"/>
      <c r="X140" s="137"/>
      <c r="Y140" s="137"/>
      <c r="Z140" s="137"/>
      <c r="AA140" s="137"/>
      <c r="AB140" s="137"/>
      <c r="AC140" s="137"/>
      <c r="AD140" s="137"/>
      <c r="AE140" s="137"/>
      <c r="AF140" s="137"/>
      <c r="AG140" s="137"/>
      <c r="AH140" s="137"/>
      <c r="AI140" s="137"/>
      <c r="AJ140" s="137"/>
      <c r="AK140" s="137"/>
      <c r="AL140" s="137"/>
    </row>
    <row r="141" spans="1:38" ht="15.75" customHeight="1">
      <c r="A141" s="276" t="s">
        <v>515</v>
      </c>
      <c r="B141" s="277" t="s">
        <v>609</v>
      </c>
      <c r="C141" s="245" t="s">
        <v>629</v>
      </c>
      <c r="D141" s="272" t="s">
        <v>630</v>
      </c>
      <c r="E141" s="61" t="s">
        <v>377</v>
      </c>
      <c r="F141" s="61" t="s">
        <v>116</v>
      </c>
      <c r="G141" s="61"/>
      <c r="H141" s="61" t="s">
        <v>379</v>
      </c>
      <c r="I141" s="61" t="s">
        <v>390</v>
      </c>
      <c r="J141" s="61" t="s">
        <v>387</v>
      </c>
      <c r="K141" s="137"/>
      <c r="L141" s="137"/>
      <c r="M141" s="137"/>
      <c r="N141" s="137"/>
      <c r="O141" s="137"/>
      <c r="P141" s="137"/>
      <c r="Q141" s="137"/>
      <c r="R141" s="137"/>
      <c r="S141" s="137"/>
      <c r="T141" s="137"/>
      <c r="U141" s="137"/>
      <c r="V141" s="137"/>
      <c r="W141" s="137"/>
      <c r="X141" s="137"/>
      <c r="Y141" s="137"/>
      <c r="Z141" s="137"/>
      <c r="AA141" s="137"/>
      <c r="AB141" s="137"/>
      <c r="AC141" s="137"/>
      <c r="AD141" s="137"/>
      <c r="AE141" s="137"/>
      <c r="AF141" s="137"/>
      <c r="AG141" s="137"/>
      <c r="AH141" s="137"/>
      <c r="AI141" s="137"/>
      <c r="AJ141" s="137"/>
      <c r="AK141" s="137"/>
      <c r="AL141" s="137"/>
    </row>
    <row r="142" spans="1:38" ht="15.75" customHeight="1">
      <c r="A142" s="276" t="s">
        <v>515</v>
      </c>
      <c r="B142" s="277" t="s">
        <v>609</v>
      </c>
      <c r="C142" s="245" t="s">
        <v>631</v>
      </c>
      <c r="D142" s="275"/>
      <c r="E142" s="61" t="s">
        <v>377</v>
      </c>
      <c r="F142" s="61" t="s">
        <v>116</v>
      </c>
      <c r="G142" s="61"/>
      <c r="H142" s="61" t="s">
        <v>379</v>
      </c>
      <c r="I142" s="61" t="s">
        <v>390</v>
      </c>
      <c r="J142" s="61" t="s">
        <v>387</v>
      </c>
      <c r="K142" s="137"/>
      <c r="L142" s="137"/>
      <c r="M142" s="137"/>
      <c r="N142" s="137"/>
      <c r="O142" s="137"/>
      <c r="P142" s="137"/>
      <c r="Q142" s="137"/>
      <c r="R142" s="137"/>
      <c r="S142" s="137"/>
      <c r="T142" s="137"/>
      <c r="U142" s="137"/>
      <c r="V142" s="137"/>
      <c r="W142" s="137"/>
      <c r="X142" s="137"/>
      <c r="Y142" s="137"/>
      <c r="Z142" s="137"/>
      <c r="AA142" s="137"/>
      <c r="AB142" s="137"/>
      <c r="AC142" s="137"/>
      <c r="AD142" s="137"/>
      <c r="AE142" s="137"/>
      <c r="AF142" s="137"/>
      <c r="AG142" s="137"/>
      <c r="AH142" s="137"/>
      <c r="AI142" s="137"/>
      <c r="AJ142" s="137"/>
      <c r="AK142" s="137"/>
      <c r="AL142" s="137"/>
    </row>
    <row r="143" spans="1:38" ht="15.75" customHeight="1">
      <c r="A143" s="276" t="s">
        <v>515</v>
      </c>
      <c r="B143" s="277" t="s">
        <v>609</v>
      </c>
      <c r="C143" s="245" t="s">
        <v>632</v>
      </c>
      <c r="D143" s="272" t="s">
        <v>633</v>
      </c>
      <c r="E143" s="61" t="s">
        <v>377</v>
      </c>
      <c r="F143" s="61" t="s">
        <v>116</v>
      </c>
      <c r="G143" s="61"/>
      <c r="H143" s="61" t="s">
        <v>379</v>
      </c>
      <c r="I143" s="61" t="s">
        <v>390</v>
      </c>
      <c r="J143" s="61" t="s">
        <v>387</v>
      </c>
      <c r="K143" s="137"/>
      <c r="L143" s="137"/>
      <c r="M143" s="137"/>
      <c r="N143" s="137"/>
      <c r="O143" s="137"/>
      <c r="P143" s="137"/>
      <c r="Q143" s="137"/>
      <c r="R143" s="137"/>
      <c r="S143" s="137"/>
      <c r="T143" s="137"/>
      <c r="U143" s="137"/>
      <c r="V143" s="137"/>
      <c r="W143" s="137"/>
      <c r="X143" s="137"/>
      <c r="Y143" s="137"/>
      <c r="Z143" s="137"/>
      <c r="AA143" s="137"/>
      <c r="AB143" s="137"/>
      <c r="AC143" s="137"/>
      <c r="AD143" s="137"/>
      <c r="AE143" s="137"/>
      <c r="AF143" s="137"/>
      <c r="AG143" s="137"/>
      <c r="AH143" s="137"/>
      <c r="AI143" s="137"/>
      <c r="AJ143" s="137"/>
      <c r="AK143" s="137"/>
      <c r="AL143" s="137"/>
    </row>
    <row r="144" spans="1:38" ht="15.75" customHeight="1">
      <c r="A144" s="276" t="s">
        <v>515</v>
      </c>
      <c r="B144" s="277" t="s">
        <v>609</v>
      </c>
      <c r="C144" s="245" t="s">
        <v>634</v>
      </c>
      <c r="D144" s="275"/>
      <c r="E144" s="61" t="s">
        <v>377</v>
      </c>
      <c r="F144" s="61" t="s">
        <v>116</v>
      </c>
      <c r="G144" s="61"/>
      <c r="H144" s="61" t="s">
        <v>379</v>
      </c>
      <c r="I144" s="61" t="s">
        <v>390</v>
      </c>
      <c r="J144" s="61" t="s">
        <v>387</v>
      </c>
      <c r="K144" s="137"/>
      <c r="L144" s="137"/>
      <c r="M144" s="137"/>
      <c r="N144" s="137"/>
      <c r="O144" s="137"/>
      <c r="P144" s="137"/>
      <c r="Q144" s="137"/>
      <c r="R144" s="137"/>
      <c r="S144" s="137"/>
      <c r="T144" s="137"/>
      <c r="U144" s="137"/>
      <c r="V144" s="137"/>
      <c r="W144" s="137"/>
      <c r="X144" s="137"/>
      <c r="Y144" s="137"/>
      <c r="Z144" s="137"/>
      <c r="AA144" s="137"/>
      <c r="AB144" s="137"/>
      <c r="AC144" s="137"/>
      <c r="AD144" s="137"/>
      <c r="AE144" s="137"/>
      <c r="AF144" s="137"/>
      <c r="AG144" s="137"/>
      <c r="AH144" s="137"/>
      <c r="AI144" s="137"/>
      <c r="AJ144" s="137"/>
      <c r="AK144" s="137"/>
      <c r="AL144" s="137"/>
    </row>
    <row r="145" spans="1:38" ht="15.75" customHeight="1">
      <c r="A145" s="276" t="s">
        <v>515</v>
      </c>
      <c r="B145" s="277" t="s">
        <v>609</v>
      </c>
      <c r="C145" s="245" t="s">
        <v>635</v>
      </c>
      <c r="D145" s="272" t="s">
        <v>636</v>
      </c>
      <c r="E145" s="61" t="s">
        <v>377</v>
      </c>
      <c r="F145" s="61" t="s">
        <v>116</v>
      </c>
      <c r="G145" s="61"/>
      <c r="H145" s="61" t="s">
        <v>379</v>
      </c>
      <c r="I145" s="61" t="s">
        <v>390</v>
      </c>
      <c r="J145" s="61" t="s">
        <v>387</v>
      </c>
      <c r="K145" s="137"/>
      <c r="L145" s="137"/>
      <c r="M145" s="137"/>
      <c r="N145" s="137"/>
      <c r="O145" s="137"/>
      <c r="P145" s="137"/>
      <c r="Q145" s="137"/>
      <c r="R145" s="137"/>
      <c r="S145" s="137"/>
      <c r="T145" s="137"/>
      <c r="U145" s="137"/>
      <c r="V145" s="137"/>
      <c r="W145" s="137"/>
      <c r="X145" s="137"/>
      <c r="Y145" s="137"/>
      <c r="Z145" s="137"/>
      <c r="AA145" s="137"/>
      <c r="AB145" s="137"/>
      <c r="AC145" s="137"/>
      <c r="AD145" s="137"/>
      <c r="AE145" s="137"/>
      <c r="AF145" s="137"/>
      <c r="AG145" s="137"/>
      <c r="AH145" s="137"/>
      <c r="AI145" s="137"/>
      <c r="AJ145" s="137"/>
      <c r="AK145" s="137"/>
      <c r="AL145" s="137"/>
    </row>
    <row r="146" spans="1:38" ht="15.75" customHeight="1">
      <c r="A146" s="276" t="s">
        <v>515</v>
      </c>
      <c r="B146" s="277" t="s">
        <v>609</v>
      </c>
      <c r="C146" s="245" t="s">
        <v>637</v>
      </c>
      <c r="D146" s="272" t="s">
        <v>638</v>
      </c>
      <c r="E146" s="61" t="s">
        <v>377</v>
      </c>
      <c r="F146" s="61" t="s">
        <v>116</v>
      </c>
      <c r="G146" s="61"/>
      <c r="H146" s="61" t="s">
        <v>379</v>
      </c>
      <c r="I146" s="61" t="s">
        <v>390</v>
      </c>
      <c r="J146" s="61" t="s">
        <v>387</v>
      </c>
      <c r="K146" s="137"/>
      <c r="L146" s="137"/>
      <c r="M146" s="137"/>
      <c r="N146" s="137"/>
      <c r="O146" s="137"/>
      <c r="P146" s="137"/>
      <c r="Q146" s="137"/>
      <c r="R146" s="137"/>
      <c r="S146" s="137"/>
      <c r="T146" s="137"/>
      <c r="U146" s="137"/>
      <c r="V146" s="137"/>
      <c r="W146" s="137"/>
      <c r="X146" s="137"/>
      <c r="Y146" s="137"/>
      <c r="Z146" s="137"/>
      <c r="AA146" s="137"/>
      <c r="AB146" s="137"/>
      <c r="AC146" s="137"/>
      <c r="AD146" s="137"/>
      <c r="AE146" s="137"/>
      <c r="AF146" s="137"/>
      <c r="AG146" s="137"/>
      <c r="AH146" s="137"/>
      <c r="AI146" s="137"/>
      <c r="AJ146" s="137"/>
      <c r="AK146" s="137"/>
      <c r="AL146" s="137"/>
    </row>
    <row r="147" spans="1:38" ht="15.75" customHeight="1">
      <c r="A147" s="276" t="s">
        <v>515</v>
      </c>
      <c r="B147" s="277" t="s">
        <v>639</v>
      </c>
      <c r="C147" s="245" t="s">
        <v>640</v>
      </c>
      <c r="D147" s="272" t="s">
        <v>641</v>
      </c>
      <c r="E147" s="61" t="s">
        <v>116</v>
      </c>
      <c r="F147" s="61" t="s">
        <v>379</v>
      </c>
      <c r="G147" s="61"/>
      <c r="H147" s="61" t="s">
        <v>384</v>
      </c>
      <c r="I147" s="61"/>
      <c r="J147" s="61"/>
      <c r="K147" s="137"/>
      <c r="L147" s="137"/>
      <c r="M147" s="137"/>
      <c r="N147" s="137"/>
      <c r="O147" s="137"/>
      <c r="P147" s="137"/>
      <c r="Q147" s="137"/>
      <c r="R147" s="137"/>
      <c r="S147" s="137"/>
      <c r="T147" s="137"/>
      <c r="U147" s="137"/>
      <c r="V147" s="137"/>
      <c r="W147" s="137"/>
      <c r="X147" s="137"/>
      <c r="Y147" s="137"/>
      <c r="Z147" s="137"/>
      <c r="AA147" s="137"/>
      <c r="AB147" s="137"/>
      <c r="AC147" s="137"/>
      <c r="AD147" s="137"/>
      <c r="AE147" s="137"/>
      <c r="AF147" s="137"/>
      <c r="AG147" s="137"/>
      <c r="AH147" s="137"/>
      <c r="AI147" s="137"/>
      <c r="AJ147" s="137"/>
      <c r="AK147" s="137"/>
      <c r="AL147" s="137"/>
    </row>
    <row r="148" spans="1:38" ht="15.75" customHeight="1">
      <c r="A148" s="276" t="s">
        <v>515</v>
      </c>
      <c r="B148" s="277" t="s">
        <v>639</v>
      </c>
      <c r="C148" s="245" t="s">
        <v>642</v>
      </c>
      <c r="D148" s="272" t="s">
        <v>643</v>
      </c>
      <c r="E148" s="61" t="s">
        <v>116</v>
      </c>
      <c r="F148" s="61" t="s">
        <v>379</v>
      </c>
      <c r="G148" s="61"/>
      <c r="H148" s="61" t="s">
        <v>384</v>
      </c>
      <c r="I148" s="61"/>
      <c r="J148" s="61"/>
      <c r="K148" s="137"/>
      <c r="L148" s="137"/>
      <c r="M148" s="137"/>
      <c r="N148" s="137"/>
      <c r="O148" s="137"/>
      <c r="P148" s="137"/>
      <c r="Q148" s="137"/>
      <c r="R148" s="137"/>
      <c r="S148" s="137"/>
      <c r="T148" s="137"/>
      <c r="U148" s="137"/>
      <c r="V148" s="137"/>
      <c r="W148" s="137"/>
      <c r="X148" s="137"/>
      <c r="Y148" s="137"/>
      <c r="Z148" s="137"/>
      <c r="AA148" s="137"/>
      <c r="AB148" s="137"/>
      <c r="AC148" s="137"/>
      <c r="AD148" s="137"/>
      <c r="AE148" s="137"/>
      <c r="AF148" s="137"/>
      <c r="AG148" s="137"/>
      <c r="AH148" s="137"/>
      <c r="AI148" s="137"/>
      <c r="AJ148" s="137"/>
      <c r="AK148" s="137"/>
      <c r="AL148" s="137"/>
    </row>
    <row r="149" spans="1:38" ht="15.75" customHeight="1">
      <c r="A149" s="276" t="s">
        <v>515</v>
      </c>
      <c r="B149" s="277" t="s">
        <v>639</v>
      </c>
      <c r="C149" s="245" t="s">
        <v>644</v>
      </c>
      <c r="D149" s="272" t="s">
        <v>645</v>
      </c>
      <c r="E149" s="61" t="s">
        <v>116</v>
      </c>
      <c r="F149" s="61" t="s">
        <v>379</v>
      </c>
      <c r="G149" s="61"/>
      <c r="H149" s="61" t="s">
        <v>384</v>
      </c>
      <c r="I149" s="61"/>
      <c r="J149" s="61"/>
      <c r="K149" s="137"/>
      <c r="L149" s="137"/>
      <c r="M149" s="137"/>
      <c r="N149" s="137"/>
      <c r="O149" s="137"/>
      <c r="P149" s="137"/>
      <c r="Q149" s="137"/>
      <c r="R149" s="137"/>
      <c r="S149" s="137"/>
      <c r="T149" s="137"/>
      <c r="U149" s="137"/>
      <c r="V149" s="137"/>
      <c r="W149" s="137"/>
      <c r="X149" s="137"/>
      <c r="Y149" s="137"/>
      <c r="Z149" s="137"/>
      <c r="AA149" s="137"/>
      <c r="AB149" s="137"/>
      <c r="AC149" s="137"/>
      <c r="AD149" s="137"/>
      <c r="AE149" s="137"/>
      <c r="AF149" s="137"/>
      <c r="AG149" s="137"/>
      <c r="AH149" s="137"/>
      <c r="AI149" s="137"/>
      <c r="AJ149" s="137"/>
      <c r="AK149" s="137"/>
      <c r="AL149" s="137"/>
    </row>
    <row r="150" spans="1:38" ht="15.75" customHeight="1">
      <c r="A150" s="276" t="s">
        <v>515</v>
      </c>
      <c r="B150" s="277" t="s">
        <v>639</v>
      </c>
      <c r="C150" s="245" t="s">
        <v>157</v>
      </c>
      <c r="D150" s="272" t="s">
        <v>646</v>
      </c>
      <c r="E150" s="61" t="s">
        <v>116</v>
      </c>
      <c r="F150" s="61" t="s">
        <v>379</v>
      </c>
      <c r="G150" s="61"/>
      <c r="H150" s="61" t="s">
        <v>384</v>
      </c>
      <c r="I150" s="61"/>
      <c r="J150" s="61"/>
      <c r="K150" s="137"/>
      <c r="L150" s="137"/>
      <c r="M150" s="137"/>
      <c r="N150" s="137"/>
      <c r="O150" s="137"/>
      <c r="P150" s="137"/>
      <c r="Q150" s="137"/>
      <c r="R150" s="137"/>
      <c r="S150" s="137"/>
      <c r="T150" s="137"/>
      <c r="U150" s="137"/>
      <c r="V150" s="137"/>
      <c r="W150" s="137"/>
      <c r="X150" s="137"/>
      <c r="Y150" s="137"/>
      <c r="Z150" s="137"/>
      <c r="AA150" s="137"/>
      <c r="AB150" s="137"/>
      <c r="AC150" s="137"/>
      <c r="AD150" s="137"/>
      <c r="AE150" s="137"/>
      <c r="AF150" s="137"/>
      <c r="AG150" s="137"/>
      <c r="AH150" s="137"/>
      <c r="AI150" s="137"/>
      <c r="AJ150" s="137"/>
      <c r="AK150" s="137"/>
      <c r="AL150" s="137"/>
    </row>
    <row r="151" spans="1:38" ht="15.75" customHeight="1">
      <c r="A151" s="276" t="s">
        <v>515</v>
      </c>
      <c r="B151" s="277" t="s">
        <v>639</v>
      </c>
      <c r="C151" s="245" t="s">
        <v>647</v>
      </c>
      <c r="D151" s="272" t="s">
        <v>648</v>
      </c>
      <c r="E151" s="61" t="s">
        <v>116</v>
      </c>
      <c r="F151" s="61" t="s">
        <v>379</v>
      </c>
      <c r="G151" s="61"/>
      <c r="H151" s="61" t="s">
        <v>384</v>
      </c>
      <c r="I151" s="61"/>
      <c r="J151" s="61"/>
      <c r="K151" s="137"/>
      <c r="L151" s="137"/>
      <c r="M151" s="137"/>
      <c r="N151" s="137"/>
      <c r="O151" s="137"/>
      <c r="P151" s="137"/>
      <c r="Q151" s="137"/>
      <c r="R151" s="137"/>
      <c r="S151" s="137"/>
      <c r="T151" s="137"/>
      <c r="U151" s="137"/>
      <c r="V151" s="137"/>
      <c r="W151" s="137"/>
      <c r="X151" s="137"/>
      <c r="Y151" s="137"/>
      <c r="Z151" s="137"/>
      <c r="AA151" s="137"/>
      <c r="AB151" s="137"/>
      <c r="AC151" s="137"/>
      <c r="AD151" s="137"/>
      <c r="AE151" s="137"/>
      <c r="AF151" s="137"/>
      <c r="AG151" s="137"/>
      <c r="AH151" s="137"/>
      <c r="AI151" s="137"/>
      <c r="AJ151" s="137"/>
      <c r="AK151" s="137"/>
      <c r="AL151" s="137"/>
    </row>
    <row r="152" spans="1:38" ht="15.75" customHeight="1">
      <c r="A152" s="276" t="s">
        <v>515</v>
      </c>
      <c r="B152" s="277" t="s">
        <v>639</v>
      </c>
      <c r="C152" s="245" t="s">
        <v>649</v>
      </c>
      <c r="D152" s="272" t="s">
        <v>650</v>
      </c>
      <c r="E152" s="61" t="s">
        <v>116</v>
      </c>
      <c r="F152" s="61" t="s">
        <v>379</v>
      </c>
      <c r="G152" s="61"/>
      <c r="H152" s="61" t="s">
        <v>384</v>
      </c>
      <c r="I152" s="61"/>
      <c r="J152" s="61"/>
      <c r="K152" s="137"/>
      <c r="L152" s="137"/>
      <c r="M152" s="137"/>
      <c r="N152" s="137"/>
      <c r="O152" s="137"/>
      <c r="P152" s="137"/>
      <c r="Q152" s="137"/>
      <c r="R152" s="137"/>
      <c r="S152" s="137"/>
      <c r="T152" s="137"/>
      <c r="U152" s="137"/>
      <c r="V152" s="137"/>
      <c r="W152" s="137"/>
      <c r="X152" s="137"/>
      <c r="Y152" s="137"/>
      <c r="Z152" s="137"/>
      <c r="AA152" s="137"/>
      <c r="AB152" s="137"/>
      <c r="AC152" s="137"/>
      <c r="AD152" s="137"/>
      <c r="AE152" s="137"/>
      <c r="AF152" s="137"/>
      <c r="AG152" s="137"/>
      <c r="AH152" s="137"/>
      <c r="AI152" s="137"/>
      <c r="AJ152" s="137"/>
      <c r="AK152" s="137"/>
      <c r="AL152" s="137"/>
    </row>
    <row r="153" spans="1:38" ht="15.75" customHeight="1">
      <c r="A153" s="276" t="s">
        <v>515</v>
      </c>
      <c r="B153" s="277" t="s">
        <v>639</v>
      </c>
      <c r="C153" s="245" t="s">
        <v>651</v>
      </c>
      <c r="D153" s="272" t="s">
        <v>652</v>
      </c>
      <c r="E153" s="61" t="s">
        <v>116</v>
      </c>
      <c r="F153" s="61" t="s">
        <v>379</v>
      </c>
      <c r="G153" s="61"/>
      <c r="H153" s="61" t="s">
        <v>384</v>
      </c>
      <c r="I153" s="61"/>
      <c r="J153" s="61" t="s">
        <v>390</v>
      </c>
      <c r="K153" s="137"/>
      <c r="L153" s="137"/>
      <c r="M153" s="137"/>
      <c r="N153" s="137"/>
      <c r="O153" s="137"/>
      <c r="P153" s="137"/>
      <c r="Q153" s="137"/>
      <c r="R153" s="137"/>
      <c r="S153" s="137"/>
      <c r="T153" s="137"/>
      <c r="U153" s="137"/>
      <c r="V153" s="137"/>
      <c r="W153" s="137"/>
      <c r="X153" s="137"/>
      <c r="Y153" s="137"/>
      <c r="Z153" s="137"/>
      <c r="AA153" s="137"/>
      <c r="AB153" s="137"/>
      <c r="AC153" s="137"/>
      <c r="AD153" s="137"/>
      <c r="AE153" s="137"/>
      <c r="AF153" s="137"/>
      <c r="AG153" s="137"/>
      <c r="AH153" s="137"/>
      <c r="AI153" s="137"/>
      <c r="AJ153" s="137"/>
      <c r="AK153" s="137"/>
      <c r="AL153" s="137"/>
    </row>
    <row r="154" spans="1:38" ht="15.75" customHeight="1">
      <c r="A154" s="276" t="s">
        <v>515</v>
      </c>
      <c r="B154" s="277" t="s">
        <v>653</v>
      </c>
      <c r="C154" s="245" t="s">
        <v>654</v>
      </c>
      <c r="D154" s="272" t="s">
        <v>655</v>
      </c>
      <c r="E154" s="61" t="s">
        <v>377</v>
      </c>
      <c r="F154" s="61" t="s">
        <v>116</v>
      </c>
      <c r="G154" s="61"/>
      <c r="H154" s="61" t="s">
        <v>390</v>
      </c>
      <c r="I154" s="61" t="s">
        <v>379</v>
      </c>
      <c r="J154" s="61"/>
      <c r="K154" s="137"/>
      <c r="L154" s="137"/>
      <c r="M154" s="137"/>
      <c r="N154" s="137"/>
      <c r="O154" s="137"/>
      <c r="P154" s="137"/>
      <c r="Q154" s="137"/>
      <c r="R154" s="137"/>
      <c r="S154" s="137"/>
      <c r="T154" s="137"/>
      <c r="U154" s="137"/>
      <c r="V154" s="137"/>
      <c r="W154" s="137"/>
      <c r="X154" s="137"/>
      <c r="Y154" s="137"/>
      <c r="Z154" s="137"/>
      <c r="AA154" s="137"/>
      <c r="AB154" s="137"/>
      <c r="AC154" s="137"/>
      <c r="AD154" s="137"/>
      <c r="AE154" s="137"/>
      <c r="AF154" s="137"/>
      <c r="AG154" s="137"/>
      <c r="AH154" s="137"/>
      <c r="AI154" s="137"/>
      <c r="AJ154" s="137"/>
      <c r="AK154" s="137"/>
      <c r="AL154" s="137"/>
    </row>
    <row r="155" spans="1:38" ht="15.75" customHeight="1">
      <c r="A155" s="276" t="s">
        <v>515</v>
      </c>
      <c r="B155" s="277" t="s">
        <v>653</v>
      </c>
      <c r="C155" s="245" t="s">
        <v>656</v>
      </c>
      <c r="D155" s="272" t="s">
        <v>657</v>
      </c>
      <c r="E155" s="61" t="s">
        <v>377</v>
      </c>
      <c r="F155" s="61" t="s">
        <v>116</v>
      </c>
      <c r="G155" s="61"/>
      <c r="H155" s="61" t="s">
        <v>390</v>
      </c>
      <c r="I155" s="61" t="s">
        <v>379</v>
      </c>
      <c r="J155" s="61"/>
      <c r="K155" s="137"/>
      <c r="L155" s="137"/>
      <c r="M155" s="137"/>
      <c r="N155" s="137"/>
      <c r="O155" s="137"/>
      <c r="P155" s="137"/>
      <c r="Q155" s="137"/>
      <c r="R155" s="137"/>
      <c r="S155" s="137"/>
      <c r="T155" s="137"/>
      <c r="U155" s="137"/>
      <c r="V155" s="137"/>
      <c r="W155" s="137"/>
      <c r="X155" s="137"/>
      <c r="Y155" s="137"/>
      <c r="Z155" s="137"/>
      <c r="AA155" s="137"/>
      <c r="AB155" s="137"/>
      <c r="AC155" s="137"/>
      <c r="AD155" s="137"/>
      <c r="AE155" s="137"/>
      <c r="AF155" s="137"/>
      <c r="AG155" s="137"/>
      <c r="AH155" s="137"/>
      <c r="AI155" s="137"/>
      <c r="AJ155" s="137"/>
      <c r="AK155" s="137"/>
      <c r="AL155" s="137"/>
    </row>
    <row r="156" spans="1:38" ht="15.75" customHeight="1">
      <c r="A156" s="276" t="s">
        <v>515</v>
      </c>
      <c r="B156" s="277" t="s">
        <v>653</v>
      </c>
      <c r="C156" s="245" t="s">
        <v>658</v>
      </c>
      <c r="D156" s="272" t="s">
        <v>659</v>
      </c>
      <c r="E156" s="61" t="s">
        <v>116</v>
      </c>
      <c r="F156" s="61" t="s">
        <v>390</v>
      </c>
      <c r="G156" s="61"/>
      <c r="H156" s="61" t="s">
        <v>377</v>
      </c>
      <c r="I156" s="61" t="s">
        <v>379</v>
      </c>
      <c r="J156" s="61"/>
      <c r="K156" s="137"/>
      <c r="L156" s="137"/>
      <c r="M156" s="137"/>
      <c r="N156" s="137"/>
      <c r="O156" s="137"/>
      <c r="P156" s="137"/>
      <c r="Q156" s="137"/>
      <c r="R156" s="137"/>
      <c r="S156" s="137"/>
      <c r="T156" s="137"/>
      <c r="U156" s="137"/>
      <c r="V156" s="137"/>
      <c r="W156" s="137"/>
      <c r="X156" s="137"/>
      <c r="Y156" s="137"/>
      <c r="Z156" s="137"/>
      <c r="AA156" s="137"/>
      <c r="AB156" s="137"/>
      <c r="AC156" s="137"/>
      <c r="AD156" s="137"/>
      <c r="AE156" s="137"/>
      <c r="AF156" s="137"/>
      <c r="AG156" s="137"/>
      <c r="AH156" s="137"/>
      <c r="AI156" s="137"/>
      <c r="AJ156" s="137"/>
      <c r="AK156" s="137"/>
      <c r="AL156" s="137"/>
    </row>
    <row r="157" spans="1:38" ht="15.75" customHeight="1">
      <c r="A157" s="276" t="s">
        <v>515</v>
      </c>
      <c r="B157" s="277" t="s">
        <v>660</v>
      </c>
      <c r="C157" s="245" t="s">
        <v>149</v>
      </c>
      <c r="D157" s="281" t="s">
        <v>661</v>
      </c>
      <c r="E157" s="61" t="s">
        <v>116</v>
      </c>
      <c r="F157" s="61"/>
      <c r="G157" s="61"/>
      <c r="H157" s="61" t="s">
        <v>379</v>
      </c>
      <c r="I157" s="61"/>
      <c r="J157" s="61"/>
      <c r="K157" s="137"/>
      <c r="L157" s="137"/>
      <c r="M157" s="137"/>
      <c r="N157" s="137"/>
      <c r="O157" s="137"/>
      <c r="P157" s="137"/>
      <c r="Q157" s="137"/>
      <c r="R157" s="137"/>
      <c r="S157" s="137"/>
      <c r="T157" s="137"/>
      <c r="U157" s="137"/>
      <c r="V157" s="137"/>
      <c r="W157" s="137"/>
      <c r="X157" s="137"/>
      <c r="Y157" s="137"/>
      <c r="Z157" s="137"/>
      <c r="AA157" s="137"/>
      <c r="AB157" s="137"/>
      <c r="AC157" s="137"/>
      <c r="AD157" s="137"/>
      <c r="AE157" s="137"/>
      <c r="AF157" s="137"/>
      <c r="AG157" s="137"/>
      <c r="AH157" s="137"/>
      <c r="AI157" s="137"/>
      <c r="AJ157" s="137"/>
      <c r="AK157" s="137"/>
      <c r="AL157" s="137"/>
    </row>
    <row r="158" spans="1:38" ht="15.75" customHeight="1">
      <c r="A158" s="276" t="s">
        <v>515</v>
      </c>
      <c r="B158" s="277" t="s">
        <v>660</v>
      </c>
      <c r="C158" s="245" t="s">
        <v>662</v>
      </c>
      <c r="D158" s="272" t="s">
        <v>663</v>
      </c>
      <c r="E158" s="61" t="s">
        <v>116</v>
      </c>
      <c r="F158" s="61"/>
      <c r="G158" s="61"/>
      <c r="H158" s="61" t="s">
        <v>379</v>
      </c>
      <c r="I158" s="61"/>
      <c r="J158" s="61" t="s">
        <v>390</v>
      </c>
      <c r="K158" s="137"/>
      <c r="L158" s="137"/>
      <c r="M158" s="137"/>
      <c r="N158" s="137"/>
      <c r="O158" s="137"/>
      <c r="P158" s="137"/>
      <c r="Q158" s="137"/>
      <c r="R158" s="137"/>
      <c r="S158" s="137"/>
      <c r="T158" s="137"/>
      <c r="U158" s="137"/>
      <c r="V158" s="137"/>
      <c r="W158" s="137"/>
      <c r="X158" s="137"/>
      <c r="Y158" s="137"/>
      <c r="Z158" s="137"/>
      <c r="AA158" s="137"/>
      <c r="AB158" s="137"/>
      <c r="AC158" s="137"/>
      <c r="AD158" s="137"/>
      <c r="AE158" s="137"/>
      <c r="AF158" s="137"/>
      <c r="AG158" s="137"/>
      <c r="AH158" s="137"/>
      <c r="AI158" s="137"/>
      <c r="AJ158" s="137"/>
      <c r="AK158" s="137"/>
      <c r="AL158" s="137"/>
    </row>
    <row r="159" spans="1:38" ht="15.75" customHeight="1">
      <c r="A159" s="276" t="s">
        <v>515</v>
      </c>
      <c r="B159" s="277" t="s">
        <v>660</v>
      </c>
      <c r="C159" s="245" t="s">
        <v>664</v>
      </c>
      <c r="D159" s="272" t="s">
        <v>665</v>
      </c>
      <c r="E159" s="61" t="s">
        <v>116</v>
      </c>
      <c r="F159" s="61"/>
      <c r="G159" s="61"/>
      <c r="H159" s="61" t="s">
        <v>379</v>
      </c>
      <c r="I159" s="61"/>
      <c r="J159" s="61"/>
      <c r="K159" s="137"/>
      <c r="L159" s="137"/>
      <c r="M159" s="137"/>
      <c r="N159" s="137"/>
      <c r="O159" s="137"/>
      <c r="P159" s="137"/>
      <c r="Q159" s="137"/>
      <c r="R159" s="137"/>
      <c r="S159" s="137"/>
      <c r="T159" s="137"/>
      <c r="U159" s="137"/>
      <c r="V159" s="137"/>
      <c r="W159" s="137"/>
      <c r="X159" s="137"/>
      <c r="Y159" s="137"/>
      <c r="Z159" s="137"/>
      <c r="AA159" s="137"/>
      <c r="AB159" s="137"/>
      <c r="AC159" s="137"/>
      <c r="AD159" s="137"/>
      <c r="AE159" s="137"/>
      <c r="AF159" s="137"/>
      <c r="AG159" s="137"/>
      <c r="AH159" s="137"/>
      <c r="AI159" s="137"/>
      <c r="AJ159" s="137"/>
      <c r="AK159" s="137"/>
      <c r="AL159" s="137"/>
    </row>
    <row r="160" spans="1:38" ht="15.75" customHeight="1">
      <c r="A160" s="276" t="s">
        <v>515</v>
      </c>
      <c r="B160" s="277" t="s">
        <v>660</v>
      </c>
      <c r="C160" s="245" t="s">
        <v>666</v>
      </c>
      <c r="D160" s="272" t="s">
        <v>667</v>
      </c>
      <c r="E160" s="61" t="s">
        <v>116</v>
      </c>
      <c r="F160" s="61"/>
      <c r="G160" s="61"/>
      <c r="H160" s="61" t="s">
        <v>379</v>
      </c>
      <c r="I160" s="61"/>
      <c r="J160" s="61"/>
      <c r="K160" s="137"/>
      <c r="L160" s="137"/>
      <c r="M160" s="137"/>
      <c r="N160" s="137"/>
      <c r="O160" s="137"/>
      <c r="P160" s="137"/>
      <c r="Q160" s="137"/>
      <c r="R160" s="137"/>
      <c r="S160" s="137"/>
      <c r="T160" s="137"/>
      <c r="U160" s="137"/>
      <c r="V160" s="137"/>
      <c r="W160" s="137"/>
      <c r="X160" s="137"/>
      <c r="Y160" s="137"/>
      <c r="Z160" s="137"/>
      <c r="AA160" s="137"/>
      <c r="AB160" s="137"/>
      <c r="AC160" s="137"/>
      <c r="AD160" s="137"/>
      <c r="AE160" s="137"/>
      <c r="AF160" s="137"/>
      <c r="AG160" s="137"/>
      <c r="AH160" s="137"/>
      <c r="AI160" s="137"/>
      <c r="AJ160" s="137"/>
      <c r="AK160" s="137"/>
      <c r="AL160" s="137"/>
    </row>
    <row r="161" spans="1:38" ht="15.75" customHeight="1">
      <c r="A161" s="276" t="s">
        <v>515</v>
      </c>
      <c r="B161" s="277" t="s">
        <v>660</v>
      </c>
      <c r="C161" s="245" t="s">
        <v>668</v>
      </c>
      <c r="D161" s="272" t="s">
        <v>669</v>
      </c>
      <c r="E161" s="61" t="s">
        <v>116</v>
      </c>
      <c r="F161" s="61"/>
      <c r="G161" s="61"/>
      <c r="H161" s="61" t="s">
        <v>379</v>
      </c>
      <c r="I161" s="61"/>
      <c r="J161" s="61" t="s">
        <v>390</v>
      </c>
      <c r="K161" s="137"/>
      <c r="L161" s="137"/>
      <c r="M161" s="137"/>
      <c r="N161" s="137"/>
      <c r="O161" s="137"/>
      <c r="P161" s="137"/>
      <c r="Q161" s="137"/>
      <c r="R161" s="137"/>
      <c r="S161" s="137"/>
      <c r="T161" s="137"/>
      <c r="U161" s="137"/>
      <c r="V161" s="137"/>
      <c r="W161" s="137"/>
      <c r="X161" s="137"/>
      <c r="Y161" s="137"/>
      <c r="Z161" s="137"/>
      <c r="AA161" s="137"/>
      <c r="AB161" s="137"/>
      <c r="AC161" s="137"/>
      <c r="AD161" s="137"/>
      <c r="AE161" s="137"/>
      <c r="AF161" s="137"/>
      <c r="AG161" s="137"/>
      <c r="AH161" s="137"/>
      <c r="AI161" s="137"/>
      <c r="AJ161" s="137"/>
      <c r="AK161" s="137"/>
      <c r="AL161" s="137"/>
    </row>
    <row r="162" spans="1:38" ht="15.75" customHeight="1">
      <c r="A162" s="276" t="s">
        <v>515</v>
      </c>
      <c r="B162" s="277" t="s">
        <v>660</v>
      </c>
      <c r="C162" s="245" t="s">
        <v>670</v>
      </c>
      <c r="D162" s="272" t="s">
        <v>671</v>
      </c>
      <c r="E162" s="61" t="s">
        <v>116</v>
      </c>
      <c r="F162" s="61"/>
      <c r="G162" s="61"/>
      <c r="H162" s="61" t="s">
        <v>379</v>
      </c>
      <c r="I162" s="61"/>
      <c r="J162" s="61"/>
      <c r="K162" s="137"/>
      <c r="L162" s="137"/>
      <c r="M162" s="137"/>
      <c r="N162" s="137"/>
      <c r="O162" s="137"/>
      <c r="P162" s="137"/>
      <c r="Q162" s="137"/>
      <c r="R162" s="137"/>
      <c r="S162" s="137"/>
      <c r="T162" s="137"/>
      <c r="U162" s="137"/>
      <c r="V162" s="137"/>
      <c r="W162" s="137"/>
      <c r="X162" s="137"/>
      <c r="Y162" s="137"/>
      <c r="Z162" s="137"/>
      <c r="AA162" s="137"/>
      <c r="AB162" s="137"/>
      <c r="AC162" s="137"/>
      <c r="AD162" s="137"/>
      <c r="AE162" s="137"/>
      <c r="AF162" s="137"/>
      <c r="AG162" s="137"/>
      <c r="AH162" s="137"/>
      <c r="AI162" s="137"/>
      <c r="AJ162" s="137"/>
      <c r="AK162" s="137"/>
      <c r="AL162" s="137"/>
    </row>
    <row r="163" spans="1:38" ht="15.75" customHeight="1">
      <c r="A163" s="276" t="s">
        <v>515</v>
      </c>
      <c r="B163" s="277" t="s">
        <v>672</v>
      </c>
      <c r="C163" s="282" t="s">
        <v>673</v>
      </c>
      <c r="D163" s="272" t="s">
        <v>674</v>
      </c>
      <c r="E163" s="61" t="s">
        <v>116</v>
      </c>
      <c r="F163" s="61"/>
      <c r="G163" s="61"/>
      <c r="H163" s="61"/>
      <c r="I163" s="61"/>
      <c r="J163" s="61"/>
      <c r="K163" s="137"/>
      <c r="L163" s="137"/>
      <c r="M163" s="137"/>
      <c r="N163" s="137"/>
      <c r="O163" s="137"/>
      <c r="P163" s="137"/>
      <c r="Q163" s="137"/>
      <c r="R163" s="137"/>
      <c r="S163" s="137"/>
      <c r="T163" s="137"/>
      <c r="U163" s="137"/>
      <c r="V163" s="137"/>
      <c r="W163" s="137"/>
      <c r="X163" s="137"/>
      <c r="Y163" s="137"/>
      <c r="Z163" s="137"/>
      <c r="AA163" s="137"/>
      <c r="AB163" s="137"/>
      <c r="AC163" s="137"/>
      <c r="AD163" s="137"/>
      <c r="AE163" s="137"/>
      <c r="AF163" s="137"/>
      <c r="AG163" s="137"/>
      <c r="AH163" s="137"/>
      <c r="AI163" s="137"/>
      <c r="AJ163" s="137"/>
      <c r="AK163" s="137"/>
      <c r="AL163" s="137"/>
    </row>
    <row r="164" spans="1:38" ht="15.75" customHeight="1">
      <c r="A164" s="283" t="s">
        <v>675</v>
      </c>
      <c r="B164" s="284" t="s">
        <v>676</v>
      </c>
      <c r="C164" s="245" t="s">
        <v>677</v>
      </c>
      <c r="D164" s="272" t="s">
        <v>678</v>
      </c>
      <c r="E164" s="61"/>
      <c r="F164" s="61"/>
      <c r="G164" s="61"/>
      <c r="H164" s="61"/>
      <c r="I164" s="61"/>
      <c r="J164" s="61"/>
      <c r="K164" s="137"/>
      <c r="L164" s="137"/>
      <c r="M164" s="137"/>
      <c r="N164" s="137"/>
      <c r="O164" s="137"/>
      <c r="P164" s="137"/>
      <c r="Q164" s="137"/>
      <c r="R164" s="137"/>
      <c r="S164" s="137"/>
      <c r="T164" s="137"/>
      <c r="U164" s="137"/>
      <c r="V164" s="137"/>
      <c r="W164" s="137"/>
      <c r="X164" s="137"/>
      <c r="Y164" s="137"/>
      <c r="Z164" s="137"/>
      <c r="AA164" s="137"/>
      <c r="AB164" s="137"/>
      <c r="AC164" s="137"/>
      <c r="AD164" s="137"/>
      <c r="AE164" s="137"/>
      <c r="AF164" s="137"/>
      <c r="AG164" s="137"/>
      <c r="AH164" s="137"/>
      <c r="AI164" s="137"/>
      <c r="AJ164" s="137"/>
      <c r="AK164" s="137"/>
      <c r="AL164" s="137"/>
    </row>
    <row r="165" spans="1:38" ht="15.75" customHeight="1">
      <c r="A165" s="283" t="s">
        <v>675</v>
      </c>
      <c r="B165" s="284" t="s">
        <v>676</v>
      </c>
      <c r="C165" s="245" t="s">
        <v>679</v>
      </c>
      <c r="D165" s="272" t="s">
        <v>680</v>
      </c>
      <c r="E165" s="61"/>
      <c r="F165" s="61"/>
      <c r="G165" s="61"/>
      <c r="H165" s="61"/>
      <c r="I165" s="61"/>
      <c r="J165" s="61"/>
      <c r="K165" s="137"/>
      <c r="L165" s="137"/>
      <c r="M165" s="137"/>
      <c r="N165" s="137"/>
      <c r="O165" s="137"/>
      <c r="P165" s="137"/>
      <c r="Q165" s="137"/>
      <c r="R165" s="137"/>
      <c r="S165" s="137"/>
      <c r="T165" s="137"/>
      <c r="U165" s="137"/>
      <c r="V165" s="137"/>
      <c r="W165" s="137"/>
      <c r="X165" s="137"/>
      <c r="Y165" s="137"/>
      <c r="Z165" s="137"/>
      <c r="AA165" s="137"/>
      <c r="AB165" s="137"/>
      <c r="AC165" s="137"/>
      <c r="AD165" s="137"/>
      <c r="AE165" s="137"/>
      <c r="AF165" s="137"/>
      <c r="AG165" s="137"/>
      <c r="AH165" s="137"/>
      <c r="AI165" s="137"/>
      <c r="AJ165" s="137"/>
      <c r="AK165" s="137"/>
      <c r="AL165" s="137"/>
    </row>
    <row r="166" spans="1:38" ht="15.75" customHeight="1">
      <c r="A166" s="283" t="s">
        <v>675</v>
      </c>
      <c r="B166" s="284" t="s">
        <v>681</v>
      </c>
      <c r="C166" s="245" t="s">
        <v>682</v>
      </c>
      <c r="D166" s="272" t="s">
        <v>683</v>
      </c>
      <c r="E166" s="61"/>
      <c r="F166" s="61"/>
      <c r="G166" s="61"/>
      <c r="H166" s="61" t="s">
        <v>377</v>
      </c>
      <c r="I166" s="61" t="s">
        <v>116</v>
      </c>
      <c r="J166" s="61" t="s">
        <v>387</v>
      </c>
      <c r="K166" s="137"/>
      <c r="L166" s="137"/>
      <c r="M166" s="137"/>
      <c r="N166" s="137"/>
      <c r="O166" s="137"/>
      <c r="P166" s="137"/>
      <c r="Q166" s="137"/>
      <c r="R166" s="137"/>
      <c r="S166" s="137"/>
      <c r="T166" s="137"/>
      <c r="U166" s="137"/>
      <c r="V166" s="137"/>
      <c r="W166" s="137"/>
      <c r="X166" s="137"/>
      <c r="Y166" s="137"/>
      <c r="Z166" s="137"/>
      <c r="AA166" s="137"/>
      <c r="AB166" s="137"/>
      <c r="AC166" s="137"/>
      <c r="AD166" s="137"/>
      <c r="AE166" s="137"/>
      <c r="AF166" s="137"/>
      <c r="AG166" s="137"/>
      <c r="AH166" s="137"/>
      <c r="AI166" s="137"/>
      <c r="AJ166" s="137"/>
      <c r="AK166" s="137"/>
      <c r="AL166" s="137"/>
    </row>
    <row r="167" spans="1:38" ht="15.75" customHeight="1">
      <c r="A167" s="283" t="s">
        <v>675</v>
      </c>
      <c r="B167" s="284" t="s">
        <v>681</v>
      </c>
      <c r="C167" s="245" t="s">
        <v>684</v>
      </c>
      <c r="D167" s="272" t="s">
        <v>685</v>
      </c>
      <c r="E167" s="61"/>
      <c r="F167" s="61"/>
      <c r="G167" s="61"/>
      <c r="H167" s="61"/>
      <c r="I167" s="61"/>
      <c r="J167" s="61"/>
      <c r="K167" s="137"/>
      <c r="L167" s="137"/>
      <c r="M167" s="137"/>
      <c r="N167" s="137"/>
      <c r="O167" s="137"/>
      <c r="P167" s="137"/>
      <c r="Q167" s="137"/>
      <c r="R167" s="137"/>
      <c r="S167" s="137"/>
      <c r="T167" s="137"/>
      <c r="U167" s="137"/>
      <c r="V167" s="137"/>
      <c r="W167" s="137"/>
      <c r="X167" s="137"/>
      <c r="Y167" s="137"/>
      <c r="Z167" s="137"/>
      <c r="AA167" s="137"/>
      <c r="AB167" s="137"/>
      <c r="AC167" s="137"/>
      <c r="AD167" s="137"/>
      <c r="AE167" s="137"/>
      <c r="AF167" s="137"/>
      <c r="AG167" s="137"/>
      <c r="AH167" s="137"/>
      <c r="AI167" s="137"/>
      <c r="AJ167" s="137"/>
      <c r="AK167" s="137"/>
      <c r="AL167" s="137"/>
    </row>
    <row r="168" spans="1:38" ht="15.75" customHeight="1">
      <c r="A168" s="283" t="s">
        <v>675</v>
      </c>
      <c r="B168" s="284" t="s">
        <v>681</v>
      </c>
      <c r="C168" s="245" t="s">
        <v>686</v>
      </c>
      <c r="D168" s="272" t="s">
        <v>687</v>
      </c>
      <c r="E168" s="61"/>
      <c r="F168" s="61"/>
      <c r="G168" s="61"/>
      <c r="H168" s="61"/>
      <c r="I168" s="61"/>
      <c r="J168" s="61"/>
      <c r="K168" s="137"/>
      <c r="L168" s="137"/>
      <c r="M168" s="137"/>
      <c r="N168" s="137"/>
      <c r="O168" s="137"/>
      <c r="P168" s="137"/>
      <c r="Q168" s="137"/>
      <c r="R168" s="137"/>
      <c r="S168" s="137"/>
      <c r="T168" s="137"/>
      <c r="U168" s="137"/>
      <c r="V168" s="137"/>
      <c r="W168" s="137"/>
      <c r="X168" s="137"/>
      <c r="Y168" s="137"/>
      <c r="Z168" s="137"/>
      <c r="AA168" s="137"/>
      <c r="AB168" s="137"/>
      <c r="AC168" s="137"/>
      <c r="AD168" s="137"/>
      <c r="AE168" s="137"/>
      <c r="AF168" s="137"/>
      <c r="AG168" s="137"/>
      <c r="AH168" s="137"/>
      <c r="AI168" s="137"/>
      <c r="AJ168" s="137"/>
      <c r="AK168" s="137"/>
      <c r="AL168" s="137"/>
    </row>
    <row r="169" spans="1:38" ht="15.75" customHeight="1">
      <c r="A169" s="285" t="s">
        <v>688</v>
      </c>
      <c r="B169" s="286" t="s">
        <v>689</v>
      </c>
      <c r="C169" s="245" t="s">
        <v>690</v>
      </c>
      <c r="D169" s="275"/>
      <c r="E169" s="61" t="s">
        <v>368</v>
      </c>
      <c r="F169" s="61"/>
      <c r="G169" s="61"/>
      <c r="H169" s="61"/>
      <c r="I169" s="61"/>
      <c r="J169" s="61" t="s">
        <v>358</v>
      </c>
      <c r="K169" s="137"/>
      <c r="L169" s="137"/>
      <c r="M169" s="137"/>
      <c r="N169" s="137"/>
      <c r="O169" s="137"/>
      <c r="P169" s="137"/>
      <c r="Q169" s="137"/>
      <c r="R169" s="137"/>
      <c r="S169" s="137"/>
      <c r="T169" s="137"/>
      <c r="U169" s="137"/>
      <c r="V169" s="137"/>
      <c r="W169" s="137"/>
      <c r="X169" s="137"/>
      <c r="Y169" s="137"/>
      <c r="Z169" s="137"/>
      <c r="AA169" s="137"/>
      <c r="AB169" s="137"/>
      <c r="AC169" s="137"/>
      <c r="AD169" s="137"/>
      <c r="AE169" s="137"/>
      <c r="AF169" s="137"/>
      <c r="AG169" s="137"/>
      <c r="AH169" s="137"/>
      <c r="AI169" s="137"/>
      <c r="AJ169" s="137"/>
      <c r="AK169" s="137"/>
      <c r="AL169" s="137"/>
    </row>
    <row r="170" spans="1:38" ht="15.75" customHeight="1">
      <c r="A170" s="285" t="s">
        <v>688</v>
      </c>
      <c r="B170" s="286" t="s">
        <v>689</v>
      </c>
      <c r="C170" s="245" t="s">
        <v>691</v>
      </c>
      <c r="D170" s="272" t="s">
        <v>692</v>
      </c>
      <c r="E170" s="61" t="s">
        <v>368</v>
      </c>
      <c r="F170" s="61"/>
      <c r="G170" s="61"/>
      <c r="H170" s="61" t="s">
        <v>358</v>
      </c>
      <c r="I170" s="61"/>
      <c r="J170" s="61"/>
      <c r="K170" s="137"/>
      <c r="L170" s="137"/>
      <c r="M170" s="137"/>
      <c r="N170" s="137"/>
      <c r="O170" s="137"/>
      <c r="P170" s="137"/>
      <c r="Q170" s="137"/>
      <c r="R170" s="137"/>
      <c r="S170" s="137"/>
      <c r="T170" s="137"/>
      <c r="U170" s="137"/>
      <c r="V170" s="137"/>
      <c r="W170" s="137"/>
      <c r="X170" s="137"/>
      <c r="Y170" s="137"/>
      <c r="Z170" s="137"/>
      <c r="AA170" s="137"/>
      <c r="AB170" s="137"/>
      <c r="AC170" s="137"/>
      <c r="AD170" s="137"/>
      <c r="AE170" s="137"/>
      <c r="AF170" s="137"/>
      <c r="AG170" s="137"/>
      <c r="AH170" s="137"/>
      <c r="AI170" s="137"/>
      <c r="AJ170" s="137"/>
      <c r="AK170" s="137"/>
      <c r="AL170" s="137"/>
    </row>
    <row r="171" spans="1:38" ht="15.75" customHeight="1">
      <c r="A171" s="285" t="s">
        <v>688</v>
      </c>
      <c r="B171" s="286" t="s">
        <v>689</v>
      </c>
      <c r="C171" s="245" t="s">
        <v>693</v>
      </c>
      <c r="D171" s="272" t="s">
        <v>694</v>
      </c>
      <c r="E171" s="61" t="s">
        <v>368</v>
      </c>
      <c r="F171" s="61"/>
      <c r="G171" s="61"/>
      <c r="H171" s="61" t="s">
        <v>358</v>
      </c>
      <c r="I171" s="61"/>
      <c r="J171" s="61"/>
      <c r="K171" s="137"/>
      <c r="L171" s="137"/>
      <c r="M171" s="137"/>
      <c r="N171" s="137"/>
      <c r="O171" s="137"/>
      <c r="P171" s="137"/>
      <c r="Q171" s="137"/>
      <c r="R171" s="137"/>
      <c r="S171" s="137"/>
      <c r="T171" s="137"/>
      <c r="U171" s="137"/>
      <c r="V171" s="137"/>
      <c r="W171" s="137"/>
      <c r="X171" s="137"/>
      <c r="Y171" s="137"/>
      <c r="Z171" s="137"/>
      <c r="AA171" s="137"/>
      <c r="AB171" s="137"/>
      <c r="AC171" s="137"/>
      <c r="AD171" s="137"/>
      <c r="AE171" s="137"/>
      <c r="AF171" s="137"/>
      <c r="AG171" s="137"/>
      <c r="AH171" s="137"/>
      <c r="AI171" s="137"/>
      <c r="AJ171" s="137"/>
      <c r="AK171" s="137"/>
      <c r="AL171" s="137"/>
    </row>
    <row r="172" spans="1:38" ht="15.75" customHeight="1">
      <c r="A172" s="285" t="s">
        <v>688</v>
      </c>
      <c r="B172" s="286" t="s">
        <v>689</v>
      </c>
      <c r="C172" s="245" t="s">
        <v>695</v>
      </c>
      <c r="D172" s="275"/>
      <c r="E172" s="61" t="s">
        <v>368</v>
      </c>
      <c r="F172" s="61"/>
      <c r="G172" s="61"/>
      <c r="H172" s="61" t="s">
        <v>358</v>
      </c>
      <c r="I172" s="61"/>
      <c r="J172" s="61"/>
      <c r="K172" s="137"/>
      <c r="L172" s="137"/>
      <c r="M172" s="137"/>
      <c r="N172" s="137"/>
      <c r="O172" s="137"/>
      <c r="P172" s="137"/>
      <c r="Q172" s="137"/>
      <c r="R172" s="137"/>
      <c r="S172" s="137"/>
      <c r="T172" s="137"/>
      <c r="U172" s="137"/>
      <c r="V172" s="137"/>
      <c r="W172" s="137"/>
      <c r="X172" s="137"/>
      <c r="Y172" s="137"/>
      <c r="Z172" s="137"/>
      <c r="AA172" s="137"/>
      <c r="AB172" s="137"/>
      <c r="AC172" s="137"/>
      <c r="AD172" s="137"/>
      <c r="AE172" s="137"/>
      <c r="AF172" s="137"/>
      <c r="AG172" s="137"/>
      <c r="AH172" s="137"/>
      <c r="AI172" s="137"/>
      <c r="AJ172" s="137"/>
      <c r="AK172" s="137"/>
      <c r="AL172" s="137"/>
    </row>
    <row r="173" spans="1:38" ht="15.75" customHeight="1">
      <c r="A173" s="285" t="s">
        <v>688</v>
      </c>
      <c r="B173" s="286" t="s">
        <v>689</v>
      </c>
      <c r="C173" s="245" t="s">
        <v>696</v>
      </c>
      <c r="D173" s="272" t="s">
        <v>697</v>
      </c>
      <c r="E173" s="61" t="s">
        <v>368</v>
      </c>
      <c r="F173" s="61"/>
      <c r="G173" s="61"/>
      <c r="H173" s="61" t="s">
        <v>358</v>
      </c>
      <c r="I173" s="61"/>
      <c r="J173" s="61"/>
      <c r="K173" s="137"/>
      <c r="L173" s="137"/>
      <c r="M173" s="137"/>
      <c r="N173" s="137"/>
      <c r="O173" s="137"/>
      <c r="P173" s="137"/>
      <c r="Q173" s="137"/>
      <c r="R173" s="137"/>
      <c r="S173" s="137"/>
      <c r="T173" s="137"/>
      <c r="U173" s="137"/>
      <c r="V173" s="137"/>
      <c r="W173" s="137"/>
      <c r="X173" s="137"/>
      <c r="Y173" s="137"/>
      <c r="Z173" s="137"/>
      <c r="AA173" s="137"/>
      <c r="AB173" s="137"/>
      <c r="AC173" s="137"/>
      <c r="AD173" s="137"/>
      <c r="AE173" s="137"/>
      <c r="AF173" s="137"/>
      <c r="AG173" s="137"/>
      <c r="AH173" s="137"/>
      <c r="AI173" s="137"/>
      <c r="AJ173" s="137"/>
      <c r="AK173" s="137"/>
      <c r="AL173" s="137"/>
    </row>
    <row r="174" spans="1:38" ht="15.75" customHeight="1">
      <c r="A174" s="285" t="s">
        <v>688</v>
      </c>
      <c r="B174" s="286" t="s">
        <v>689</v>
      </c>
      <c r="C174" s="245" t="s">
        <v>698</v>
      </c>
      <c r="D174" s="275"/>
      <c r="E174" s="61" t="s">
        <v>368</v>
      </c>
      <c r="F174" s="61"/>
      <c r="G174" s="61"/>
      <c r="H174" s="61" t="s">
        <v>358</v>
      </c>
      <c r="I174" s="61"/>
      <c r="J174" s="61"/>
      <c r="K174" s="137"/>
      <c r="L174" s="137"/>
      <c r="M174" s="137"/>
      <c r="N174" s="137"/>
      <c r="O174" s="137"/>
      <c r="P174" s="137"/>
      <c r="Q174" s="137"/>
      <c r="R174" s="137"/>
      <c r="S174" s="137"/>
      <c r="T174" s="137"/>
      <c r="U174" s="137"/>
      <c r="V174" s="137"/>
      <c r="W174" s="137"/>
      <c r="X174" s="137"/>
      <c r="Y174" s="137"/>
      <c r="Z174" s="137"/>
      <c r="AA174" s="137"/>
      <c r="AB174" s="137"/>
      <c r="AC174" s="137"/>
      <c r="AD174" s="137"/>
      <c r="AE174" s="137"/>
      <c r="AF174" s="137"/>
      <c r="AG174" s="137"/>
      <c r="AH174" s="137"/>
      <c r="AI174" s="137"/>
      <c r="AJ174" s="137"/>
      <c r="AK174" s="137"/>
      <c r="AL174" s="137"/>
    </row>
    <row r="175" spans="1:38" ht="15.75" customHeight="1">
      <c r="A175" s="285" t="s">
        <v>688</v>
      </c>
      <c r="B175" s="286" t="s">
        <v>689</v>
      </c>
      <c r="C175" s="245" t="s">
        <v>699</v>
      </c>
      <c r="D175" s="272" t="s">
        <v>700</v>
      </c>
      <c r="E175" s="61" t="s">
        <v>368</v>
      </c>
      <c r="F175" s="61"/>
      <c r="G175" s="61"/>
      <c r="H175" s="61" t="s">
        <v>358</v>
      </c>
      <c r="I175" s="61"/>
      <c r="J175" s="61"/>
      <c r="K175" s="137"/>
      <c r="L175" s="137"/>
      <c r="M175" s="137"/>
      <c r="N175" s="137"/>
      <c r="O175" s="137"/>
      <c r="P175" s="137"/>
      <c r="Q175" s="137"/>
      <c r="R175" s="137"/>
      <c r="S175" s="137"/>
      <c r="T175" s="137"/>
      <c r="U175" s="137"/>
      <c r="V175" s="137"/>
      <c r="W175" s="137"/>
      <c r="X175" s="137"/>
      <c r="Y175" s="137"/>
      <c r="Z175" s="137"/>
      <c r="AA175" s="137"/>
      <c r="AB175" s="137"/>
      <c r="AC175" s="137"/>
      <c r="AD175" s="137"/>
      <c r="AE175" s="137"/>
      <c r="AF175" s="137"/>
      <c r="AG175" s="137"/>
      <c r="AH175" s="137"/>
      <c r="AI175" s="137"/>
      <c r="AJ175" s="137"/>
      <c r="AK175" s="137"/>
      <c r="AL175" s="137"/>
    </row>
    <row r="176" spans="1:38" ht="15.75" customHeight="1">
      <c r="A176" s="285" t="s">
        <v>688</v>
      </c>
      <c r="B176" s="286" t="s">
        <v>689</v>
      </c>
      <c r="C176" s="245" t="s">
        <v>701</v>
      </c>
      <c r="D176" s="272" t="s">
        <v>702</v>
      </c>
      <c r="E176" s="61" t="s">
        <v>368</v>
      </c>
      <c r="F176" s="61"/>
      <c r="G176" s="61"/>
      <c r="H176" s="61" t="s">
        <v>358</v>
      </c>
      <c r="I176" s="61"/>
      <c r="J176" s="61"/>
      <c r="K176" s="137"/>
      <c r="L176" s="137"/>
      <c r="M176" s="137"/>
      <c r="N176" s="137"/>
      <c r="O176" s="137"/>
      <c r="P176" s="137"/>
      <c r="Q176" s="137"/>
      <c r="R176" s="137"/>
      <c r="S176" s="137"/>
      <c r="T176" s="137"/>
      <c r="U176" s="137"/>
      <c r="V176" s="137"/>
      <c r="W176" s="137"/>
      <c r="X176" s="137"/>
      <c r="Y176" s="137"/>
      <c r="Z176" s="137"/>
      <c r="AA176" s="137"/>
      <c r="AB176" s="137"/>
      <c r="AC176" s="137"/>
      <c r="AD176" s="137"/>
      <c r="AE176" s="137"/>
      <c r="AF176" s="137"/>
      <c r="AG176" s="137"/>
      <c r="AH176" s="137"/>
      <c r="AI176" s="137"/>
      <c r="AJ176" s="137"/>
      <c r="AK176" s="137"/>
      <c r="AL176" s="137"/>
    </row>
    <row r="177" spans="1:38" ht="15.75" customHeight="1">
      <c r="A177" s="285" t="s">
        <v>688</v>
      </c>
      <c r="B177" s="286" t="s">
        <v>689</v>
      </c>
      <c r="C177" s="245" t="s">
        <v>703</v>
      </c>
      <c r="D177" s="275"/>
      <c r="E177" s="61" t="s">
        <v>368</v>
      </c>
      <c r="F177" s="61"/>
      <c r="G177" s="61"/>
      <c r="H177" s="61" t="s">
        <v>358</v>
      </c>
      <c r="I177" s="61"/>
      <c r="J177" s="61"/>
      <c r="K177" s="137"/>
      <c r="L177" s="137"/>
      <c r="M177" s="137"/>
      <c r="N177" s="137"/>
      <c r="O177" s="137"/>
      <c r="P177" s="137"/>
      <c r="Q177" s="137"/>
      <c r="R177" s="137"/>
      <c r="S177" s="137"/>
      <c r="T177" s="137"/>
      <c r="U177" s="137"/>
      <c r="V177" s="137"/>
      <c r="W177" s="137"/>
      <c r="X177" s="137"/>
      <c r="Y177" s="137"/>
      <c r="Z177" s="137"/>
      <c r="AA177" s="137"/>
      <c r="AB177" s="137"/>
      <c r="AC177" s="137"/>
      <c r="AD177" s="137"/>
      <c r="AE177" s="137"/>
      <c r="AF177" s="137"/>
      <c r="AG177" s="137"/>
      <c r="AH177" s="137"/>
      <c r="AI177" s="137"/>
      <c r="AJ177" s="137"/>
      <c r="AK177" s="137"/>
      <c r="AL177" s="137"/>
    </row>
    <row r="178" spans="1:38" ht="15.75" customHeight="1">
      <c r="A178" s="285" t="s">
        <v>688</v>
      </c>
      <c r="B178" s="286" t="s">
        <v>689</v>
      </c>
      <c r="C178" s="245" t="s">
        <v>704</v>
      </c>
      <c r="D178" s="275"/>
      <c r="E178" s="61" t="s">
        <v>368</v>
      </c>
      <c r="F178" s="61"/>
      <c r="G178" s="61"/>
      <c r="H178" s="61" t="s">
        <v>358</v>
      </c>
      <c r="I178" s="61"/>
      <c r="J178" s="61"/>
      <c r="K178" s="137"/>
      <c r="L178" s="137"/>
      <c r="M178" s="137"/>
      <c r="N178" s="137"/>
      <c r="O178" s="137"/>
      <c r="P178" s="137"/>
      <c r="Q178" s="137"/>
      <c r="R178" s="137"/>
      <c r="S178" s="137"/>
      <c r="T178" s="137"/>
      <c r="U178" s="137"/>
      <c r="V178" s="137"/>
      <c r="W178" s="137"/>
      <c r="X178" s="137"/>
      <c r="Y178" s="137"/>
      <c r="Z178" s="137"/>
      <c r="AA178" s="137"/>
      <c r="AB178" s="137"/>
      <c r="AC178" s="137"/>
      <c r="AD178" s="137"/>
      <c r="AE178" s="137"/>
      <c r="AF178" s="137"/>
      <c r="AG178" s="137"/>
      <c r="AH178" s="137"/>
      <c r="AI178" s="137"/>
      <c r="AJ178" s="137"/>
      <c r="AK178" s="137"/>
      <c r="AL178" s="137"/>
    </row>
    <row r="179" spans="1:38" ht="15.75" customHeight="1">
      <c r="A179" s="285" t="s">
        <v>688</v>
      </c>
      <c r="B179" s="286" t="s">
        <v>689</v>
      </c>
      <c r="C179" s="245" t="s">
        <v>705</v>
      </c>
      <c r="D179" s="272" t="s">
        <v>706</v>
      </c>
      <c r="E179" s="61" t="s">
        <v>368</v>
      </c>
      <c r="F179" s="61"/>
      <c r="G179" s="61"/>
      <c r="H179" s="61" t="s">
        <v>358</v>
      </c>
      <c r="I179" s="61"/>
      <c r="J179" s="61"/>
      <c r="K179" s="137"/>
      <c r="L179" s="137"/>
      <c r="M179" s="137"/>
      <c r="N179" s="137"/>
      <c r="O179" s="137"/>
      <c r="P179" s="137"/>
      <c r="Q179" s="137"/>
      <c r="R179" s="137"/>
      <c r="S179" s="137"/>
      <c r="T179" s="137"/>
      <c r="U179" s="137"/>
      <c r="V179" s="137"/>
      <c r="W179" s="137"/>
      <c r="X179" s="137"/>
      <c r="Y179" s="137"/>
      <c r="Z179" s="137"/>
      <c r="AA179" s="137"/>
      <c r="AB179" s="137"/>
      <c r="AC179" s="137"/>
      <c r="AD179" s="137"/>
      <c r="AE179" s="137"/>
      <c r="AF179" s="137"/>
      <c r="AG179" s="137"/>
      <c r="AH179" s="137"/>
      <c r="AI179" s="137"/>
      <c r="AJ179" s="137"/>
      <c r="AK179" s="137"/>
      <c r="AL179" s="137"/>
    </row>
    <row r="180" spans="1:38" ht="15.75" customHeight="1">
      <c r="A180" s="285" t="s">
        <v>688</v>
      </c>
      <c r="B180" s="286" t="s">
        <v>689</v>
      </c>
      <c r="C180" s="245" t="s">
        <v>707</v>
      </c>
      <c r="D180" s="272" t="s">
        <v>708</v>
      </c>
      <c r="E180" s="61" t="s">
        <v>368</v>
      </c>
      <c r="F180" s="61"/>
      <c r="G180" s="61"/>
      <c r="H180" s="61" t="s">
        <v>358</v>
      </c>
      <c r="I180" s="61"/>
      <c r="J180" s="61"/>
      <c r="K180" s="137"/>
      <c r="L180" s="137"/>
      <c r="M180" s="137"/>
      <c r="N180" s="137"/>
      <c r="O180" s="137"/>
      <c r="P180" s="137"/>
      <c r="Q180" s="137"/>
      <c r="R180" s="137"/>
      <c r="S180" s="137"/>
      <c r="T180" s="137"/>
      <c r="U180" s="137"/>
      <c r="V180" s="137"/>
      <c r="W180" s="137"/>
      <c r="X180" s="137"/>
      <c r="Y180" s="137"/>
      <c r="Z180" s="137"/>
      <c r="AA180" s="137"/>
      <c r="AB180" s="137"/>
      <c r="AC180" s="137"/>
      <c r="AD180" s="137"/>
      <c r="AE180" s="137"/>
      <c r="AF180" s="137"/>
      <c r="AG180" s="137"/>
      <c r="AH180" s="137"/>
      <c r="AI180" s="137"/>
      <c r="AJ180" s="137"/>
      <c r="AK180" s="137"/>
      <c r="AL180" s="137"/>
    </row>
    <row r="181" spans="1:38" ht="15.75" customHeight="1">
      <c r="A181" s="285" t="s">
        <v>688</v>
      </c>
      <c r="B181" s="286" t="s">
        <v>689</v>
      </c>
      <c r="C181" s="245" t="s">
        <v>709</v>
      </c>
      <c r="D181" s="272" t="s">
        <v>710</v>
      </c>
      <c r="E181" s="61" t="s">
        <v>368</v>
      </c>
      <c r="F181" s="61"/>
      <c r="G181" s="61"/>
      <c r="H181" s="61" t="s">
        <v>358</v>
      </c>
      <c r="I181" s="61"/>
      <c r="J181" s="61"/>
      <c r="K181" s="137"/>
      <c r="L181" s="137"/>
      <c r="M181" s="137"/>
      <c r="N181" s="137"/>
      <c r="O181" s="137"/>
      <c r="P181" s="137"/>
      <c r="Q181" s="137"/>
      <c r="R181" s="137"/>
      <c r="S181" s="137"/>
      <c r="T181" s="137"/>
      <c r="U181" s="137"/>
      <c r="V181" s="137"/>
      <c r="W181" s="137"/>
      <c r="X181" s="137"/>
      <c r="Y181" s="137"/>
      <c r="Z181" s="137"/>
      <c r="AA181" s="137"/>
      <c r="AB181" s="137"/>
      <c r="AC181" s="137"/>
      <c r="AD181" s="137"/>
      <c r="AE181" s="137"/>
      <c r="AF181" s="137"/>
      <c r="AG181" s="137"/>
      <c r="AH181" s="137"/>
      <c r="AI181" s="137"/>
      <c r="AJ181" s="137"/>
      <c r="AK181" s="137"/>
      <c r="AL181" s="137"/>
    </row>
    <row r="182" spans="1:38" ht="15.75" customHeight="1">
      <c r="A182" s="285" t="s">
        <v>688</v>
      </c>
      <c r="B182" s="286" t="s">
        <v>689</v>
      </c>
      <c r="C182" s="245" t="s">
        <v>711</v>
      </c>
      <c r="D182" s="272" t="s">
        <v>712</v>
      </c>
      <c r="E182" s="61" t="s">
        <v>368</v>
      </c>
      <c r="F182" s="61"/>
      <c r="G182" s="61"/>
      <c r="H182" s="61"/>
      <c r="I182" s="61"/>
      <c r="J182" s="61" t="s">
        <v>358</v>
      </c>
      <c r="K182" s="137"/>
      <c r="L182" s="137"/>
      <c r="M182" s="137"/>
      <c r="N182" s="137"/>
      <c r="O182" s="137"/>
      <c r="P182" s="137"/>
      <c r="Q182" s="137"/>
      <c r="R182" s="137"/>
      <c r="S182" s="137"/>
      <c r="T182" s="137"/>
      <c r="U182" s="137"/>
      <c r="V182" s="137"/>
      <c r="W182" s="137"/>
      <c r="X182" s="137"/>
      <c r="Y182" s="137"/>
      <c r="Z182" s="137"/>
      <c r="AA182" s="137"/>
      <c r="AB182" s="137"/>
      <c r="AC182" s="137"/>
      <c r="AD182" s="137"/>
      <c r="AE182" s="137"/>
      <c r="AF182" s="137"/>
      <c r="AG182" s="137"/>
      <c r="AH182" s="137"/>
      <c r="AI182" s="137"/>
      <c r="AJ182" s="137"/>
      <c r="AK182" s="137"/>
      <c r="AL182" s="137"/>
    </row>
    <row r="183" spans="1:38" ht="15.75" customHeight="1">
      <c r="A183" s="285" t="s">
        <v>688</v>
      </c>
      <c r="B183" s="286" t="s">
        <v>689</v>
      </c>
      <c r="C183" s="245" t="s">
        <v>713</v>
      </c>
      <c r="D183" s="272" t="s">
        <v>714</v>
      </c>
      <c r="E183" s="61" t="s">
        <v>368</v>
      </c>
      <c r="F183" s="61"/>
      <c r="G183" s="61"/>
      <c r="H183" s="61"/>
      <c r="I183" s="61"/>
      <c r="J183" s="61"/>
      <c r="K183" s="137"/>
      <c r="L183" s="137"/>
      <c r="M183" s="137"/>
      <c r="N183" s="137"/>
      <c r="O183" s="137"/>
      <c r="P183" s="137"/>
      <c r="Q183" s="137"/>
      <c r="R183" s="137"/>
      <c r="S183" s="137"/>
      <c r="T183" s="137"/>
      <c r="U183" s="137"/>
      <c r="V183" s="137"/>
      <c r="W183" s="137"/>
      <c r="X183" s="137"/>
      <c r="Y183" s="137"/>
      <c r="Z183" s="137"/>
      <c r="AA183" s="137"/>
      <c r="AB183" s="137"/>
      <c r="AC183" s="137"/>
      <c r="AD183" s="137"/>
      <c r="AE183" s="137"/>
      <c r="AF183" s="137"/>
      <c r="AG183" s="137"/>
      <c r="AH183" s="137"/>
      <c r="AI183" s="137"/>
      <c r="AJ183" s="137"/>
      <c r="AK183" s="137"/>
      <c r="AL183" s="137"/>
    </row>
    <row r="184" spans="1:38" ht="15.75" customHeight="1">
      <c r="A184" s="285" t="s">
        <v>688</v>
      </c>
      <c r="B184" s="286" t="s">
        <v>715</v>
      </c>
      <c r="C184" s="245" t="s">
        <v>716</v>
      </c>
      <c r="D184" s="275"/>
      <c r="E184" s="61" t="s">
        <v>358</v>
      </c>
      <c r="F184" s="61"/>
      <c r="G184" s="61"/>
      <c r="H184" s="61" t="s">
        <v>361</v>
      </c>
      <c r="I184" s="61"/>
      <c r="J184" s="61"/>
      <c r="K184" s="137"/>
      <c r="L184" s="137"/>
      <c r="M184" s="137"/>
      <c r="N184" s="137"/>
      <c r="O184" s="137"/>
      <c r="P184" s="137"/>
      <c r="Q184" s="137"/>
      <c r="R184" s="137"/>
      <c r="S184" s="137"/>
      <c r="T184" s="137"/>
      <c r="U184" s="137"/>
      <c r="V184" s="137"/>
      <c r="W184" s="137"/>
      <c r="X184" s="137"/>
      <c r="Y184" s="137"/>
      <c r="Z184" s="137"/>
      <c r="AA184" s="137"/>
      <c r="AB184" s="137"/>
      <c r="AC184" s="137"/>
      <c r="AD184" s="137"/>
      <c r="AE184" s="137"/>
      <c r="AF184" s="137"/>
      <c r="AG184" s="137"/>
      <c r="AH184" s="137"/>
      <c r="AI184" s="137"/>
      <c r="AJ184" s="137"/>
      <c r="AK184" s="137"/>
      <c r="AL184" s="137"/>
    </row>
    <row r="185" spans="1:38" ht="15.75" customHeight="1">
      <c r="A185" s="285" t="s">
        <v>688</v>
      </c>
      <c r="B185" s="286" t="s">
        <v>715</v>
      </c>
      <c r="C185" s="245" t="s">
        <v>717</v>
      </c>
      <c r="D185" s="275"/>
      <c r="E185" s="61" t="s">
        <v>358</v>
      </c>
      <c r="F185" s="61"/>
      <c r="G185" s="61"/>
      <c r="H185" s="61" t="s">
        <v>361</v>
      </c>
      <c r="I185" s="61"/>
      <c r="J185" s="61"/>
      <c r="K185" s="137"/>
      <c r="L185" s="137"/>
      <c r="M185" s="137"/>
      <c r="N185" s="137"/>
      <c r="O185" s="137"/>
      <c r="P185" s="137"/>
      <c r="Q185" s="137"/>
      <c r="R185" s="137"/>
      <c r="S185" s="137"/>
      <c r="T185" s="137"/>
      <c r="U185" s="137"/>
      <c r="V185" s="137"/>
      <c r="W185" s="137"/>
      <c r="X185" s="137"/>
      <c r="Y185" s="137"/>
      <c r="Z185" s="137"/>
      <c r="AA185" s="137"/>
      <c r="AB185" s="137"/>
      <c r="AC185" s="137"/>
      <c r="AD185" s="137"/>
      <c r="AE185" s="137"/>
      <c r="AF185" s="137"/>
      <c r="AG185" s="137"/>
      <c r="AH185" s="137"/>
      <c r="AI185" s="137"/>
      <c r="AJ185" s="137"/>
      <c r="AK185" s="137"/>
      <c r="AL185" s="137"/>
    </row>
    <row r="186" spans="1:38" ht="15.75" customHeight="1">
      <c r="A186" s="285" t="s">
        <v>688</v>
      </c>
      <c r="B186" s="286" t="s">
        <v>715</v>
      </c>
      <c r="C186" s="245" t="s">
        <v>718</v>
      </c>
      <c r="D186" s="272" t="s">
        <v>719</v>
      </c>
      <c r="E186" s="61" t="s">
        <v>358</v>
      </c>
      <c r="F186" s="61"/>
      <c r="G186" s="61"/>
      <c r="H186" s="61" t="s">
        <v>361</v>
      </c>
      <c r="I186" s="61"/>
      <c r="J186" s="61"/>
      <c r="K186" s="137"/>
      <c r="L186" s="137"/>
      <c r="M186" s="137"/>
      <c r="N186" s="137"/>
      <c r="O186" s="137"/>
      <c r="P186" s="137"/>
      <c r="Q186" s="137"/>
      <c r="R186" s="137"/>
      <c r="S186" s="137"/>
      <c r="T186" s="137"/>
      <c r="U186" s="137"/>
      <c r="V186" s="137"/>
      <c r="W186" s="137"/>
      <c r="X186" s="137"/>
      <c r="Y186" s="137"/>
      <c r="Z186" s="137"/>
      <c r="AA186" s="137"/>
      <c r="AB186" s="137"/>
      <c r="AC186" s="137"/>
      <c r="AD186" s="137"/>
      <c r="AE186" s="137"/>
      <c r="AF186" s="137"/>
      <c r="AG186" s="137"/>
      <c r="AH186" s="137"/>
      <c r="AI186" s="137"/>
      <c r="AJ186" s="137"/>
      <c r="AK186" s="137"/>
      <c r="AL186" s="137"/>
    </row>
    <row r="187" spans="1:38" ht="15.75" customHeight="1">
      <c r="A187" s="285" t="s">
        <v>688</v>
      </c>
      <c r="B187" s="286" t="s">
        <v>720</v>
      </c>
      <c r="C187" s="245" t="s">
        <v>721</v>
      </c>
      <c r="D187" s="272" t="s">
        <v>722</v>
      </c>
      <c r="E187" s="61" t="s">
        <v>358</v>
      </c>
      <c r="F187" s="61" t="s">
        <v>364</v>
      </c>
      <c r="G187" s="61" t="s">
        <v>361</v>
      </c>
      <c r="H187" s="61" t="s">
        <v>371</v>
      </c>
      <c r="I187" s="61"/>
      <c r="J187" s="61"/>
      <c r="K187" s="137"/>
      <c r="L187" s="137"/>
      <c r="M187" s="137"/>
      <c r="N187" s="137"/>
      <c r="O187" s="137"/>
      <c r="P187" s="137"/>
      <c r="Q187" s="137"/>
      <c r="R187" s="137"/>
      <c r="S187" s="137"/>
      <c r="T187" s="137"/>
      <c r="U187" s="137"/>
      <c r="V187" s="137"/>
      <c r="W187" s="137"/>
      <c r="X187" s="137"/>
      <c r="Y187" s="137"/>
      <c r="Z187" s="137"/>
      <c r="AA187" s="137"/>
      <c r="AB187" s="137"/>
      <c r="AC187" s="137"/>
      <c r="AD187" s="137"/>
      <c r="AE187" s="137"/>
      <c r="AF187" s="137"/>
      <c r="AG187" s="137"/>
      <c r="AH187" s="137"/>
      <c r="AI187" s="137"/>
      <c r="AJ187" s="137"/>
      <c r="AK187" s="137"/>
      <c r="AL187" s="137"/>
    </row>
    <row r="188" spans="1:38" ht="15.75" customHeight="1">
      <c r="A188" s="285" t="s">
        <v>688</v>
      </c>
      <c r="B188" s="286" t="s">
        <v>720</v>
      </c>
      <c r="C188" s="245" t="s">
        <v>723</v>
      </c>
      <c r="D188" s="272" t="s">
        <v>724</v>
      </c>
      <c r="E188" s="61" t="s">
        <v>358</v>
      </c>
      <c r="F188" s="61" t="s">
        <v>364</v>
      </c>
      <c r="G188" s="61" t="s">
        <v>361</v>
      </c>
      <c r="H188" s="61" t="s">
        <v>371</v>
      </c>
      <c r="I188" s="61"/>
      <c r="J188" s="61"/>
      <c r="K188" s="137"/>
      <c r="L188" s="137"/>
      <c r="M188" s="137"/>
      <c r="N188" s="137"/>
      <c r="O188" s="137"/>
      <c r="P188" s="137"/>
      <c r="Q188" s="137"/>
      <c r="R188" s="137"/>
      <c r="S188" s="137"/>
      <c r="T188" s="137"/>
      <c r="U188" s="137"/>
      <c r="V188" s="137"/>
      <c r="W188" s="137"/>
      <c r="X188" s="137"/>
      <c r="Y188" s="137"/>
      <c r="Z188" s="137"/>
      <c r="AA188" s="137"/>
      <c r="AB188" s="137"/>
      <c r="AC188" s="137"/>
      <c r="AD188" s="137"/>
      <c r="AE188" s="137"/>
      <c r="AF188" s="137"/>
      <c r="AG188" s="137"/>
      <c r="AH188" s="137"/>
      <c r="AI188" s="137"/>
      <c r="AJ188" s="137"/>
      <c r="AK188" s="137"/>
      <c r="AL188" s="137"/>
    </row>
    <row r="189" spans="1:38" ht="15.75" customHeight="1">
      <c r="A189" s="285" t="s">
        <v>688</v>
      </c>
      <c r="B189" s="286" t="s">
        <v>720</v>
      </c>
      <c r="C189" s="245" t="s">
        <v>725</v>
      </c>
      <c r="D189" s="272" t="s">
        <v>726</v>
      </c>
      <c r="E189" s="61" t="s">
        <v>358</v>
      </c>
      <c r="F189" s="61" t="s">
        <v>364</v>
      </c>
      <c r="G189" s="61" t="s">
        <v>361</v>
      </c>
      <c r="H189" s="61" t="s">
        <v>371</v>
      </c>
      <c r="I189" s="61"/>
      <c r="J189" s="61"/>
      <c r="K189" s="137"/>
      <c r="L189" s="137"/>
      <c r="M189" s="137"/>
      <c r="N189" s="137"/>
      <c r="O189" s="137"/>
      <c r="P189" s="137"/>
      <c r="Q189" s="137"/>
      <c r="R189" s="137"/>
      <c r="S189" s="137"/>
      <c r="T189" s="137"/>
      <c r="U189" s="137"/>
      <c r="V189" s="137"/>
      <c r="W189" s="137"/>
      <c r="X189" s="137"/>
      <c r="Y189" s="137"/>
      <c r="Z189" s="137"/>
      <c r="AA189" s="137"/>
      <c r="AB189" s="137"/>
      <c r="AC189" s="137"/>
      <c r="AD189" s="137"/>
      <c r="AE189" s="137"/>
      <c r="AF189" s="137"/>
      <c r="AG189" s="137"/>
      <c r="AH189" s="137"/>
      <c r="AI189" s="137"/>
      <c r="AJ189" s="137"/>
      <c r="AK189" s="137"/>
      <c r="AL189" s="137"/>
    </row>
    <row r="190" spans="1:38" ht="15.75" customHeight="1">
      <c r="A190" s="285" t="s">
        <v>688</v>
      </c>
      <c r="B190" s="286" t="s">
        <v>720</v>
      </c>
      <c r="C190" s="245" t="s">
        <v>727</v>
      </c>
      <c r="D190" s="272" t="s">
        <v>728</v>
      </c>
      <c r="E190" s="61" t="s">
        <v>358</v>
      </c>
      <c r="F190" s="61" t="s">
        <v>364</v>
      </c>
      <c r="G190" s="61" t="s">
        <v>361</v>
      </c>
      <c r="H190" s="61" t="s">
        <v>371</v>
      </c>
      <c r="I190" s="61"/>
      <c r="J190" s="61"/>
      <c r="K190" s="137"/>
      <c r="L190" s="137"/>
      <c r="M190" s="137"/>
      <c r="N190" s="137"/>
      <c r="O190" s="137"/>
      <c r="P190" s="137"/>
      <c r="Q190" s="137"/>
      <c r="R190" s="137"/>
      <c r="S190" s="137"/>
      <c r="T190" s="137"/>
      <c r="U190" s="137"/>
      <c r="V190" s="137"/>
      <c r="W190" s="137"/>
      <c r="X190" s="137"/>
      <c r="Y190" s="137"/>
      <c r="Z190" s="137"/>
      <c r="AA190" s="137"/>
      <c r="AB190" s="137"/>
      <c r="AC190" s="137"/>
      <c r="AD190" s="137"/>
      <c r="AE190" s="137"/>
      <c r="AF190" s="137"/>
      <c r="AG190" s="137"/>
      <c r="AH190" s="137"/>
      <c r="AI190" s="137"/>
      <c r="AJ190" s="137"/>
      <c r="AK190" s="137"/>
      <c r="AL190" s="137"/>
    </row>
    <row r="191" spans="1:38" ht="15.75" customHeight="1">
      <c r="A191" s="285" t="s">
        <v>688</v>
      </c>
      <c r="B191" s="286" t="s">
        <v>720</v>
      </c>
      <c r="C191" s="245" t="s">
        <v>729</v>
      </c>
      <c r="D191" s="272" t="s">
        <v>730</v>
      </c>
      <c r="E191" s="61" t="s">
        <v>358</v>
      </c>
      <c r="F191" s="61" t="s">
        <v>364</v>
      </c>
      <c r="G191" s="61" t="s">
        <v>361</v>
      </c>
      <c r="H191" s="61" t="s">
        <v>371</v>
      </c>
      <c r="I191" s="61"/>
      <c r="J191" s="61"/>
      <c r="K191" s="137"/>
      <c r="L191" s="137"/>
      <c r="M191" s="137"/>
      <c r="N191" s="137"/>
      <c r="O191" s="137"/>
      <c r="P191" s="137"/>
      <c r="Q191" s="137"/>
      <c r="R191" s="137"/>
      <c r="S191" s="137"/>
      <c r="T191" s="137"/>
      <c r="U191" s="137"/>
      <c r="V191" s="137"/>
      <c r="W191" s="137"/>
      <c r="X191" s="137"/>
      <c r="Y191" s="137"/>
      <c r="Z191" s="137"/>
      <c r="AA191" s="137"/>
      <c r="AB191" s="137"/>
      <c r="AC191" s="137"/>
      <c r="AD191" s="137"/>
      <c r="AE191" s="137"/>
      <c r="AF191" s="137"/>
      <c r="AG191" s="137"/>
      <c r="AH191" s="137"/>
      <c r="AI191" s="137"/>
      <c r="AJ191" s="137"/>
      <c r="AK191" s="137"/>
      <c r="AL191" s="137"/>
    </row>
    <row r="192" spans="1:38" ht="15.75" customHeight="1">
      <c r="A192" s="285" t="s">
        <v>688</v>
      </c>
      <c r="B192" s="286" t="s">
        <v>720</v>
      </c>
      <c r="C192" s="245" t="s">
        <v>731</v>
      </c>
      <c r="D192" s="272" t="s">
        <v>732</v>
      </c>
      <c r="E192" s="61" t="s">
        <v>358</v>
      </c>
      <c r="F192" s="61" t="s">
        <v>364</v>
      </c>
      <c r="G192" s="61" t="s">
        <v>361</v>
      </c>
      <c r="H192" s="61" t="s">
        <v>371</v>
      </c>
      <c r="I192" s="61"/>
      <c r="J192" s="61"/>
      <c r="K192" s="137"/>
      <c r="L192" s="137"/>
      <c r="M192" s="137"/>
      <c r="N192" s="137"/>
      <c r="O192" s="137"/>
      <c r="P192" s="137"/>
      <c r="Q192" s="137"/>
      <c r="R192" s="137"/>
      <c r="S192" s="137"/>
      <c r="T192" s="137"/>
      <c r="U192" s="137"/>
      <c r="V192" s="137"/>
      <c r="W192" s="137"/>
      <c r="X192" s="137"/>
      <c r="Y192" s="137"/>
      <c r="Z192" s="137"/>
      <c r="AA192" s="137"/>
      <c r="AB192" s="137"/>
      <c r="AC192" s="137"/>
      <c r="AD192" s="137"/>
      <c r="AE192" s="137"/>
      <c r="AF192" s="137"/>
      <c r="AG192" s="137"/>
      <c r="AH192" s="137"/>
      <c r="AI192" s="137"/>
      <c r="AJ192" s="137"/>
      <c r="AK192" s="137"/>
      <c r="AL192" s="137"/>
    </row>
    <row r="193" spans="1:38" ht="15.75" customHeight="1">
      <c r="A193" s="285" t="s">
        <v>688</v>
      </c>
      <c r="B193" s="286" t="s">
        <v>720</v>
      </c>
      <c r="C193" s="245" t="s">
        <v>733</v>
      </c>
      <c r="D193" s="272" t="s">
        <v>734</v>
      </c>
      <c r="E193" s="61" t="s">
        <v>358</v>
      </c>
      <c r="F193" s="61" t="s">
        <v>364</v>
      </c>
      <c r="G193" s="61" t="s">
        <v>361</v>
      </c>
      <c r="H193" s="61" t="s">
        <v>371</v>
      </c>
      <c r="I193" s="61"/>
      <c r="J193" s="61"/>
      <c r="K193" s="137"/>
      <c r="L193" s="137"/>
      <c r="M193" s="137"/>
      <c r="N193" s="137"/>
      <c r="O193" s="137"/>
      <c r="P193" s="137"/>
      <c r="Q193" s="137"/>
      <c r="R193" s="137"/>
      <c r="S193" s="137"/>
      <c r="T193" s="137"/>
      <c r="U193" s="137"/>
      <c r="V193" s="137"/>
      <c r="W193" s="137"/>
      <c r="X193" s="137"/>
      <c r="Y193" s="137"/>
      <c r="Z193" s="137"/>
      <c r="AA193" s="137"/>
      <c r="AB193" s="137"/>
      <c r="AC193" s="137"/>
      <c r="AD193" s="137"/>
      <c r="AE193" s="137"/>
      <c r="AF193" s="137"/>
      <c r="AG193" s="137"/>
      <c r="AH193" s="137"/>
      <c r="AI193" s="137"/>
      <c r="AJ193" s="137"/>
      <c r="AK193" s="137"/>
      <c r="AL193" s="137"/>
    </row>
    <row r="194" spans="1:38" ht="15.75" customHeight="1">
      <c r="A194" s="285" t="s">
        <v>688</v>
      </c>
      <c r="B194" s="286" t="s">
        <v>720</v>
      </c>
      <c r="C194" s="245" t="s">
        <v>735</v>
      </c>
      <c r="D194" s="272" t="s">
        <v>736</v>
      </c>
      <c r="E194" s="61" t="s">
        <v>358</v>
      </c>
      <c r="F194" s="61" t="s">
        <v>364</v>
      </c>
      <c r="G194" s="61" t="s">
        <v>361</v>
      </c>
      <c r="H194" s="61" t="s">
        <v>371</v>
      </c>
      <c r="I194" s="61"/>
      <c r="J194" s="61"/>
      <c r="K194" s="137"/>
      <c r="L194" s="137"/>
      <c r="M194" s="137"/>
      <c r="N194" s="137"/>
      <c r="O194" s="137"/>
      <c r="P194" s="137"/>
      <c r="Q194" s="137"/>
      <c r="R194" s="137"/>
      <c r="S194" s="137"/>
      <c r="T194" s="137"/>
      <c r="U194" s="137"/>
      <c r="V194" s="137"/>
      <c r="W194" s="137"/>
      <c r="X194" s="137"/>
      <c r="Y194" s="137"/>
      <c r="Z194" s="137"/>
      <c r="AA194" s="137"/>
      <c r="AB194" s="137"/>
      <c r="AC194" s="137"/>
      <c r="AD194" s="137"/>
      <c r="AE194" s="137"/>
      <c r="AF194" s="137"/>
      <c r="AG194" s="137"/>
      <c r="AH194" s="137"/>
      <c r="AI194" s="137"/>
      <c r="AJ194" s="137"/>
      <c r="AK194" s="137"/>
      <c r="AL194" s="137"/>
    </row>
    <row r="195" spans="1:38" ht="15.75" customHeight="1">
      <c r="A195" s="285" t="s">
        <v>688</v>
      </c>
      <c r="B195" s="286" t="s">
        <v>720</v>
      </c>
      <c r="C195" s="245" t="s">
        <v>737</v>
      </c>
      <c r="D195" s="272" t="s">
        <v>738</v>
      </c>
      <c r="E195" s="61" t="s">
        <v>358</v>
      </c>
      <c r="F195" s="61" t="s">
        <v>364</v>
      </c>
      <c r="G195" s="61" t="s">
        <v>361</v>
      </c>
      <c r="H195" s="61" t="s">
        <v>371</v>
      </c>
      <c r="I195" s="61"/>
      <c r="J195" s="61"/>
      <c r="K195" s="137"/>
      <c r="L195" s="137"/>
      <c r="M195" s="137"/>
      <c r="N195" s="137"/>
      <c r="O195" s="137"/>
      <c r="P195" s="137"/>
      <c r="Q195" s="137"/>
      <c r="R195" s="137"/>
      <c r="S195" s="137"/>
      <c r="T195" s="137"/>
      <c r="U195" s="137"/>
      <c r="V195" s="137"/>
      <c r="W195" s="137"/>
      <c r="X195" s="137"/>
      <c r="Y195" s="137"/>
      <c r="Z195" s="137"/>
      <c r="AA195" s="137"/>
      <c r="AB195" s="137"/>
      <c r="AC195" s="137"/>
      <c r="AD195" s="137"/>
      <c r="AE195" s="137"/>
      <c r="AF195" s="137"/>
      <c r="AG195" s="137"/>
      <c r="AH195" s="137"/>
      <c r="AI195" s="137"/>
      <c r="AJ195" s="137"/>
      <c r="AK195" s="137"/>
      <c r="AL195" s="137"/>
    </row>
    <row r="196" spans="1:38" ht="15.75" customHeight="1">
      <c r="A196" s="285" t="s">
        <v>688</v>
      </c>
      <c r="B196" s="286" t="s">
        <v>739</v>
      </c>
      <c r="C196" s="245" t="s">
        <v>740</v>
      </c>
      <c r="D196" s="272" t="s">
        <v>741</v>
      </c>
      <c r="E196" s="61" t="s">
        <v>374</v>
      </c>
      <c r="F196" s="61"/>
      <c r="G196" s="61"/>
      <c r="H196" s="61" t="s">
        <v>368</v>
      </c>
      <c r="I196" s="61"/>
      <c r="J196" s="61" t="s">
        <v>358</v>
      </c>
      <c r="K196" s="137"/>
      <c r="L196" s="137"/>
      <c r="M196" s="137"/>
      <c r="N196" s="137"/>
      <c r="O196" s="137"/>
      <c r="P196" s="137"/>
      <c r="Q196" s="137"/>
      <c r="R196" s="137"/>
      <c r="S196" s="137"/>
      <c r="T196" s="137"/>
      <c r="U196" s="137"/>
      <c r="V196" s="137"/>
      <c r="W196" s="137"/>
      <c r="X196" s="137"/>
      <c r="Y196" s="137"/>
      <c r="Z196" s="137"/>
      <c r="AA196" s="137"/>
      <c r="AB196" s="137"/>
      <c r="AC196" s="137"/>
      <c r="AD196" s="137"/>
      <c r="AE196" s="137"/>
      <c r="AF196" s="137"/>
      <c r="AG196" s="137"/>
      <c r="AH196" s="137"/>
      <c r="AI196" s="137"/>
      <c r="AJ196" s="137"/>
      <c r="AK196" s="137"/>
      <c r="AL196" s="137"/>
    </row>
    <row r="197" spans="1:38" ht="15.75" customHeight="1">
      <c r="A197" s="285" t="s">
        <v>688</v>
      </c>
      <c r="B197" s="286" t="s">
        <v>739</v>
      </c>
      <c r="C197" s="245" t="s">
        <v>742</v>
      </c>
      <c r="D197" s="272" t="s">
        <v>743</v>
      </c>
      <c r="E197" s="61" t="s">
        <v>374</v>
      </c>
      <c r="F197" s="61" t="s">
        <v>368</v>
      </c>
      <c r="G197" s="61"/>
      <c r="H197" s="61"/>
      <c r="I197" s="61"/>
      <c r="J197" s="61" t="s">
        <v>358</v>
      </c>
      <c r="K197" s="137"/>
      <c r="L197" s="137"/>
      <c r="M197" s="137"/>
      <c r="N197" s="137"/>
      <c r="O197" s="137"/>
      <c r="P197" s="137"/>
      <c r="Q197" s="137"/>
      <c r="R197" s="137"/>
      <c r="S197" s="137"/>
      <c r="T197" s="137"/>
      <c r="U197" s="137"/>
      <c r="V197" s="137"/>
      <c r="W197" s="137"/>
      <c r="X197" s="137"/>
      <c r="Y197" s="137"/>
      <c r="Z197" s="137"/>
      <c r="AA197" s="137"/>
      <c r="AB197" s="137"/>
      <c r="AC197" s="137"/>
      <c r="AD197" s="137"/>
      <c r="AE197" s="137"/>
      <c r="AF197" s="137"/>
      <c r="AG197" s="137"/>
      <c r="AH197" s="137"/>
      <c r="AI197" s="137"/>
      <c r="AJ197" s="137"/>
      <c r="AK197" s="137"/>
      <c r="AL197" s="137"/>
    </row>
    <row r="198" spans="1:38" ht="15.75" customHeight="1">
      <c r="A198" s="285" t="s">
        <v>688</v>
      </c>
      <c r="B198" s="286" t="s">
        <v>739</v>
      </c>
      <c r="C198" s="245" t="s">
        <v>744</v>
      </c>
      <c r="D198" s="272" t="s">
        <v>745</v>
      </c>
      <c r="E198" s="61" t="s">
        <v>374</v>
      </c>
      <c r="F198" s="61" t="s">
        <v>368</v>
      </c>
      <c r="G198" s="61"/>
      <c r="H198" s="61"/>
      <c r="I198" s="61"/>
      <c r="J198" s="61" t="s">
        <v>358</v>
      </c>
      <c r="K198" s="137"/>
      <c r="L198" s="137"/>
      <c r="M198" s="137"/>
      <c r="N198" s="137"/>
      <c r="O198" s="137"/>
      <c r="P198" s="137"/>
      <c r="Q198" s="137"/>
      <c r="R198" s="137"/>
      <c r="S198" s="137"/>
      <c r="T198" s="137"/>
      <c r="U198" s="137"/>
      <c r="V198" s="137"/>
      <c r="W198" s="137"/>
      <c r="X198" s="137"/>
      <c r="Y198" s="137"/>
      <c r="Z198" s="137"/>
      <c r="AA198" s="137"/>
      <c r="AB198" s="137"/>
      <c r="AC198" s="137"/>
      <c r="AD198" s="137"/>
      <c r="AE198" s="137"/>
      <c r="AF198" s="137"/>
      <c r="AG198" s="137"/>
      <c r="AH198" s="137"/>
      <c r="AI198" s="137"/>
      <c r="AJ198" s="137"/>
      <c r="AK198" s="137"/>
      <c r="AL198" s="137"/>
    </row>
    <row r="199" spans="1:38" ht="15.75" customHeight="1">
      <c r="A199" s="285" t="s">
        <v>688</v>
      </c>
      <c r="B199" s="286" t="s">
        <v>739</v>
      </c>
      <c r="C199" s="245" t="s">
        <v>746</v>
      </c>
      <c r="D199" s="272" t="s">
        <v>747</v>
      </c>
      <c r="E199" s="61" t="s">
        <v>374</v>
      </c>
      <c r="F199" s="61"/>
      <c r="G199" s="61"/>
      <c r="H199" s="61" t="s">
        <v>368</v>
      </c>
      <c r="I199" s="61"/>
      <c r="J199" s="61" t="s">
        <v>358</v>
      </c>
      <c r="K199" s="137"/>
      <c r="L199" s="137"/>
      <c r="M199" s="137"/>
      <c r="N199" s="137"/>
      <c r="O199" s="137"/>
      <c r="P199" s="137"/>
      <c r="Q199" s="137"/>
      <c r="R199" s="137"/>
      <c r="S199" s="137"/>
      <c r="T199" s="137"/>
      <c r="U199" s="137"/>
      <c r="V199" s="137"/>
      <c r="W199" s="137"/>
      <c r="X199" s="137"/>
      <c r="Y199" s="137"/>
      <c r="Z199" s="137"/>
      <c r="AA199" s="137"/>
      <c r="AB199" s="137"/>
      <c r="AC199" s="137"/>
      <c r="AD199" s="137"/>
      <c r="AE199" s="137"/>
      <c r="AF199" s="137"/>
      <c r="AG199" s="137"/>
      <c r="AH199" s="137"/>
      <c r="AI199" s="137"/>
      <c r="AJ199" s="137"/>
      <c r="AK199" s="137"/>
      <c r="AL199" s="137"/>
    </row>
    <row r="200" spans="1:38" ht="15.75" customHeight="1">
      <c r="A200" s="285" t="s">
        <v>688</v>
      </c>
      <c r="B200" s="286" t="s">
        <v>739</v>
      </c>
      <c r="C200" s="245" t="s">
        <v>748</v>
      </c>
      <c r="D200" s="272" t="s">
        <v>749</v>
      </c>
      <c r="E200" s="274" t="s">
        <v>374</v>
      </c>
      <c r="F200" s="274" t="s">
        <v>368</v>
      </c>
      <c r="G200" s="274"/>
      <c r="H200" s="274"/>
      <c r="I200" s="274"/>
      <c r="J200" s="274" t="s">
        <v>358</v>
      </c>
      <c r="K200" s="137"/>
      <c r="L200" s="137"/>
      <c r="M200" s="137"/>
      <c r="N200" s="137"/>
      <c r="O200" s="137"/>
      <c r="P200" s="137"/>
      <c r="Q200" s="137"/>
      <c r="R200" s="137"/>
      <c r="S200" s="137"/>
      <c r="T200" s="137"/>
      <c r="U200" s="137"/>
      <c r="V200" s="137"/>
      <c r="W200" s="137"/>
      <c r="X200" s="137"/>
      <c r="Y200" s="137"/>
      <c r="Z200" s="137"/>
      <c r="AA200" s="137"/>
      <c r="AB200" s="137"/>
      <c r="AC200" s="137"/>
      <c r="AD200" s="137"/>
      <c r="AE200" s="137"/>
      <c r="AF200" s="137"/>
      <c r="AG200" s="137"/>
      <c r="AH200" s="137"/>
      <c r="AI200" s="137"/>
      <c r="AJ200" s="137"/>
      <c r="AK200" s="137"/>
      <c r="AL200" s="137"/>
    </row>
    <row r="201" spans="1:38" ht="15.75" customHeight="1">
      <c r="A201" s="285" t="s">
        <v>688</v>
      </c>
      <c r="B201" s="286" t="s">
        <v>750</v>
      </c>
      <c r="C201" s="245" t="s">
        <v>751</v>
      </c>
      <c r="D201" s="272" t="s">
        <v>752</v>
      </c>
      <c r="E201" s="61" t="s">
        <v>374</v>
      </c>
      <c r="F201" s="61"/>
      <c r="G201" s="61"/>
      <c r="H201" s="61" t="s">
        <v>368</v>
      </c>
      <c r="I201" s="61"/>
      <c r="J201" s="61" t="s">
        <v>358</v>
      </c>
      <c r="K201" s="137"/>
      <c r="L201" s="137"/>
      <c r="M201" s="137"/>
      <c r="N201" s="137"/>
      <c r="O201" s="137"/>
      <c r="P201" s="137"/>
      <c r="Q201" s="137"/>
      <c r="R201" s="137"/>
      <c r="S201" s="137"/>
      <c r="T201" s="137"/>
      <c r="U201" s="137"/>
      <c r="V201" s="137"/>
      <c r="W201" s="137"/>
      <c r="X201" s="137"/>
      <c r="Y201" s="137"/>
      <c r="Z201" s="137"/>
      <c r="AA201" s="137"/>
      <c r="AB201" s="137"/>
      <c r="AC201" s="137"/>
      <c r="AD201" s="137"/>
      <c r="AE201" s="137"/>
      <c r="AF201" s="137"/>
      <c r="AG201" s="137"/>
      <c r="AH201" s="137"/>
      <c r="AI201" s="137"/>
      <c r="AJ201" s="137"/>
      <c r="AK201" s="137"/>
      <c r="AL201" s="137"/>
    </row>
    <row r="202" spans="1:38" ht="15.75" customHeight="1">
      <c r="A202" s="285" t="s">
        <v>688</v>
      </c>
      <c r="B202" s="286" t="s">
        <v>750</v>
      </c>
      <c r="C202" s="245" t="s">
        <v>753</v>
      </c>
      <c r="D202" s="272" t="s">
        <v>754</v>
      </c>
      <c r="E202" s="61" t="s">
        <v>374</v>
      </c>
      <c r="F202" s="61"/>
      <c r="G202" s="61"/>
      <c r="H202" s="61" t="s">
        <v>368</v>
      </c>
      <c r="I202" s="61"/>
      <c r="J202" s="61" t="s">
        <v>358</v>
      </c>
      <c r="K202" s="137"/>
      <c r="L202" s="137"/>
      <c r="M202" s="137"/>
      <c r="N202" s="137"/>
      <c r="O202" s="137"/>
      <c r="P202" s="137"/>
      <c r="Q202" s="137"/>
      <c r="R202" s="137"/>
      <c r="S202" s="137"/>
      <c r="T202" s="137"/>
      <c r="U202" s="137"/>
      <c r="V202" s="137"/>
      <c r="W202" s="137"/>
      <c r="X202" s="137"/>
      <c r="Y202" s="137"/>
      <c r="Z202" s="137"/>
      <c r="AA202" s="137"/>
      <c r="AB202" s="137"/>
      <c r="AC202" s="137"/>
      <c r="AD202" s="137"/>
      <c r="AE202" s="137"/>
      <c r="AF202" s="137"/>
      <c r="AG202" s="137"/>
      <c r="AH202" s="137"/>
      <c r="AI202" s="137"/>
      <c r="AJ202" s="137"/>
      <c r="AK202" s="137"/>
      <c r="AL202" s="137"/>
    </row>
    <row r="203" spans="1:38" ht="15.75" customHeight="1">
      <c r="A203" s="285" t="s">
        <v>688</v>
      </c>
      <c r="B203" s="286" t="s">
        <v>750</v>
      </c>
      <c r="C203" s="245" t="s">
        <v>755</v>
      </c>
      <c r="D203" s="272" t="s">
        <v>756</v>
      </c>
      <c r="E203" s="61" t="s">
        <v>374</v>
      </c>
      <c r="F203" s="61"/>
      <c r="G203" s="61"/>
      <c r="H203" s="61" t="s">
        <v>368</v>
      </c>
      <c r="I203" s="61"/>
      <c r="J203" s="61" t="s">
        <v>358</v>
      </c>
      <c r="K203" s="137"/>
      <c r="L203" s="137"/>
      <c r="M203" s="137"/>
      <c r="N203" s="137"/>
      <c r="O203" s="137"/>
      <c r="P203" s="137"/>
      <c r="Q203" s="137"/>
      <c r="R203" s="137"/>
      <c r="S203" s="137"/>
      <c r="T203" s="137"/>
      <c r="U203" s="137"/>
      <c r="V203" s="137"/>
      <c r="W203" s="137"/>
      <c r="X203" s="137"/>
      <c r="Y203" s="137"/>
      <c r="Z203" s="137"/>
      <c r="AA203" s="137"/>
      <c r="AB203" s="137"/>
      <c r="AC203" s="137"/>
      <c r="AD203" s="137"/>
      <c r="AE203" s="137"/>
      <c r="AF203" s="137"/>
      <c r="AG203" s="137"/>
      <c r="AH203" s="137"/>
      <c r="AI203" s="137"/>
      <c r="AJ203" s="137"/>
      <c r="AK203" s="137"/>
      <c r="AL203" s="137"/>
    </row>
    <row r="204" spans="1:38" ht="15.75" customHeight="1">
      <c r="A204" s="285" t="s">
        <v>688</v>
      </c>
      <c r="B204" s="286" t="s">
        <v>757</v>
      </c>
      <c r="C204" s="245" t="s">
        <v>758</v>
      </c>
      <c r="D204" s="272" t="s">
        <v>759</v>
      </c>
      <c r="E204" s="61" t="s">
        <v>358</v>
      </c>
      <c r="F204" s="61"/>
      <c r="G204" s="61"/>
      <c r="H204" s="61" t="s">
        <v>361</v>
      </c>
      <c r="I204" s="61"/>
      <c r="J204" s="61" t="s">
        <v>374</v>
      </c>
      <c r="K204" s="137"/>
      <c r="L204" s="137"/>
      <c r="M204" s="137"/>
      <c r="N204" s="137"/>
      <c r="O204" s="137"/>
      <c r="P204" s="137"/>
      <c r="Q204" s="137"/>
      <c r="R204" s="137"/>
      <c r="S204" s="137"/>
      <c r="T204" s="137"/>
      <c r="U204" s="137"/>
      <c r="V204" s="137"/>
      <c r="W204" s="137"/>
      <c r="X204" s="137"/>
      <c r="Y204" s="137"/>
      <c r="Z204" s="137"/>
      <c r="AA204" s="137"/>
      <c r="AB204" s="137"/>
      <c r="AC204" s="137"/>
      <c r="AD204" s="137"/>
      <c r="AE204" s="137"/>
      <c r="AF204" s="137"/>
      <c r="AG204" s="137"/>
      <c r="AH204" s="137"/>
      <c r="AI204" s="137"/>
      <c r="AJ204" s="137"/>
      <c r="AK204" s="137"/>
      <c r="AL204" s="137"/>
    </row>
    <row r="205" spans="1:38" ht="15.75" customHeight="1">
      <c r="A205" s="285" t="s">
        <v>688</v>
      </c>
      <c r="B205" s="286" t="s">
        <v>757</v>
      </c>
      <c r="C205" s="245" t="s">
        <v>760</v>
      </c>
      <c r="D205" s="272" t="s">
        <v>761</v>
      </c>
      <c r="E205" s="61" t="s">
        <v>358</v>
      </c>
      <c r="F205" s="61"/>
      <c r="G205" s="61"/>
      <c r="H205" s="61" t="s">
        <v>361</v>
      </c>
      <c r="I205" s="61" t="s">
        <v>374</v>
      </c>
      <c r="J205" s="61"/>
      <c r="K205" s="137"/>
      <c r="L205" s="137"/>
      <c r="M205" s="137"/>
      <c r="N205" s="137"/>
      <c r="O205" s="137"/>
      <c r="P205" s="137"/>
      <c r="Q205" s="137"/>
      <c r="R205" s="137"/>
      <c r="S205" s="137"/>
      <c r="T205" s="137"/>
      <c r="U205" s="137"/>
      <c r="V205" s="137"/>
      <c r="W205" s="137"/>
      <c r="X205" s="137"/>
      <c r="Y205" s="137"/>
      <c r="Z205" s="137"/>
      <c r="AA205" s="137"/>
      <c r="AB205" s="137"/>
      <c r="AC205" s="137"/>
      <c r="AD205" s="137"/>
      <c r="AE205" s="137"/>
      <c r="AF205" s="137"/>
      <c r="AG205" s="137"/>
      <c r="AH205" s="137"/>
      <c r="AI205" s="137"/>
      <c r="AJ205" s="137"/>
      <c r="AK205" s="137"/>
      <c r="AL205" s="137"/>
    </row>
    <row r="206" spans="1:38" ht="15.75" customHeight="1">
      <c r="A206" s="285" t="s">
        <v>688</v>
      </c>
      <c r="B206" s="286" t="s">
        <v>757</v>
      </c>
      <c r="C206" s="245" t="s">
        <v>762</v>
      </c>
      <c r="D206" s="272" t="s">
        <v>763</v>
      </c>
      <c r="E206" s="61" t="s">
        <v>358</v>
      </c>
      <c r="F206" s="61"/>
      <c r="G206" s="61"/>
      <c r="H206" s="61" t="s">
        <v>361</v>
      </c>
      <c r="I206" s="61" t="s">
        <v>374</v>
      </c>
      <c r="J206" s="61"/>
      <c r="K206" s="137"/>
      <c r="L206" s="137"/>
      <c r="M206" s="137"/>
      <c r="N206" s="137"/>
      <c r="O206" s="137"/>
      <c r="P206" s="137"/>
      <c r="Q206" s="137"/>
      <c r="R206" s="137"/>
      <c r="S206" s="137"/>
      <c r="T206" s="137"/>
      <c r="U206" s="137"/>
      <c r="V206" s="137"/>
      <c r="W206" s="137"/>
      <c r="X206" s="137"/>
      <c r="Y206" s="137"/>
      <c r="Z206" s="137"/>
      <c r="AA206" s="137"/>
      <c r="AB206" s="137"/>
      <c r="AC206" s="137"/>
      <c r="AD206" s="137"/>
      <c r="AE206" s="137"/>
      <c r="AF206" s="137"/>
      <c r="AG206" s="137"/>
      <c r="AH206" s="137"/>
      <c r="AI206" s="137"/>
      <c r="AJ206" s="137"/>
      <c r="AK206" s="137"/>
      <c r="AL206" s="137"/>
    </row>
    <row r="207" spans="1:38" ht="15.75" customHeight="1">
      <c r="A207" s="285" t="s">
        <v>688</v>
      </c>
      <c r="B207" s="286" t="s">
        <v>757</v>
      </c>
      <c r="C207" s="245" t="s">
        <v>764</v>
      </c>
      <c r="D207" s="275"/>
      <c r="E207" s="61" t="s">
        <v>358</v>
      </c>
      <c r="F207" s="61"/>
      <c r="G207" s="61"/>
      <c r="H207" s="61" t="s">
        <v>361</v>
      </c>
      <c r="I207" s="61"/>
      <c r="J207" s="61" t="s">
        <v>374</v>
      </c>
      <c r="K207" s="137"/>
      <c r="L207" s="137"/>
      <c r="M207" s="137"/>
      <c r="N207" s="137"/>
      <c r="O207" s="137"/>
      <c r="P207" s="137"/>
      <c r="Q207" s="137"/>
      <c r="R207" s="137"/>
      <c r="S207" s="137"/>
      <c r="T207" s="137"/>
      <c r="U207" s="137"/>
      <c r="V207" s="137"/>
      <c r="W207" s="137"/>
      <c r="X207" s="137"/>
      <c r="Y207" s="137"/>
      <c r="Z207" s="137"/>
      <c r="AA207" s="137"/>
      <c r="AB207" s="137"/>
      <c r="AC207" s="137"/>
      <c r="AD207" s="137"/>
      <c r="AE207" s="137"/>
      <c r="AF207" s="137"/>
      <c r="AG207" s="137"/>
      <c r="AH207" s="137"/>
      <c r="AI207" s="137"/>
      <c r="AJ207" s="137"/>
      <c r="AK207" s="137"/>
      <c r="AL207" s="137"/>
    </row>
    <row r="208" spans="1:38" ht="15.75" customHeight="1">
      <c r="A208" s="285" t="s">
        <v>688</v>
      </c>
      <c r="B208" s="286" t="s">
        <v>757</v>
      </c>
      <c r="C208" s="245" t="s">
        <v>152</v>
      </c>
      <c r="D208" s="272" t="s">
        <v>765</v>
      </c>
      <c r="E208" s="61" t="s">
        <v>358</v>
      </c>
      <c r="F208" s="61"/>
      <c r="G208" s="61"/>
      <c r="H208" s="61" t="s">
        <v>361</v>
      </c>
      <c r="I208" s="61"/>
      <c r="J208" s="61" t="s">
        <v>374</v>
      </c>
      <c r="K208" s="137"/>
      <c r="L208" s="137"/>
      <c r="M208" s="137"/>
      <c r="N208" s="137"/>
      <c r="O208" s="137"/>
      <c r="P208" s="137"/>
      <c r="Q208" s="137"/>
      <c r="R208" s="137"/>
      <c r="S208" s="137"/>
      <c r="T208" s="137"/>
      <c r="U208" s="137"/>
      <c r="V208" s="137"/>
      <c r="W208" s="137"/>
      <c r="X208" s="137"/>
      <c r="Y208" s="137"/>
      <c r="Z208" s="137"/>
      <c r="AA208" s="137"/>
      <c r="AB208" s="137"/>
      <c r="AC208" s="137"/>
      <c r="AD208" s="137"/>
      <c r="AE208" s="137"/>
      <c r="AF208" s="137"/>
      <c r="AG208" s="137"/>
      <c r="AH208" s="137"/>
      <c r="AI208" s="137"/>
      <c r="AJ208" s="137"/>
      <c r="AK208" s="137"/>
      <c r="AL208" s="137"/>
    </row>
    <row r="209" spans="1:38" ht="15.75" customHeight="1">
      <c r="A209" s="285" t="s">
        <v>688</v>
      </c>
      <c r="B209" s="286" t="s">
        <v>757</v>
      </c>
      <c r="C209" s="245" t="s">
        <v>766</v>
      </c>
      <c r="D209" s="272" t="s">
        <v>767</v>
      </c>
      <c r="E209" s="61" t="s">
        <v>358</v>
      </c>
      <c r="F209" s="61"/>
      <c r="G209" s="61"/>
      <c r="H209" s="61" t="s">
        <v>361</v>
      </c>
      <c r="I209" s="61" t="s">
        <v>374</v>
      </c>
      <c r="J209" s="61"/>
      <c r="K209" s="137"/>
      <c r="L209" s="137"/>
      <c r="M209" s="137"/>
      <c r="N209" s="137"/>
      <c r="O209" s="137"/>
      <c r="P209" s="137"/>
      <c r="Q209" s="137"/>
      <c r="R209" s="137"/>
      <c r="S209" s="137"/>
      <c r="T209" s="137"/>
      <c r="U209" s="137"/>
      <c r="V209" s="137"/>
      <c r="W209" s="137"/>
      <c r="X209" s="137"/>
      <c r="Y209" s="137"/>
      <c r="Z209" s="137"/>
      <c r="AA209" s="137"/>
      <c r="AB209" s="137"/>
      <c r="AC209" s="137"/>
      <c r="AD209" s="137"/>
      <c r="AE209" s="137"/>
      <c r="AF209" s="137"/>
      <c r="AG209" s="137"/>
      <c r="AH209" s="137"/>
      <c r="AI209" s="137"/>
      <c r="AJ209" s="137"/>
      <c r="AK209" s="137"/>
      <c r="AL209" s="137"/>
    </row>
    <row r="210" spans="1:38" ht="15.75" customHeight="1">
      <c r="A210" s="285" t="s">
        <v>688</v>
      </c>
      <c r="B210" s="286" t="s">
        <v>757</v>
      </c>
      <c r="C210" s="245" t="s">
        <v>768</v>
      </c>
      <c r="D210" s="272" t="s">
        <v>769</v>
      </c>
      <c r="E210" s="61" t="s">
        <v>358</v>
      </c>
      <c r="F210" s="61"/>
      <c r="G210" s="61"/>
      <c r="H210" s="61" t="s">
        <v>361</v>
      </c>
      <c r="I210" s="61" t="s">
        <v>374</v>
      </c>
      <c r="J210" s="61"/>
      <c r="K210" s="137"/>
      <c r="L210" s="137"/>
      <c r="M210" s="137"/>
      <c r="N210" s="137"/>
      <c r="O210" s="137"/>
      <c r="P210" s="137"/>
      <c r="Q210" s="137"/>
      <c r="R210" s="137"/>
      <c r="S210" s="137"/>
      <c r="T210" s="137"/>
      <c r="U210" s="137"/>
      <c r="V210" s="137"/>
      <c r="W210" s="137"/>
      <c r="X210" s="137"/>
      <c r="Y210" s="137"/>
      <c r="Z210" s="137"/>
      <c r="AA210" s="137"/>
      <c r="AB210" s="137"/>
      <c r="AC210" s="137"/>
      <c r="AD210" s="137"/>
      <c r="AE210" s="137"/>
      <c r="AF210" s="137"/>
      <c r="AG210" s="137"/>
      <c r="AH210" s="137"/>
      <c r="AI210" s="137"/>
      <c r="AJ210" s="137"/>
      <c r="AK210" s="137"/>
      <c r="AL210" s="137"/>
    </row>
    <row r="211" spans="1:38" ht="15.75" customHeight="1">
      <c r="A211" s="285" t="s">
        <v>688</v>
      </c>
      <c r="B211" s="286" t="s">
        <v>757</v>
      </c>
      <c r="C211" s="245" t="s">
        <v>160</v>
      </c>
      <c r="D211" s="272" t="s">
        <v>770</v>
      </c>
      <c r="E211" s="61" t="s">
        <v>358</v>
      </c>
      <c r="F211" s="61"/>
      <c r="G211" s="61"/>
      <c r="H211" s="61" t="s">
        <v>361</v>
      </c>
      <c r="I211" s="61" t="s">
        <v>374</v>
      </c>
      <c r="J211" s="61"/>
      <c r="K211" s="137"/>
      <c r="L211" s="137"/>
      <c r="M211" s="137"/>
      <c r="N211" s="137"/>
      <c r="O211" s="137"/>
      <c r="P211" s="137"/>
      <c r="Q211" s="137"/>
      <c r="R211" s="137"/>
      <c r="S211" s="137"/>
      <c r="T211" s="137"/>
      <c r="U211" s="137"/>
      <c r="V211" s="137"/>
      <c r="W211" s="137"/>
      <c r="X211" s="137"/>
      <c r="Y211" s="137"/>
      <c r="Z211" s="137"/>
      <c r="AA211" s="137"/>
      <c r="AB211" s="137"/>
      <c r="AC211" s="137"/>
      <c r="AD211" s="137"/>
      <c r="AE211" s="137"/>
      <c r="AF211" s="137"/>
      <c r="AG211" s="137"/>
      <c r="AH211" s="137"/>
      <c r="AI211" s="137"/>
      <c r="AJ211" s="137"/>
      <c r="AK211" s="137"/>
      <c r="AL211" s="137"/>
    </row>
    <row r="212" spans="1:38" ht="15.75" customHeight="1">
      <c r="A212" s="285" t="s">
        <v>688</v>
      </c>
      <c r="B212" s="286" t="s">
        <v>757</v>
      </c>
      <c r="C212" s="245" t="s">
        <v>771</v>
      </c>
      <c r="D212" s="272" t="s">
        <v>772</v>
      </c>
      <c r="E212" s="61" t="s">
        <v>358</v>
      </c>
      <c r="F212" s="61"/>
      <c r="G212" s="61"/>
      <c r="H212" s="61" t="s">
        <v>361</v>
      </c>
      <c r="I212" s="61" t="s">
        <v>374</v>
      </c>
      <c r="J212" s="61"/>
      <c r="K212" s="137"/>
      <c r="L212" s="137"/>
      <c r="M212" s="137"/>
      <c r="N212" s="137"/>
      <c r="O212" s="137"/>
      <c r="P212" s="137"/>
      <c r="Q212" s="137"/>
      <c r="R212" s="137"/>
      <c r="S212" s="137"/>
      <c r="T212" s="137"/>
      <c r="U212" s="137"/>
      <c r="V212" s="137"/>
      <c r="W212" s="137"/>
      <c r="X212" s="137"/>
      <c r="Y212" s="137"/>
      <c r="Z212" s="137"/>
      <c r="AA212" s="137"/>
      <c r="AB212" s="137"/>
      <c r="AC212" s="137"/>
      <c r="AD212" s="137"/>
      <c r="AE212" s="137"/>
      <c r="AF212" s="137"/>
      <c r="AG212" s="137"/>
      <c r="AH212" s="137"/>
      <c r="AI212" s="137"/>
      <c r="AJ212" s="137"/>
      <c r="AK212" s="137"/>
      <c r="AL212" s="137"/>
    </row>
    <row r="213" spans="1:38" ht="15.75" customHeight="1">
      <c r="A213" s="285" t="s">
        <v>688</v>
      </c>
      <c r="B213" s="286" t="s">
        <v>757</v>
      </c>
      <c r="C213" s="245" t="s">
        <v>773</v>
      </c>
      <c r="D213" s="272" t="s">
        <v>774</v>
      </c>
      <c r="E213" s="61" t="s">
        <v>358</v>
      </c>
      <c r="F213" s="61"/>
      <c r="G213" s="61"/>
      <c r="H213" s="61" t="s">
        <v>361</v>
      </c>
      <c r="I213" s="61" t="s">
        <v>374</v>
      </c>
      <c r="J213" s="61"/>
      <c r="K213" s="137"/>
      <c r="L213" s="137"/>
      <c r="M213" s="137"/>
      <c r="N213" s="137"/>
      <c r="O213" s="137"/>
      <c r="P213" s="137"/>
      <c r="Q213" s="137"/>
      <c r="R213" s="137"/>
      <c r="S213" s="137"/>
      <c r="T213" s="137"/>
      <c r="U213" s="137"/>
      <c r="V213" s="137"/>
      <c r="W213" s="137"/>
      <c r="X213" s="137"/>
      <c r="Y213" s="137"/>
      <c r="Z213" s="137"/>
      <c r="AA213" s="137"/>
      <c r="AB213" s="137"/>
      <c r="AC213" s="137"/>
      <c r="AD213" s="137"/>
      <c r="AE213" s="137"/>
      <c r="AF213" s="137"/>
      <c r="AG213" s="137"/>
      <c r="AH213" s="137"/>
      <c r="AI213" s="137"/>
      <c r="AJ213" s="137"/>
      <c r="AK213" s="137"/>
      <c r="AL213" s="137"/>
    </row>
    <row r="214" spans="1:38" ht="15.75" customHeight="1">
      <c r="A214" s="285" t="s">
        <v>688</v>
      </c>
      <c r="B214" s="286" t="s">
        <v>775</v>
      </c>
      <c r="C214" s="245" t="s">
        <v>776</v>
      </c>
      <c r="D214" s="272" t="s">
        <v>777</v>
      </c>
      <c r="E214" s="61" t="s">
        <v>368</v>
      </c>
      <c r="F214" s="61"/>
      <c r="G214" s="61"/>
      <c r="H214" s="61" t="s">
        <v>358</v>
      </c>
      <c r="I214" s="61" t="s">
        <v>374</v>
      </c>
      <c r="J214" s="61"/>
      <c r="K214" s="137"/>
      <c r="L214" s="137"/>
      <c r="M214" s="137"/>
      <c r="N214" s="137"/>
      <c r="O214" s="137"/>
      <c r="P214" s="137"/>
      <c r="Q214" s="137"/>
      <c r="R214" s="137"/>
      <c r="S214" s="137"/>
      <c r="T214" s="137"/>
      <c r="U214" s="137"/>
      <c r="V214" s="137"/>
      <c r="W214" s="137"/>
      <c r="X214" s="137"/>
      <c r="Y214" s="137"/>
      <c r="Z214" s="137"/>
      <c r="AA214" s="137"/>
      <c r="AB214" s="137"/>
      <c r="AC214" s="137"/>
      <c r="AD214" s="137"/>
      <c r="AE214" s="137"/>
      <c r="AF214" s="137"/>
      <c r="AG214" s="137"/>
      <c r="AH214" s="137"/>
      <c r="AI214" s="137"/>
      <c r="AJ214" s="137"/>
      <c r="AK214" s="137"/>
      <c r="AL214" s="137"/>
    </row>
    <row r="215" spans="1:38" ht="15.75" customHeight="1">
      <c r="A215" s="285" t="s">
        <v>688</v>
      </c>
      <c r="B215" s="286" t="s">
        <v>775</v>
      </c>
      <c r="C215" s="245" t="s">
        <v>158</v>
      </c>
      <c r="D215" s="272" t="s">
        <v>778</v>
      </c>
      <c r="E215" s="61" t="s">
        <v>368</v>
      </c>
      <c r="F215" s="61"/>
      <c r="G215" s="61"/>
      <c r="H215" s="61" t="s">
        <v>358</v>
      </c>
      <c r="I215" s="61" t="s">
        <v>374</v>
      </c>
      <c r="J215" s="61"/>
      <c r="K215" s="137"/>
      <c r="L215" s="137"/>
      <c r="M215" s="137"/>
      <c r="N215" s="137"/>
      <c r="O215" s="137"/>
      <c r="P215" s="137"/>
      <c r="Q215" s="137"/>
      <c r="R215" s="137"/>
      <c r="S215" s="137"/>
      <c r="T215" s="137"/>
      <c r="U215" s="137"/>
      <c r="V215" s="137"/>
      <c r="W215" s="137"/>
      <c r="X215" s="137"/>
      <c r="Y215" s="137"/>
      <c r="Z215" s="137"/>
      <c r="AA215" s="137"/>
      <c r="AB215" s="137"/>
      <c r="AC215" s="137"/>
      <c r="AD215" s="137"/>
      <c r="AE215" s="137"/>
      <c r="AF215" s="137"/>
      <c r="AG215" s="137"/>
      <c r="AH215" s="137"/>
      <c r="AI215" s="137"/>
      <c r="AJ215" s="137"/>
      <c r="AK215" s="137"/>
      <c r="AL215" s="137"/>
    </row>
    <row r="216" spans="1:38" ht="15.75" customHeight="1">
      <c r="A216" s="287" t="s">
        <v>688</v>
      </c>
      <c r="B216" s="286" t="s">
        <v>775</v>
      </c>
      <c r="C216" s="245" t="s">
        <v>148</v>
      </c>
      <c r="D216" s="272" t="s">
        <v>779</v>
      </c>
      <c r="E216" s="61" t="s">
        <v>368</v>
      </c>
      <c r="F216" s="61"/>
      <c r="G216" s="61"/>
      <c r="H216" s="61" t="s">
        <v>358</v>
      </c>
      <c r="I216" s="61" t="s">
        <v>374</v>
      </c>
      <c r="J216" s="61"/>
      <c r="K216" s="137"/>
      <c r="L216" s="137"/>
      <c r="M216" s="137"/>
      <c r="N216" s="137"/>
      <c r="O216" s="137"/>
      <c r="P216" s="137"/>
      <c r="Q216" s="137"/>
      <c r="R216" s="137"/>
      <c r="S216" s="137"/>
      <c r="T216" s="137"/>
      <c r="U216" s="137"/>
      <c r="V216" s="137"/>
      <c r="W216" s="137"/>
      <c r="X216" s="137"/>
      <c r="Y216" s="137"/>
      <c r="Z216" s="137"/>
      <c r="AA216" s="137"/>
      <c r="AB216" s="137"/>
      <c r="AC216" s="137"/>
      <c r="AD216" s="137"/>
      <c r="AE216" s="137"/>
      <c r="AF216" s="137"/>
      <c r="AG216" s="137"/>
      <c r="AH216" s="137"/>
      <c r="AI216" s="137"/>
      <c r="AJ216" s="137"/>
      <c r="AK216" s="137"/>
      <c r="AL216" s="137"/>
    </row>
    <row r="217" spans="1:38" ht="15.75" customHeight="1">
      <c r="A217" s="287" t="s">
        <v>688</v>
      </c>
      <c r="B217" s="286" t="s">
        <v>775</v>
      </c>
      <c r="C217" s="245" t="s">
        <v>780</v>
      </c>
      <c r="D217" s="272" t="s">
        <v>781</v>
      </c>
      <c r="E217" s="61" t="s">
        <v>368</v>
      </c>
      <c r="F217" s="61"/>
      <c r="G217" s="61"/>
      <c r="H217" s="61" t="s">
        <v>358</v>
      </c>
      <c r="I217" s="61" t="s">
        <v>374</v>
      </c>
      <c r="J217" s="61"/>
      <c r="K217" s="137"/>
      <c r="L217" s="137"/>
      <c r="M217" s="137"/>
      <c r="N217" s="137"/>
      <c r="O217" s="137"/>
      <c r="P217" s="137"/>
      <c r="Q217" s="137"/>
      <c r="R217" s="137"/>
      <c r="S217" s="137"/>
      <c r="T217" s="137"/>
      <c r="U217" s="137"/>
      <c r="V217" s="137"/>
      <c r="W217" s="137"/>
      <c r="X217" s="137"/>
      <c r="Y217" s="137"/>
      <c r="Z217" s="137"/>
      <c r="AA217" s="137"/>
      <c r="AB217" s="137"/>
      <c r="AC217" s="137"/>
      <c r="AD217" s="137"/>
      <c r="AE217" s="137"/>
      <c r="AF217" s="137"/>
      <c r="AG217" s="137"/>
      <c r="AH217" s="137"/>
      <c r="AI217" s="137"/>
      <c r="AJ217" s="137"/>
      <c r="AK217" s="137"/>
      <c r="AL217" s="137"/>
    </row>
    <row r="218" spans="1:38" ht="15.75" customHeight="1">
      <c r="A218" s="287" t="s">
        <v>688</v>
      </c>
      <c r="B218" s="286" t="s">
        <v>775</v>
      </c>
      <c r="C218" s="245" t="s">
        <v>782</v>
      </c>
      <c r="D218" s="272" t="s">
        <v>783</v>
      </c>
      <c r="E218" s="61" t="s">
        <v>368</v>
      </c>
      <c r="F218" s="61"/>
      <c r="G218" s="61"/>
      <c r="H218" s="61" t="s">
        <v>358</v>
      </c>
      <c r="I218" s="61" t="s">
        <v>374</v>
      </c>
      <c r="J218" s="61"/>
      <c r="K218" s="137"/>
      <c r="L218" s="137"/>
      <c r="M218" s="137"/>
      <c r="N218" s="137"/>
      <c r="O218" s="137"/>
      <c r="P218" s="137"/>
      <c r="Q218" s="137"/>
      <c r="R218" s="137"/>
      <c r="S218" s="137"/>
      <c r="T218" s="137"/>
      <c r="U218" s="137"/>
      <c r="V218" s="137"/>
      <c r="W218" s="137"/>
      <c r="X218" s="137"/>
      <c r="Y218" s="137"/>
      <c r="Z218" s="137"/>
      <c r="AA218" s="137"/>
      <c r="AB218" s="137"/>
      <c r="AC218" s="137"/>
      <c r="AD218" s="137"/>
      <c r="AE218" s="137"/>
      <c r="AF218" s="137"/>
      <c r="AG218" s="137"/>
      <c r="AH218" s="137"/>
      <c r="AI218" s="137"/>
      <c r="AJ218" s="137"/>
      <c r="AK218" s="137"/>
      <c r="AL218" s="137"/>
    </row>
    <row r="219" spans="1:38" ht="15.75" customHeight="1">
      <c r="A219" s="287" t="s">
        <v>688</v>
      </c>
      <c r="B219" s="286" t="s">
        <v>775</v>
      </c>
      <c r="C219" s="245" t="s">
        <v>784</v>
      </c>
      <c r="D219" s="272" t="s">
        <v>785</v>
      </c>
      <c r="E219" s="61" t="s">
        <v>368</v>
      </c>
      <c r="F219" s="61"/>
      <c r="G219" s="61"/>
      <c r="H219" s="61" t="s">
        <v>358</v>
      </c>
      <c r="I219" s="61" t="s">
        <v>374</v>
      </c>
      <c r="J219" s="61"/>
      <c r="K219" s="137"/>
      <c r="L219" s="137"/>
      <c r="M219" s="137"/>
      <c r="N219" s="137"/>
      <c r="O219" s="137"/>
      <c r="P219" s="137"/>
      <c r="Q219" s="137"/>
      <c r="R219" s="137"/>
      <c r="S219" s="137"/>
      <c r="T219" s="137"/>
      <c r="U219" s="137"/>
      <c r="V219" s="137"/>
      <c r="W219" s="137"/>
      <c r="X219" s="137"/>
      <c r="Y219" s="137"/>
      <c r="Z219" s="137"/>
      <c r="AA219" s="137"/>
      <c r="AB219" s="137"/>
      <c r="AC219" s="137"/>
      <c r="AD219" s="137"/>
      <c r="AE219" s="137"/>
      <c r="AF219" s="137"/>
      <c r="AG219" s="137"/>
      <c r="AH219" s="137"/>
      <c r="AI219" s="137"/>
      <c r="AJ219" s="137"/>
      <c r="AK219" s="137"/>
      <c r="AL219" s="137"/>
    </row>
    <row r="220" spans="1:38" ht="15.75" customHeight="1">
      <c r="A220" s="287" t="s">
        <v>688</v>
      </c>
      <c r="B220" s="286" t="s">
        <v>775</v>
      </c>
      <c r="C220" s="245" t="s">
        <v>786</v>
      </c>
      <c r="D220" s="272" t="s">
        <v>787</v>
      </c>
      <c r="E220" s="61" t="s">
        <v>368</v>
      </c>
      <c r="F220" s="61"/>
      <c r="G220" s="61"/>
      <c r="H220" s="61" t="s">
        <v>358</v>
      </c>
      <c r="I220" s="61" t="s">
        <v>374</v>
      </c>
      <c r="J220" s="61"/>
      <c r="K220" s="137"/>
      <c r="L220" s="137"/>
      <c r="M220" s="137"/>
      <c r="N220" s="137"/>
      <c r="O220" s="137"/>
      <c r="P220" s="137"/>
      <c r="Q220" s="137"/>
      <c r="R220" s="137"/>
      <c r="S220" s="137"/>
      <c r="T220" s="137"/>
      <c r="U220" s="137"/>
      <c r="V220" s="137"/>
      <c r="W220" s="137"/>
      <c r="X220" s="137"/>
      <c r="Y220" s="137"/>
      <c r="Z220" s="137"/>
      <c r="AA220" s="137"/>
      <c r="AB220" s="137"/>
      <c r="AC220" s="137"/>
      <c r="AD220" s="137"/>
      <c r="AE220" s="137"/>
      <c r="AF220" s="137"/>
      <c r="AG220" s="137"/>
      <c r="AH220" s="137"/>
      <c r="AI220" s="137"/>
      <c r="AJ220" s="137"/>
      <c r="AK220" s="137"/>
      <c r="AL220" s="137"/>
    </row>
    <row r="221" spans="1:38" ht="15.75" customHeight="1">
      <c r="A221" s="287" t="s">
        <v>688</v>
      </c>
      <c r="B221" s="286" t="s">
        <v>775</v>
      </c>
      <c r="C221" s="245" t="s">
        <v>788</v>
      </c>
      <c r="D221" s="272" t="s">
        <v>789</v>
      </c>
      <c r="E221" s="61" t="s">
        <v>368</v>
      </c>
      <c r="F221" s="61"/>
      <c r="G221" s="61"/>
      <c r="H221" s="61"/>
      <c r="I221" s="61" t="s">
        <v>374</v>
      </c>
      <c r="J221" s="61" t="s">
        <v>358</v>
      </c>
      <c r="K221" s="137"/>
      <c r="L221" s="137"/>
      <c r="M221" s="137"/>
      <c r="N221" s="137"/>
      <c r="O221" s="137"/>
      <c r="P221" s="137"/>
      <c r="Q221" s="137"/>
      <c r="R221" s="137"/>
      <c r="S221" s="137"/>
      <c r="T221" s="137"/>
      <c r="U221" s="137"/>
      <c r="V221" s="137"/>
      <c r="W221" s="137"/>
      <c r="X221" s="137"/>
      <c r="Y221" s="137"/>
      <c r="Z221" s="137"/>
      <c r="AA221" s="137"/>
      <c r="AB221" s="137"/>
      <c r="AC221" s="137"/>
      <c r="AD221" s="137"/>
      <c r="AE221" s="137"/>
      <c r="AF221" s="137"/>
      <c r="AG221" s="137"/>
      <c r="AH221" s="137"/>
      <c r="AI221" s="137"/>
      <c r="AJ221" s="137"/>
      <c r="AK221" s="137"/>
      <c r="AL221" s="137"/>
    </row>
    <row r="222" spans="1:38" ht="15.75" customHeight="1">
      <c r="A222" s="287" t="s">
        <v>688</v>
      </c>
      <c r="B222" s="286" t="s">
        <v>775</v>
      </c>
      <c r="C222" s="245" t="s">
        <v>790</v>
      </c>
      <c r="D222" s="275"/>
      <c r="E222" s="61" t="s">
        <v>368</v>
      </c>
      <c r="F222" s="61"/>
      <c r="G222" s="61"/>
      <c r="H222" s="61"/>
      <c r="I222" s="61" t="s">
        <v>374</v>
      </c>
      <c r="J222" s="61" t="s">
        <v>358</v>
      </c>
      <c r="K222" s="137"/>
      <c r="L222" s="137"/>
      <c r="M222" s="137"/>
      <c r="N222" s="137"/>
      <c r="O222" s="137"/>
      <c r="P222" s="137"/>
      <c r="Q222" s="137"/>
      <c r="R222" s="137"/>
      <c r="S222" s="137"/>
      <c r="T222" s="137"/>
      <c r="U222" s="137"/>
      <c r="V222" s="137"/>
      <c r="W222" s="137"/>
      <c r="X222" s="137"/>
      <c r="Y222" s="137"/>
      <c r="Z222" s="137"/>
      <c r="AA222" s="137"/>
      <c r="AB222" s="137"/>
      <c r="AC222" s="137"/>
      <c r="AD222" s="137"/>
      <c r="AE222" s="137"/>
      <c r="AF222" s="137"/>
      <c r="AG222" s="137"/>
      <c r="AH222" s="137"/>
      <c r="AI222" s="137"/>
      <c r="AJ222" s="137"/>
      <c r="AK222" s="137"/>
      <c r="AL222" s="137"/>
    </row>
    <row r="223" spans="1:38" ht="15.75" customHeight="1">
      <c r="A223" s="287" t="s">
        <v>688</v>
      </c>
      <c r="B223" s="286" t="s">
        <v>775</v>
      </c>
      <c r="C223" s="245" t="s">
        <v>791</v>
      </c>
      <c r="D223" s="275"/>
      <c r="E223" s="61" t="s">
        <v>368</v>
      </c>
      <c r="F223" s="61"/>
      <c r="G223" s="61"/>
      <c r="H223" s="61"/>
      <c r="I223" s="61" t="s">
        <v>374</v>
      </c>
      <c r="J223" s="61" t="s">
        <v>358</v>
      </c>
      <c r="K223" s="137"/>
      <c r="L223" s="137"/>
      <c r="M223" s="137"/>
      <c r="N223" s="137"/>
      <c r="O223" s="137"/>
      <c r="P223" s="137"/>
      <c r="Q223" s="137"/>
      <c r="R223" s="137"/>
      <c r="S223" s="137"/>
      <c r="T223" s="137"/>
      <c r="U223" s="137"/>
      <c r="V223" s="137"/>
      <c r="W223" s="137"/>
      <c r="X223" s="137"/>
      <c r="Y223" s="137"/>
      <c r="Z223" s="137"/>
      <c r="AA223" s="137"/>
      <c r="AB223" s="137"/>
      <c r="AC223" s="137"/>
      <c r="AD223" s="137"/>
      <c r="AE223" s="137"/>
      <c r="AF223" s="137"/>
      <c r="AG223" s="137"/>
      <c r="AH223" s="137"/>
      <c r="AI223" s="137"/>
      <c r="AJ223" s="137"/>
      <c r="AK223" s="137"/>
      <c r="AL223" s="137"/>
    </row>
    <row r="224" spans="1:38" ht="15.75" customHeight="1">
      <c r="A224" s="287" t="s">
        <v>688</v>
      </c>
      <c r="B224" s="286" t="s">
        <v>775</v>
      </c>
      <c r="C224" s="245" t="s">
        <v>792</v>
      </c>
      <c r="D224" s="272" t="s">
        <v>793</v>
      </c>
      <c r="E224" s="61" t="s">
        <v>368</v>
      </c>
      <c r="F224" s="61"/>
      <c r="G224" s="61"/>
      <c r="H224" s="61" t="s">
        <v>358</v>
      </c>
      <c r="I224" s="61" t="s">
        <v>374</v>
      </c>
      <c r="J224" s="61"/>
      <c r="K224" s="137"/>
      <c r="L224" s="137"/>
      <c r="M224" s="137"/>
      <c r="N224" s="137"/>
      <c r="O224" s="137"/>
      <c r="P224" s="137"/>
      <c r="Q224" s="137"/>
      <c r="R224" s="137"/>
      <c r="S224" s="137"/>
      <c r="T224" s="137"/>
      <c r="U224" s="137"/>
      <c r="V224" s="137"/>
      <c r="W224" s="137"/>
      <c r="X224" s="137"/>
      <c r="Y224" s="137"/>
      <c r="Z224" s="137"/>
      <c r="AA224" s="137"/>
      <c r="AB224" s="137"/>
      <c r="AC224" s="137"/>
      <c r="AD224" s="137"/>
      <c r="AE224" s="137"/>
      <c r="AF224" s="137"/>
      <c r="AG224" s="137"/>
      <c r="AH224" s="137"/>
      <c r="AI224" s="137"/>
      <c r="AJ224" s="137"/>
      <c r="AK224" s="137"/>
      <c r="AL224" s="137"/>
    </row>
    <row r="225" spans="1:38" ht="15.75" customHeight="1">
      <c r="A225" s="287" t="s">
        <v>688</v>
      </c>
      <c r="B225" s="286" t="s">
        <v>775</v>
      </c>
      <c r="C225" s="245" t="s">
        <v>794</v>
      </c>
      <c r="D225" s="272" t="s">
        <v>795</v>
      </c>
      <c r="E225" s="61" t="s">
        <v>368</v>
      </c>
      <c r="F225" s="61"/>
      <c r="G225" s="61"/>
      <c r="H225" s="61" t="s">
        <v>358</v>
      </c>
      <c r="I225" s="61" t="s">
        <v>374</v>
      </c>
      <c r="J225" s="61"/>
      <c r="K225" s="137"/>
      <c r="L225" s="137"/>
      <c r="M225" s="137"/>
      <c r="N225" s="137"/>
      <c r="O225" s="137"/>
      <c r="P225" s="137"/>
      <c r="Q225" s="137"/>
      <c r="R225" s="137"/>
      <c r="S225" s="137"/>
      <c r="T225" s="137"/>
      <c r="U225" s="137"/>
      <c r="V225" s="137"/>
      <c r="W225" s="137"/>
      <c r="X225" s="137"/>
      <c r="Y225" s="137"/>
      <c r="Z225" s="137"/>
      <c r="AA225" s="137"/>
      <c r="AB225" s="137"/>
      <c r="AC225" s="137"/>
      <c r="AD225" s="137"/>
      <c r="AE225" s="137"/>
      <c r="AF225" s="137"/>
      <c r="AG225" s="137"/>
      <c r="AH225" s="137"/>
      <c r="AI225" s="137"/>
      <c r="AJ225" s="137"/>
      <c r="AK225" s="137"/>
      <c r="AL225" s="137"/>
    </row>
    <row r="226" spans="1:38" ht="15.75" customHeight="1">
      <c r="A226" s="287" t="s">
        <v>688</v>
      </c>
      <c r="B226" s="286" t="s">
        <v>775</v>
      </c>
      <c r="C226" s="245" t="s">
        <v>796</v>
      </c>
      <c r="D226" s="272" t="s">
        <v>797</v>
      </c>
      <c r="E226" s="61" t="s">
        <v>368</v>
      </c>
      <c r="F226" s="61"/>
      <c r="G226" s="61"/>
      <c r="H226" s="61" t="s">
        <v>358</v>
      </c>
      <c r="I226" s="61" t="s">
        <v>374</v>
      </c>
      <c r="J226" s="61"/>
      <c r="K226" s="137"/>
      <c r="L226" s="137"/>
      <c r="M226" s="137"/>
      <c r="N226" s="137"/>
      <c r="O226" s="137"/>
      <c r="P226" s="137"/>
      <c r="Q226" s="137"/>
      <c r="R226" s="137"/>
      <c r="S226" s="137"/>
      <c r="T226" s="137"/>
      <c r="U226" s="137"/>
      <c r="V226" s="137"/>
      <c r="W226" s="137"/>
      <c r="X226" s="137"/>
      <c r="Y226" s="137"/>
      <c r="Z226" s="137"/>
      <c r="AA226" s="137"/>
      <c r="AB226" s="137"/>
      <c r="AC226" s="137"/>
      <c r="AD226" s="137"/>
      <c r="AE226" s="137"/>
      <c r="AF226" s="137"/>
      <c r="AG226" s="137"/>
      <c r="AH226" s="137"/>
      <c r="AI226" s="137"/>
      <c r="AJ226" s="137"/>
      <c r="AK226" s="137"/>
      <c r="AL226" s="137"/>
    </row>
    <row r="227" spans="1:38" ht="15.75" customHeight="1">
      <c r="A227" s="287" t="s">
        <v>688</v>
      </c>
      <c r="B227" s="286" t="s">
        <v>775</v>
      </c>
      <c r="C227" s="245" t="s">
        <v>798</v>
      </c>
      <c r="D227" s="272" t="s">
        <v>799</v>
      </c>
      <c r="E227" s="61" t="s">
        <v>368</v>
      </c>
      <c r="F227" s="61"/>
      <c r="G227" s="61"/>
      <c r="H227" s="61" t="s">
        <v>358</v>
      </c>
      <c r="I227" s="61" t="s">
        <v>374</v>
      </c>
      <c r="J227" s="61"/>
      <c r="K227" s="137"/>
      <c r="L227" s="137"/>
      <c r="M227" s="137"/>
      <c r="N227" s="137"/>
      <c r="O227" s="137"/>
      <c r="P227" s="137"/>
      <c r="Q227" s="137"/>
      <c r="R227" s="137"/>
      <c r="S227" s="137"/>
      <c r="T227" s="137"/>
      <c r="U227" s="137"/>
      <c r="V227" s="137"/>
      <c r="W227" s="137"/>
      <c r="X227" s="137"/>
      <c r="Y227" s="137"/>
      <c r="Z227" s="137"/>
      <c r="AA227" s="137"/>
      <c r="AB227" s="137"/>
      <c r="AC227" s="137"/>
      <c r="AD227" s="137"/>
      <c r="AE227" s="137"/>
      <c r="AF227" s="137"/>
      <c r="AG227" s="137"/>
      <c r="AH227" s="137"/>
      <c r="AI227" s="137"/>
      <c r="AJ227" s="137"/>
      <c r="AK227" s="137"/>
      <c r="AL227" s="137"/>
    </row>
    <row r="228" spans="1:38" ht="15.75" customHeight="1">
      <c r="A228" s="287" t="s">
        <v>688</v>
      </c>
      <c r="B228" s="286" t="s">
        <v>775</v>
      </c>
      <c r="C228" s="245" t="s">
        <v>800</v>
      </c>
      <c r="D228" s="272" t="s">
        <v>801</v>
      </c>
      <c r="E228" s="61" t="s">
        <v>368</v>
      </c>
      <c r="F228" s="61"/>
      <c r="G228" s="61"/>
      <c r="H228" s="61" t="s">
        <v>358</v>
      </c>
      <c r="I228" s="61" t="s">
        <v>374</v>
      </c>
      <c r="J228" s="61"/>
      <c r="K228" s="137"/>
      <c r="L228" s="137"/>
      <c r="M228" s="137"/>
      <c r="N228" s="137"/>
      <c r="O228" s="137"/>
      <c r="P228" s="137"/>
      <c r="Q228" s="137"/>
      <c r="R228" s="137"/>
      <c r="S228" s="137"/>
      <c r="T228" s="137"/>
      <c r="U228" s="137"/>
      <c r="V228" s="137"/>
      <c r="W228" s="137"/>
      <c r="X228" s="137"/>
      <c r="Y228" s="137"/>
      <c r="Z228" s="137"/>
      <c r="AA228" s="137"/>
      <c r="AB228" s="137"/>
      <c r="AC228" s="137"/>
      <c r="AD228" s="137"/>
      <c r="AE228" s="137"/>
      <c r="AF228" s="137"/>
      <c r="AG228" s="137"/>
      <c r="AH228" s="137"/>
      <c r="AI228" s="137"/>
      <c r="AJ228" s="137"/>
      <c r="AK228" s="137"/>
      <c r="AL228" s="137"/>
    </row>
    <row r="229" spans="1:38" ht="15.75" customHeight="1">
      <c r="A229" s="287" t="s">
        <v>688</v>
      </c>
      <c r="B229" s="286" t="s">
        <v>775</v>
      </c>
      <c r="C229" s="245" t="s">
        <v>802</v>
      </c>
      <c r="D229" s="272" t="s">
        <v>803</v>
      </c>
      <c r="E229" s="61" t="s">
        <v>368</v>
      </c>
      <c r="F229" s="61"/>
      <c r="G229" s="61"/>
      <c r="H229" s="61" t="s">
        <v>358</v>
      </c>
      <c r="I229" s="61" t="s">
        <v>374</v>
      </c>
      <c r="J229" s="61"/>
      <c r="K229" s="137"/>
      <c r="L229" s="137"/>
      <c r="M229" s="137"/>
      <c r="N229" s="137"/>
      <c r="O229" s="137"/>
      <c r="P229" s="137"/>
      <c r="Q229" s="137"/>
      <c r="R229" s="137"/>
      <c r="S229" s="137"/>
      <c r="T229" s="137"/>
      <c r="U229" s="137"/>
      <c r="V229" s="137"/>
      <c r="W229" s="137"/>
      <c r="X229" s="137"/>
      <c r="Y229" s="137"/>
      <c r="Z229" s="137"/>
      <c r="AA229" s="137"/>
      <c r="AB229" s="137"/>
      <c r="AC229" s="137"/>
      <c r="AD229" s="137"/>
      <c r="AE229" s="137"/>
      <c r="AF229" s="137"/>
      <c r="AG229" s="137"/>
      <c r="AH229" s="137"/>
      <c r="AI229" s="137"/>
      <c r="AJ229" s="137"/>
      <c r="AK229" s="137"/>
      <c r="AL229" s="137"/>
    </row>
    <row r="230" spans="1:38" ht="15.75" customHeight="1">
      <c r="A230" s="287" t="s">
        <v>688</v>
      </c>
      <c r="B230" s="286" t="s">
        <v>775</v>
      </c>
      <c r="C230" s="245" t="s">
        <v>804</v>
      </c>
      <c r="D230" s="272" t="s">
        <v>805</v>
      </c>
      <c r="E230" s="61" t="s">
        <v>368</v>
      </c>
      <c r="F230" s="61"/>
      <c r="G230" s="61"/>
      <c r="H230" s="61" t="s">
        <v>358</v>
      </c>
      <c r="I230" s="61" t="s">
        <v>374</v>
      </c>
      <c r="J230" s="61"/>
      <c r="K230" s="137"/>
      <c r="L230" s="137"/>
      <c r="M230" s="137"/>
      <c r="N230" s="137"/>
      <c r="O230" s="137"/>
      <c r="P230" s="137"/>
      <c r="Q230" s="137"/>
      <c r="R230" s="137"/>
      <c r="S230" s="137"/>
      <c r="T230" s="137"/>
      <c r="U230" s="137"/>
      <c r="V230" s="137"/>
      <c r="W230" s="137"/>
      <c r="X230" s="137"/>
      <c r="Y230" s="137"/>
      <c r="Z230" s="137"/>
      <c r="AA230" s="137"/>
      <c r="AB230" s="137"/>
      <c r="AC230" s="137"/>
      <c r="AD230" s="137"/>
      <c r="AE230" s="137"/>
      <c r="AF230" s="137"/>
      <c r="AG230" s="137"/>
      <c r="AH230" s="137"/>
      <c r="AI230" s="137"/>
      <c r="AJ230" s="137"/>
      <c r="AK230" s="137"/>
      <c r="AL230" s="137"/>
    </row>
    <row r="231" spans="1:38" ht="15.75" customHeight="1">
      <c r="A231" s="287" t="s">
        <v>688</v>
      </c>
      <c r="B231" s="286" t="s">
        <v>775</v>
      </c>
      <c r="C231" s="245" t="s">
        <v>806</v>
      </c>
      <c r="D231" s="272" t="s">
        <v>807</v>
      </c>
      <c r="E231" s="61" t="s">
        <v>368</v>
      </c>
      <c r="F231" s="61"/>
      <c r="G231" s="61"/>
      <c r="H231" s="61" t="s">
        <v>358</v>
      </c>
      <c r="I231" s="61" t="s">
        <v>374</v>
      </c>
      <c r="J231" s="61"/>
      <c r="K231" s="137"/>
      <c r="L231" s="137"/>
      <c r="M231" s="137"/>
      <c r="N231" s="137"/>
      <c r="O231" s="137"/>
      <c r="P231" s="137"/>
      <c r="Q231" s="137"/>
      <c r="R231" s="137"/>
      <c r="S231" s="137"/>
      <c r="T231" s="137"/>
      <c r="U231" s="137"/>
      <c r="V231" s="137"/>
      <c r="W231" s="137"/>
      <c r="X231" s="137"/>
      <c r="Y231" s="137"/>
      <c r="Z231" s="137"/>
      <c r="AA231" s="137"/>
      <c r="AB231" s="137"/>
      <c r="AC231" s="137"/>
      <c r="AD231" s="137"/>
      <c r="AE231" s="137"/>
      <c r="AF231" s="137"/>
      <c r="AG231" s="137"/>
      <c r="AH231" s="137"/>
      <c r="AI231" s="137"/>
      <c r="AJ231" s="137"/>
      <c r="AK231" s="137"/>
      <c r="AL231" s="137"/>
    </row>
    <row r="232" spans="1:38" ht="15.75" customHeight="1">
      <c r="A232" s="285" t="s">
        <v>688</v>
      </c>
      <c r="B232" s="286" t="s">
        <v>775</v>
      </c>
      <c r="C232" s="245" t="s">
        <v>808</v>
      </c>
      <c r="D232" s="272" t="s">
        <v>809</v>
      </c>
      <c r="E232" s="61" t="s">
        <v>368</v>
      </c>
      <c r="F232" s="61"/>
      <c r="G232" s="61"/>
      <c r="H232" s="61" t="s">
        <v>358</v>
      </c>
      <c r="I232" s="61" t="s">
        <v>374</v>
      </c>
      <c r="J232" s="61"/>
      <c r="K232" s="137"/>
      <c r="L232" s="137"/>
      <c r="M232" s="137"/>
      <c r="N232" s="137"/>
      <c r="O232" s="137"/>
      <c r="P232" s="137"/>
      <c r="Q232" s="137"/>
      <c r="R232" s="137"/>
      <c r="S232" s="137"/>
      <c r="T232" s="137"/>
      <c r="U232" s="137"/>
      <c r="V232" s="137"/>
      <c r="W232" s="137"/>
      <c r="X232" s="137"/>
      <c r="Y232" s="137"/>
      <c r="Z232" s="137"/>
      <c r="AA232" s="137"/>
      <c r="AB232" s="137"/>
      <c r="AC232" s="137"/>
      <c r="AD232" s="137"/>
      <c r="AE232" s="137"/>
      <c r="AF232" s="137"/>
      <c r="AG232" s="137"/>
      <c r="AH232" s="137"/>
      <c r="AI232" s="137"/>
      <c r="AJ232" s="137"/>
      <c r="AK232" s="137"/>
      <c r="AL232" s="137"/>
    </row>
    <row r="233" spans="1:38" ht="15.75" customHeight="1">
      <c r="A233" s="285" t="s">
        <v>688</v>
      </c>
      <c r="B233" s="286" t="s">
        <v>810</v>
      </c>
      <c r="C233" s="288" t="s">
        <v>811</v>
      </c>
      <c r="D233" s="275"/>
      <c r="E233" s="61" t="s">
        <v>374</v>
      </c>
      <c r="F233" s="61"/>
      <c r="G233" s="61"/>
      <c r="H233" s="61"/>
      <c r="I233" s="61"/>
      <c r="J233" s="61"/>
      <c r="K233" s="137"/>
      <c r="L233" s="137"/>
      <c r="M233" s="137"/>
      <c r="N233" s="137"/>
      <c r="O233" s="137"/>
      <c r="P233" s="137"/>
      <c r="Q233" s="137"/>
      <c r="R233" s="137"/>
      <c r="S233" s="137"/>
      <c r="T233" s="137"/>
      <c r="U233" s="137"/>
      <c r="V233" s="137"/>
      <c r="W233" s="137"/>
      <c r="X233" s="137"/>
      <c r="Y233" s="137"/>
      <c r="Z233" s="137"/>
      <c r="AA233" s="137"/>
      <c r="AB233" s="137"/>
      <c r="AC233" s="137"/>
      <c r="AD233" s="137"/>
      <c r="AE233" s="137"/>
      <c r="AF233" s="137"/>
      <c r="AG233" s="137"/>
      <c r="AH233" s="137"/>
      <c r="AI233" s="137"/>
      <c r="AJ233" s="137"/>
      <c r="AK233" s="137"/>
      <c r="AL233" s="137"/>
    </row>
    <row r="234" spans="1:38" ht="15.75" customHeight="1">
      <c r="A234" s="285" t="s">
        <v>688</v>
      </c>
      <c r="B234" s="286" t="s">
        <v>810</v>
      </c>
      <c r="C234" s="245" t="s">
        <v>812</v>
      </c>
      <c r="D234" s="275"/>
      <c r="E234" s="61" t="s">
        <v>374</v>
      </c>
      <c r="F234" s="61"/>
      <c r="G234" s="61"/>
      <c r="H234" s="61"/>
      <c r="I234" s="61"/>
      <c r="J234" s="61"/>
      <c r="K234" s="137"/>
      <c r="L234" s="137"/>
      <c r="M234" s="137"/>
      <c r="N234" s="137"/>
      <c r="O234" s="137"/>
      <c r="P234" s="137"/>
      <c r="Q234" s="137"/>
      <c r="R234" s="137"/>
      <c r="S234" s="137"/>
      <c r="T234" s="137"/>
      <c r="U234" s="137"/>
      <c r="V234" s="137"/>
      <c r="W234" s="137"/>
      <c r="X234" s="137"/>
      <c r="Y234" s="137"/>
      <c r="Z234" s="137"/>
      <c r="AA234" s="137"/>
      <c r="AB234" s="137"/>
      <c r="AC234" s="137"/>
      <c r="AD234" s="137"/>
      <c r="AE234" s="137"/>
      <c r="AF234" s="137"/>
      <c r="AG234" s="137"/>
      <c r="AH234" s="137"/>
      <c r="AI234" s="137"/>
      <c r="AJ234" s="137"/>
      <c r="AK234" s="137"/>
      <c r="AL234" s="137"/>
    </row>
    <row r="235" spans="1:38" ht="15.75" customHeight="1">
      <c r="A235" s="285" t="s">
        <v>688</v>
      </c>
      <c r="B235" s="286" t="s">
        <v>810</v>
      </c>
      <c r="C235" s="245" t="s">
        <v>813</v>
      </c>
      <c r="D235" s="272" t="s">
        <v>814</v>
      </c>
      <c r="E235" s="61" t="s">
        <v>374</v>
      </c>
      <c r="F235" s="61"/>
      <c r="G235" s="61"/>
      <c r="H235" s="61"/>
      <c r="I235" s="61"/>
      <c r="J235" s="61"/>
      <c r="K235" s="137"/>
      <c r="L235" s="137"/>
      <c r="M235" s="137"/>
      <c r="N235" s="137"/>
      <c r="O235" s="137"/>
      <c r="P235" s="137"/>
      <c r="Q235" s="137"/>
      <c r="R235" s="137"/>
      <c r="S235" s="137"/>
      <c r="T235" s="137"/>
      <c r="U235" s="137"/>
      <c r="V235" s="137"/>
      <c r="W235" s="137"/>
      <c r="X235" s="137"/>
      <c r="Y235" s="137"/>
      <c r="Z235" s="137"/>
      <c r="AA235" s="137"/>
      <c r="AB235" s="137"/>
      <c r="AC235" s="137"/>
      <c r="AD235" s="137"/>
      <c r="AE235" s="137"/>
      <c r="AF235" s="137"/>
      <c r="AG235" s="137"/>
      <c r="AH235" s="137"/>
      <c r="AI235" s="137"/>
      <c r="AJ235" s="137"/>
      <c r="AK235" s="137"/>
      <c r="AL235" s="137"/>
    </row>
    <row r="236" spans="1:38" ht="15.75" customHeight="1">
      <c r="A236" s="285" t="s">
        <v>688</v>
      </c>
      <c r="B236" s="286" t="s">
        <v>810</v>
      </c>
      <c r="C236" s="245" t="s">
        <v>815</v>
      </c>
      <c r="D236" s="272" t="s">
        <v>816</v>
      </c>
      <c r="E236" s="61" t="s">
        <v>374</v>
      </c>
      <c r="F236" s="61"/>
      <c r="G236" s="61"/>
      <c r="H236" s="61"/>
      <c r="I236" s="61"/>
      <c r="J236" s="61"/>
      <c r="K236" s="137"/>
      <c r="L236" s="137"/>
      <c r="M236" s="137"/>
      <c r="N236" s="137"/>
      <c r="O236" s="137"/>
      <c r="P236" s="137"/>
      <c r="Q236" s="137"/>
      <c r="R236" s="137"/>
      <c r="S236" s="137"/>
      <c r="T236" s="137"/>
      <c r="U236" s="137"/>
      <c r="V236" s="137"/>
      <c r="W236" s="137"/>
      <c r="X236" s="137"/>
      <c r="Y236" s="137"/>
      <c r="Z236" s="137"/>
      <c r="AA236" s="137"/>
      <c r="AB236" s="137"/>
      <c r="AC236" s="137"/>
      <c r="AD236" s="137"/>
      <c r="AE236" s="137"/>
      <c r="AF236" s="137"/>
      <c r="AG236" s="137"/>
      <c r="AH236" s="137"/>
      <c r="AI236" s="137"/>
      <c r="AJ236" s="137"/>
      <c r="AK236" s="137"/>
      <c r="AL236" s="137"/>
    </row>
    <row r="237" spans="1:38" ht="15.75" customHeight="1">
      <c r="A237" s="285" t="s">
        <v>688</v>
      </c>
      <c r="B237" s="286" t="s">
        <v>810</v>
      </c>
      <c r="C237" s="245" t="s">
        <v>817</v>
      </c>
      <c r="D237" s="272" t="s">
        <v>818</v>
      </c>
      <c r="E237" s="61" t="s">
        <v>374</v>
      </c>
      <c r="F237" s="61"/>
      <c r="G237" s="61"/>
      <c r="H237" s="61"/>
      <c r="I237" s="61"/>
      <c r="J237" s="61"/>
      <c r="K237" s="137"/>
      <c r="L237" s="137"/>
      <c r="M237" s="137"/>
      <c r="N237" s="137"/>
      <c r="O237" s="137"/>
      <c r="P237" s="137"/>
      <c r="Q237" s="137"/>
      <c r="R237" s="137"/>
      <c r="S237" s="137"/>
      <c r="T237" s="137"/>
      <c r="U237" s="137"/>
      <c r="V237" s="137"/>
      <c r="W237" s="137"/>
      <c r="X237" s="137"/>
      <c r="Y237" s="137"/>
      <c r="Z237" s="137"/>
      <c r="AA237" s="137"/>
      <c r="AB237" s="137"/>
      <c r="AC237" s="137"/>
      <c r="AD237" s="137"/>
      <c r="AE237" s="137"/>
      <c r="AF237" s="137"/>
      <c r="AG237" s="137"/>
      <c r="AH237" s="137"/>
      <c r="AI237" s="137"/>
      <c r="AJ237" s="137"/>
      <c r="AK237" s="137"/>
      <c r="AL237" s="137"/>
    </row>
    <row r="238" spans="1:38" ht="15.75" customHeight="1">
      <c r="A238" s="285" t="s">
        <v>688</v>
      </c>
      <c r="B238" s="286" t="s">
        <v>810</v>
      </c>
      <c r="C238" s="245" t="s">
        <v>819</v>
      </c>
      <c r="D238" s="272" t="s">
        <v>820</v>
      </c>
      <c r="E238" s="61" t="s">
        <v>374</v>
      </c>
      <c r="F238" s="61"/>
      <c r="G238" s="61"/>
      <c r="H238" s="61"/>
      <c r="I238" s="61"/>
      <c r="J238" s="61"/>
      <c r="K238" s="137"/>
      <c r="L238" s="137"/>
      <c r="M238" s="137"/>
      <c r="N238" s="137"/>
      <c r="O238" s="137"/>
      <c r="P238" s="137"/>
      <c r="Q238" s="137"/>
      <c r="R238" s="137"/>
      <c r="S238" s="137"/>
      <c r="T238" s="137"/>
      <c r="U238" s="137"/>
      <c r="V238" s="137"/>
      <c r="W238" s="137"/>
      <c r="X238" s="137"/>
      <c r="Y238" s="137"/>
      <c r="Z238" s="137"/>
      <c r="AA238" s="137"/>
      <c r="AB238" s="137"/>
      <c r="AC238" s="137"/>
      <c r="AD238" s="137"/>
      <c r="AE238" s="137"/>
      <c r="AF238" s="137"/>
      <c r="AG238" s="137"/>
      <c r="AH238" s="137"/>
      <c r="AI238" s="137"/>
      <c r="AJ238" s="137"/>
      <c r="AK238" s="137"/>
      <c r="AL238" s="137"/>
    </row>
    <row r="239" spans="1:38" ht="15.75" customHeight="1">
      <c r="A239" s="285" t="s">
        <v>688</v>
      </c>
      <c r="B239" s="286" t="s">
        <v>810</v>
      </c>
      <c r="C239" s="245" t="s">
        <v>821</v>
      </c>
      <c r="D239" s="272" t="s">
        <v>822</v>
      </c>
      <c r="E239" s="61" t="s">
        <v>374</v>
      </c>
      <c r="F239" s="61"/>
      <c r="G239" s="61"/>
      <c r="H239" s="61"/>
      <c r="I239" s="61"/>
      <c r="J239" s="61"/>
      <c r="K239" s="137"/>
      <c r="L239" s="137"/>
      <c r="M239" s="137"/>
      <c r="N239" s="137"/>
      <c r="O239" s="137"/>
      <c r="P239" s="137"/>
      <c r="Q239" s="137"/>
      <c r="R239" s="137"/>
      <c r="S239" s="137"/>
      <c r="T239" s="137"/>
      <c r="U239" s="137"/>
      <c r="V239" s="137"/>
      <c r="W239" s="137"/>
      <c r="X239" s="137"/>
      <c r="Y239" s="137"/>
      <c r="Z239" s="137"/>
      <c r="AA239" s="137"/>
      <c r="AB239" s="137"/>
      <c r="AC239" s="137"/>
      <c r="AD239" s="137"/>
      <c r="AE239" s="137"/>
      <c r="AF239" s="137"/>
      <c r="AG239" s="137"/>
      <c r="AH239" s="137"/>
      <c r="AI239" s="137"/>
      <c r="AJ239" s="137"/>
      <c r="AK239" s="137"/>
      <c r="AL239" s="137"/>
    </row>
    <row r="240" spans="1:38" ht="15.75" customHeight="1">
      <c r="A240" s="285" t="s">
        <v>688</v>
      </c>
      <c r="B240" s="286" t="s">
        <v>810</v>
      </c>
      <c r="C240" s="245" t="s">
        <v>823</v>
      </c>
      <c r="D240" s="272" t="s">
        <v>824</v>
      </c>
      <c r="E240" s="61" t="s">
        <v>374</v>
      </c>
      <c r="F240" s="61"/>
      <c r="G240" s="61"/>
      <c r="H240" s="61"/>
      <c r="I240" s="61"/>
      <c r="J240" s="61"/>
      <c r="K240" s="137"/>
      <c r="L240" s="137"/>
      <c r="M240" s="137"/>
      <c r="N240" s="137"/>
      <c r="O240" s="137"/>
      <c r="P240" s="137"/>
      <c r="Q240" s="137"/>
      <c r="R240" s="137"/>
      <c r="S240" s="137"/>
      <c r="T240" s="137"/>
      <c r="U240" s="137"/>
      <c r="V240" s="137"/>
      <c r="W240" s="137"/>
      <c r="X240" s="137"/>
      <c r="Y240" s="137"/>
      <c r="Z240" s="137"/>
      <c r="AA240" s="137"/>
      <c r="AB240" s="137"/>
      <c r="AC240" s="137"/>
      <c r="AD240" s="137"/>
      <c r="AE240" s="137"/>
      <c r="AF240" s="137"/>
      <c r="AG240" s="137"/>
      <c r="AH240" s="137"/>
      <c r="AI240" s="137"/>
      <c r="AJ240" s="137"/>
      <c r="AK240" s="137"/>
      <c r="AL240" s="137"/>
    </row>
    <row r="241" spans="1:38" ht="15.75" customHeight="1">
      <c r="A241" s="285" t="s">
        <v>688</v>
      </c>
      <c r="B241" s="286" t="s">
        <v>810</v>
      </c>
      <c r="C241" s="245" t="s">
        <v>825</v>
      </c>
      <c r="D241" s="272" t="s">
        <v>826</v>
      </c>
      <c r="E241" s="61" t="s">
        <v>374</v>
      </c>
      <c r="F241" s="61"/>
      <c r="G241" s="61"/>
      <c r="H241" s="61"/>
      <c r="I241" s="61"/>
      <c r="J241" s="61"/>
      <c r="K241" s="137"/>
      <c r="L241" s="137"/>
      <c r="M241" s="137"/>
      <c r="N241" s="137"/>
      <c r="O241" s="137"/>
      <c r="P241" s="137"/>
      <c r="Q241" s="137"/>
      <c r="R241" s="137"/>
      <c r="S241" s="137"/>
      <c r="T241" s="137"/>
      <c r="U241" s="137"/>
      <c r="V241" s="137"/>
      <c r="W241" s="137"/>
      <c r="X241" s="137"/>
      <c r="Y241" s="137"/>
      <c r="Z241" s="137"/>
      <c r="AA241" s="137"/>
      <c r="AB241" s="137"/>
      <c r="AC241" s="137"/>
      <c r="AD241" s="137"/>
      <c r="AE241" s="137"/>
      <c r="AF241" s="137"/>
      <c r="AG241" s="137"/>
      <c r="AH241" s="137"/>
      <c r="AI241" s="137"/>
      <c r="AJ241" s="137"/>
      <c r="AK241" s="137"/>
      <c r="AL241" s="137"/>
    </row>
    <row r="242" spans="1:38" ht="15.75" customHeight="1">
      <c r="A242" s="285" t="s">
        <v>688</v>
      </c>
      <c r="B242" s="286" t="s">
        <v>810</v>
      </c>
      <c r="C242" s="245" t="s">
        <v>827</v>
      </c>
      <c r="D242" s="275"/>
      <c r="E242" s="61" t="s">
        <v>374</v>
      </c>
      <c r="F242" s="61"/>
      <c r="G242" s="61"/>
      <c r="H242" s="61"/>
      <c r="I242" s="61"/>
      <c r="J242" s="61"/>
      <c r="K242" s="137"/>
      <c r="L242" s="137"/>
      <c r="M242" s="137"/>
      <c r="N242" s="137"/>
      <c r="O242" s="137"/>
      <c r="P242" s="137"/>
      <c r="Q242" s="137"/>
      <c r="R242" s="137"/>
      <c r="S242" s="137"/>
      <c r="T242" s="137"/>
      <c r="U242" s="137"/>
      <c r="V242" s="137"/>
      <c r="W242" s="137"/>
      <c r="X242" s="137"/>
      <c r="Y242" s="137"/>
      <c r="Z242" s="137"/>
      <c r="AA242" s="137"/>
      <c r="AB242" s="137"/>
      <c r="AC242" s="137"/>
      <c r="AD242" s="137"/>
      <c r="AE242" s="137"/>
      <c r="AF242" s="137"/>
      <c r="AG242" s="137"/>
      <c r="AH242" s="137"/>
      <c r="AI242" s="137"/>
      <c r="AJ242" s="137"/>
      <c r="AK242" s="137"/>
      <c r="AL242" s="137"/>
    </row>
    <row r="243" spans="1:38" ht="15.75" customHeight="1">
      <c r="A243" s="285" t="s">
        <v>688</v>
      </c>
      <c r="B243" s="286" t="s">
        <v>810</v>
      </c>
      <c r="C243" s="245" t="s">
        <v>828</v>
      </c>
      <c r="D243" s="272" t="s">
        <v>829</v>
      </c>
      <c r="E243" s="61" t="s">
        <v>374</v>
      </c>
      <c r="F243" s="61"/>
      <c r="G243" s="61"/>
      <c r="H243" s="61"/>
      <c r="I243" s="61"/>
      <c r="J243" s="61"/>
      <c r="K243" s="137"/>
      <c r="L243" s="137"/>
      <c r="M243" s="137"/>
      <c r="N243" s="137"/>
      <c r="O243" s="137"/>
      <c r="P243" s="137"/>
      <c r="Q243" s="137"/>
      <c r="R243" s="137"/>
      <c r="S243" s="137"/>
      <c r="T243" s="137"/>
      <c r="U243" s="137"/>
      <c r="V243" s="137"/>
      <c r="W243" s="137"/>
      <c r="X243" s="137"/>
      <c r="Y243" s="137"/>
      <c r="Z243" s="137"/>
      <c r="AA243" s="137"/>
      <c r="AB243" s="137"/>
      <c r="AC243" s="137"/>
      <c r="AD243" s="137"/>
      <c r="AE243" s="137"/>
      <c r="AF243" s="137"/>
      <c r="AG243" s="137"/>
      <c r="AH243" s="137"/>
      <c r="AI243" s="137"/>
      <c r="AJ243" s="137"/>
      <c r="AK243" s="137"/>
      <c r="AL243" s="137"/>
    </row>
    <row r="244" spans="1:38" ht="15.75" customHeight="1">
      <c r="A244" s="285" t="s">
        <v>688</v>
      </c>
      <c r="B244" s="286" t="s">
        <v>810</v>
      </c>
      <c r="C244" s="245" t="s">
        <v>830</v>
      </c>
      <c r="D244" s="272" t="s">
        <v>831</v>
      </c>
      <c r="E244" s="61" t="s">
        <v>374</v>
      </c>
      <c r="F244" s="61"/>
      <c r="G244" s="61"/>
      <c r="H244" s="61"/>
      <c r="I244" s="61"/>
      <c r="J244" s="61"/>
      <c r="K244" s="137"/>
      <c r="L244" s="137"/>
      <c r="M244" s="137"/>
      <c r="N244" s="137"/>
      <c r="O244" s="137"/>
      <c r="P244" s="137"/>
      <c r="Q244" s="137"/>
      <c r="R244" s="137"/>
      <c r="S244" s="137"/>
      <c r="T244" s="137"/>
      <c r="U244" s="137"/>
      <c r="V244" s="137"/>
      <c r="W244" s="137"/>
      <c r="X244" s="137"/>
      <c r="Y244" s="137"/>
      <c r="Z244" s="137"/>
      <c r="AA244" s="137"/>
      <c r="AB244" s="137"/>
      <c r="AC244" s="137"/>
      <c r="AD244" s="137"/>
      <c r="AE244" s="137"/>
      <c r="AF244" s="137"/>
      <c r="AG244" s="137"/>
      <c r="AH244" s="137"/>
      <c r="AI244" s="137"/>
      <c r="AJ244" s="137"/>
      <c r="AK244" s="137"/>
      <c r="AL244" s="137"/>
    </row>
    <row r="245" spans="1:38" ht="15.75" customHeight="1">
      <c r="A245" s="285" t="s">
        <v>688</v>
      </c>
      <c r="B245" s="286" t="s">
        <v>810</v>
      </c>
      <c r="C245" s="245" t="s">
        <v>832</v>
      </c>
      <c r="D245" s="272" t="s">
        <v>833</v>
      </c>
      <c r="E245" s="61" t="s">
        <v>374</v>
      </c>
      <c r="F245" s="61"/>
      <c r="G245" s="61"/>
      <c r="H245" s="61"/>
      <c r="I245" s="61"/>
      <c r="J245" s="61"/>
      <c r="K245" s="137"/>
      <c r="L245" s="137"/>
      <c r="M245" s="137"/>
      <c r="N245" s="137"/>
      <c r="O245" s="137"/>
      <c r="P245" s="137"/>
      <c r="Q245" s="137"/>
      <c r="R245" s="137"/>
      <c r="S245" s="137"/>
      <c r="T245" s="137"/>
      <c r="U245" s="137"/>
      <c r="V245" s="137"/>
      <c r="W245" s="137"/>
      <c r="X245" s="137"/>
      <c r="Y245" s="137"/>
      <c r="Z245" s="137"/>
      <c r="AA245" s="137"/>
      <c r="AB245" s="137"/>
      <c r="AC245" s="137"/>
      <c r="AD245" s="137"/>
      <c r="AE245" s="137"/>
      <c r="AF245" s="137"/>
      <c r="AG245" s="137"/>
      <c r="AH245" s="137"/>
      <c r="AI245" s="137"/>
      <c r="AJ245" s="137"/>
      <c r="AK245" s="137"/>
      <c r="AL245" s="137"/>
    </row>
    <row r="246" spans="1:38" ht="15.75" customHeight="1">
      <c r="A246" s="285" t="s">
        <v>688</v>
      </c>
      <c r="B246" s="286" t="s">
        <v>810</v>
      </c>
      <c r="C246" s="245" t="s">
        <v>834</v>
      </c>
      <c r="D246" s="272" t="s">
        <v>835</v>
      </c>
      <c r="E246" s="61" t="s">
        <v>374</v>
      </c>
      <c r="F246" s="61"/>
      <c r="G246" s="61"/>
      <c r="H246" s="61"/>
      <c r="I246" s="61"/>
      <c r="J246" s="61"/>
      <c r="K246" s="137"/>
      <c r="L246" s="137"/>
      <c r="M246" s="137"/>
      <c r="N246" s="137"/>
      <c r="O246" s="137"/>
      <c r="P246" s="137"/>
      <c r="Q246" s="137"/>
      <c r="R246" s="137"/>
      <c r="S246" s="137"/>
      <c r="T246" s="137"/>
      <c r="U246" s="137"/>
      <c r="V246" s="137"/>
      <c r="W246" s="137"/>
      <c r="X246" s="137"/>
      <c r="Y246" s="137"/>
      <c r="Z246" s="137"/>
      <c r="AA246" s="137"/>
      <c r="AB246" s="137"/>
      <c r="AC246" s="137"/>
      <c r="AD246" s="137"/>
      <c r="AE246" s="137"/>
      <c r="AF246" s="137"/>
      <c r="AG246" s="137"/>
      <c r="AH246" s="137"/>
      <c r="AI246" s="137"/>
      <c r="AJ246" s="137"/>
      <c r="AK246" s="137"/>
      <c r="AL246" s="137"/>
    </row>
    <row r="247" spans="1:38" ht="15.75" customHeight="1">
      <c r="A247" s="285" t="s">
        <v>688</v>
      </c>
      <c r="B247" s="286" t="s">
        <v>810</v>
      </c>
      <c r="C247" s="245" t="s">
        <v>836</v>
      </c>
      <c r="D247" s="272" t="s">
        <v>837</v>
      </c>
      <c r="E247" s="61" t="s">
        <v>374</v>
      </c>
      <c r="F247" s="61"/>
      <c r="G247" s="61"/>
      <c r="H247" s="61"/>
      <c r="I247" s="61"/>
      <c r="J247" s="61"/>
      <c r="K247" s="137"/>
      <c r="L247" s="137"/>
      <c r="M247" s="137"/>
      <c r="N247" s="137"/>
      <c r="O247" s="137"/>
      <c r="P247" s="137"/>
      <c r="Q247" s="137"/>
      <c r="R247" s="137"/>
      <c r="S247" s="137"/>
      <c r="T247" s="137"/>
      <c r="U247" s="137"/>
      <c r="V247" s="137"/>
      <c r="W247" s="137"/>
      <c r="X247" s="137"/>
      <c r="Y247" s="137"/>
      <c r="Z247" s="137"/>
      <c r="AA247" s="137"/>
      <c r="AB247" s="137"/>
      <c r="AC247" s="137"/>
      <c r="AD247" s="137"/>
      <c r="AE247" s="137"/>
      <c r="AF247" s="137"/>
      <c r="AG247" s="137"/>
      <c r="AH247" s="137"/>
      <c r="AI247" s="137"/>
      <c r="AJ247" s="137"/>
      <c r="AK247" s="137"/>
      <c r="AL247" s="137"/>
    </row>
    <row r="248" spans="1:38" ht="15.75" customHeight="1">
      <c r="A248" s="285" t="s">
        <v>688</v>
      </c>
      <c r="B248" s="286" t="s">
        <v>810</v>
      </c>
      <c r="C248" s="245" t="s">
        <v>838</v>
      </c>
      <c r="D248" s="272" t="s">
        <v>839</v>
      </c>
      <c r="E248" s="61" t="s">
        <v>374</v>
      </c>
      <c r="F248" s="61"/>
      <c r="G248" s="61"/>
      <c r="H248" s="61"/>
      <c r="I248" s="61"/>
      <c r="J248" s="61"/>
      <c r="K248" s="137"/>
      <c r="L248" s="137"/>
      <c r="M248" s="137"/>
      <c r="N248" s="137"/>
      <c r="O248" s="137"/>
      <c r="P248" s="137"/>
      <c r="Q248" s="137"/>
      <c r="R248" s="137"/>
      <c r="S248" s="137"/>
      <c r="T248" s="137"/>
      <c r="U248" s="137"/>
      <c r="V248" s="137"/>
      <c r="W248" s="137"/>
      <c r="X248" s="137"/>
      <c r="Y248" s="137"/>
      <c r="Z248" s="137"/>
      <c r="AA248" s="137"/>
      <c r="AB248" s="137"/>
      <c r="AC248" s="137"/>
      <c r="AD248" s="137"/>
      <c r="AE248" s="137"/>
      <c r="AF248" s="137"/>
      <c r="AG248" s="137"/>
      <c r="AH248" s="137"/>
      <c r="AI248" s="137"/>
      <c r="AJ248" s="137"/>
      <c r="AK248" s="137"/>
      <c r="AL248" s="137"/>
    </row>
    <row r="249" spans="1:38" ht="15.75" customHeight="1">
      <c r="A249" s="289" t="s">
        <v>840</v>
      </c>
      <c r="B249" s="20" t="s">
        <v>841</v>
      </c>
      <c r="C249" s="245" t="s">
        <v>153</v>
      </c>
      <c r="D249" s="272" t="s">
        <v>842</v>
      </c>
      <c r="E249" s="61" t="s">
        <v>351</v>
      </c>
      <c r="F249" s="61"/>
      <c r="G249" s="61"/>
      <c r="H249" s="61"/>
      <c r="I249" s="61"/>
      <c r="J249" s="61"/>
      <c r="K249" s="137"/>
      <c r="L249" s="137"/>
      <c r="M249" s="137"/>
      <c r="N249" s="137"/>
      <c r="O249" s="137"/>
      <c r="P249" s="137"/>
      <c r="Q249" s="137"/>
      <c r="R249" s="137"/>
      <c r="S249" s="137"/>
      <c r="T249" s="137"/>
      <c r="U249" s="137"/>
      <c r="V249" s="137"/>
      <c r="W249" s="137"/>
      <c r="X249" s="137"/>
      <c r="Y249" s="137"/>
      <c r="Z249" s="137"/>
      <c r="AA249" s="137"/>
      <c r="AB249" s="137"/>
      <c r="AC249" s="137"/>
      <c r="AD249" s="137"/>
      <c r="AE249" s="137"/>
      <c r="AF249" s="137"/>
      <c r="AG249" s="137"/>
      <c r="AH249" s="137"/>
      <c r="AI249" s="137"/>
      <c r="AJ249" s="137"/>
      <c r="AK249" s="137"/>
      <c r="AL249" s="137"/>
    </row>
    <row r="250" spans="1:38" ht="15.75" customHeight="1">
      <c r="A250" s="289" t="s">
        <v>840</v>
      </c>
      <c r="B250" s="20" t="s">
        <v>841</v>
      </c>
      <c r="C250" s="245" t="s">
        <v>843</v>
      </c>
      <c r="D250" s="272" t="s">
        <v>844</v>
      </c>
      <c r="E250" s="61" t="s">
        <v>351</v>
      </c>
      <c r="F250" s="61"/>
      <c r="G250" s="61"/>
      <c r="H250" s="61"/>
      <c r="I250" s="61"/>
      <c r="J250" s="61"/>
      <c r="K250" s="137"/>
      <c r="L250" s="137"/>
      <c r="M250" s="137"/>
      <c r="N250" s="137"/>
      <c r="O250" s="137"/>
      <c r="P250" s="137"/>
      <c r="Q250" s="137"/>
      <c r="R250" s="137"/>
      <c r="S250" s="137"/>
      <c r="T250" s="137"/>
      <c r="U250" s="137"/>
      <c r="V250" s="137"/>
      <c r="W250" s="137"/>
      <c r="X250" s="137"/>
      <c r="Y250" s="137"/>
      <c r="Z250" s="137"/>
      <c r="AA250" s="137"/>
      <c r="AB250" s="137"/>
      <c r="AC250" s="137"/>
      <c r="AD250" s="137"/>
      <c r="AE250" s="137"/>
      <c r="AF250" s="137"/>
      <c r="AG250" s="137"/>
      <c r="AH250" s="137"/>
      <c r="AI250" s="137"/>
      <c r="AJ250" s="137"/>
      <c r="AK250" s="137"/>
      <c r="AL250" s="137"/>
    </row>
    <row r="251" spans="1:38" ht="15.75" customHeight="1">
      <c r="A251" s="289" t="s">
        <v>840</v>
      </c>
      <c r="B251" s="20" t="s">
        <v>841</v>
      </c>
      <c r="C251" s="245" t="s">
        <v>845</v>
      </c>
      <c r="D251" s="272" t="s">
        <v>846</v>
      </c>
      <c r="E251" s="61" t="s">
        <v>351</v>
      </c>
      <c r="F251" s="61"/>
      <c r="G251" s="61"/>
      <c r="H251" s="61"/>
      <c r="I251" s="61"/>
      <c r="J251" s="61"/>
      <c r="K251" s="137"/>
      <c r="L251" s="137"/>
      <c r="M251" s="137"/>
      <c r="N251" s="137"/>
      <c r="O251" s="137"/>
      <c r="P251" s="137"/>
      <c r="Q251" s="137"/>
      <c r="R251" s="137"/>
      <c r="S251" s="137"/>
      <c r="T251" s="137"/>
      <c r="U251" s="137"/>
      <c r="V251" s="137"/>
      <c r="W251" s="137"/>
      <c r="X251" s="137"/>
      <c r="Y251" s="137"/>
      <c r="Z251" s="137"/>
      <c r="AA251" s="137"/>
      <c r="AB251" s="137"/>
      <c r="AC251" s="137"/>
      <c r="AD251" s="137"/>
      <c r="AE251" s="137"/>
      <c r="AF251" s="137"/>
      <c r="AG251" s="137"/>
      <c r="AH251" s="137"/>
      <c r="AI251" s="137"/>
      <c r="AJ251" s="137"/>
      <c r="AK251" s="137"/>
      <c r="AL251" s="137"/>
    </row>
    <row r="252" spans="1:38" ht="15.75" customHeight="1">
      <c r="A252" s="289" t="s">
        <v>840</v>
      </c>
      <c r="B252" s="20" t="s">
        <v>841</v>
      </c>
      <c r="C252" s="245" t="s">
        <v>847</v>
      </c>
      <c r="D252" s="272" t="s">
        <v>848</v>
      </c>
      <c r="E252" s="61" t="s">
        <v>351</v>
      </c>
      <c r="F252" s="61"/>
      <c r="G252" s="61"/>
      <c r="H252" s="61"/>
      <c r="I252" s="61"/>
      <c r="J252" s="61"/>
      <c r="K252" s="137"/>
      <c r="L252" s="137"/>
      <c r="M252" s="137"/>
      <c r="N252" s="137"/>
      <c r="O252" s="137"/>
      <c r="P252" s="137"/>
      <c r="Q252" s="137"/>
      <c r="R252" s="137"/>
      <c r="S252" s="137"/>
      <c r="T252" s="137"/>
      <c r="U252" s="137"/>
      <c r="V252" s="137"/>
      <c r="W252" s="137"/>
      <c r="X252" s="137"/>
      <c r="Y252" s="137"/>
      <c r="Z252" s="137"/>
      <c r="AA252" s="137"/>
      <c r="AB252" s="137"/>
      <c r="AC252" s="137"/>
      <c r="AD252" s="137"/>
      <c r="AE252" s="137"/>
      <c r="AF252" s="137"/>
      <c r="AG252" s="137"/>
      <c r="AH252" s="137"/>
      <c r="AI252" s="137"/>
      <c r="AJ252" s="137"/>
      <c r="AK252" s="137"/>
      <c r="AL252" s="137"/>
    </row>
    <row r="253" spans="1:38" ht="15.75" customHeight="1">
      <c r="A253" s="289" t="s">
        <v>840</v>
      </c>
      <c r="B253" s="20" t="s">
        <v>841</v>
      </c>
      <c r="C253" s="245" t="s">
        <v>849</v>
      </c>
      <c r="D253" s="272" t="s">
        <v>850</v>
      </c>
      <c r="E253" s="61" t="s">
        <v>351</v>
      </c>
      <c r="F253" s="61"/>
      <c r="G253" s="61"/>
      <c r="H253" s="61"/>
      <c r="I253" s="61"/>
      <c r="J253" s="61"/>
      <c r="K253" s="137"/>
      <c r="L253" s="137"/>
      <c r="M253" s="137"/>
      <c r="N253" s="137"/>
      <c r="O253" s="137"/>
      <c r="P253" s="137"/>
      <c r="Q253" s="137"/>
      <c r="R253" s="137"/>
      <c r="S253" s="137"/>
      <c r="T253" s="137"/>
      <c r="U253" s="137"/>
      <c r="V253" s="137"/>
      <c r="W253" s="137"/>
      <c r="X253" s="137"/>
      <c r="Y253" s="137"/>
      <c r="Z253" s="137"/>
      <c r="AA253" s="137"/>
      <c r="AB253" s="137"/>
      <c r="AC253" s="137"/>
      <c r="AD253" s="137"/>
      <c r="AE253" s="137"/>
      <c r="AF253" s="137"/>
      <c r="AG253" s="137"/>
      <c r="AH253" s="137"/>
      <c r="AI253" s="137"/>
      <c r="AJ253" s="137"/>
      <c r="AK253" s="137"/>
      <c r="AL253" s="137"/>
    </row>
    <row r="254" spans="1:38" ht="15.75" customHeight="1">
      <c r="A254" s="20" t="s">
        <v>840</v>
      </c>
      <c r="B254" s="20" t="s">
        <v>841</v>
      </c>
      <c r="C254" s="245" t="s">
        <v>851</v>
      </c>
      <c r="D254" s="272" t="s">
        <v>852</v>
      </c>
      <c r="E254" s="61" t="s">
        <v>351</v>
      </c>
      <c r="F254" s="61"/>
      <c r="G254" s="61"/>
      <c r="H254" s="61"/>
      <c r="I254" s="61"/>
      <c r="J254" s="61"/>
      <c r="K254" s="137"/>
      <c r="L254" s="137"/>
      <c r="M254" s="137"/>
      <c r="N254" s="137"/>
      <c r="O254" s="137"/>
      <c r="P254" s="137"/>
      <c r="Q254" s="137"/>
      <c r="R254" s="137"/>
      <c r="S254" s="137"/>
      <c r="T254" s="137"/>
      <c r="U254" s="137"/>
      <c r="V254" s="137"/>
      <c r="W254" s="137"/>
      <c r="X254" s="137"/>
      <c r="Y254" s="137"/>
      <c r="Z254" s="137"/>
      <c r="AA254" s="137"/>
      <c r="AB254" s="137"/>
      <c r="AC254" s="137"/>
      <c r="AD254" s="137"/>
      <c r="AE254" s="137"/>
      <c r="AF254" s="137"/>
      <c r="AG254" s="137"/>
      <c r="AH254" s="137"/>
      <c r="AI254" s="137"/>
      <c r="AJ254" s="137"/>
      <c r="AK254" s="137"/>
      <c r="AL254" s="137"/>
    </row>
    <row r="255" spans="1:38" ht="15.75" customHeight="1">
      <c r="A255" s="20" t="s">
        <v>840</v>
      </c>
      <c r="B255" s="20" t="s">
        <v>841</v>
      </c>
      <c r="C255" s="245" t="s">
        <v>853</v>
      </c>
      <c r="D255" s="272" t="s">
        <v>854</v>
      </c>
      <c r="E255" s="61" t="s">
        <v>351</v>
      </c>
      <c r="F255" s="61"/>
      <c r="G255" s="61"/>
      <c r="H255" s="61"/>
      <c r="I255" s="61"/>
      <c r="J255" s="61"/>
      <c r="K255" s="137"/>
      <c r="L255" s="137"/>
      <c r="M255" s="137"/>
      <c r="N255" s="137"/>
      <c r="O255" s="137"/>
      <c r="P255" s="137"/>
      <c r="Q255" s="137"/>
      <c r="R255" s="137"/>
      <c r="S255" s="137"/>
      <c r="T255" s="137"/>
      <c r="U255" s="137"/>
      <c r="V255" s="137"/>
      <c r="W255" s="137"/>
      <c r="X255" s="137"/>
      <c r="Y255" s="137"/>
      <c r="Z255" s="137"/>
      <c r="AA255" s="137"/>
      <c r="AB255" s="137"/>
      <c r="AC255" s="137"/>
      <c r="AD255" s="137"/>
      <c r="AE255" s="137"/>
      <c r="AF255" s="137"/>
      <c r="AG255" s="137"/>
      <c r="AH255" s="137"/>
      <c r="AI255" s="137"/>
      <c r="AJ255" s="137"/>
      <c r="AK255" s="137"/>
      <c r="AL255" s="137"/>
    </row>
    <row r="256" spans="1:38" ht="15.75" customHeight="1">
      <c r="A256" s="20" t="s">
        <v>840</v>
      </c>
      <c r="B256" s="20" t="s">
        <v>841</v>
      </c>
      <c r="C256" s="245" t="s">
        <v>855</v>
      </c>
      <c r="D256" s="272" t="s">
        <v>856</v>
      </c>
      <c r="E256" s="61" t="s">
        <v>351</v>
      </c>
      <c r="F256" s="61"/>
      <c r="G256" s="61"/>
      <c r="H256" s="61"/>
      <c r="I256" s="61"/>
      <c r="J256" s="61"/>
      <c r="K256" s="137"/>
      <c r="L256" s="137"/>
      <c r="M256" s="137"/>
      <c r="N256" s="137"/>
      <c r="O256" s="137"/>
      <c r="P256" s="137"/>
      <c r="Q256" s="137"/>
      <c r="R256" s="137"/>
      <c r="S256" s="137"/>
      <c r="T256" s="137"/>
      <c r="U256" s="137"/>
      <c r="V256" s="137"/>
      <c r="W256" s="137"/>
      <c r="X256" s="137"/>
      <c r="Y256" s="137"/>
      <c r="Z256" s="137"/>
      <c r="AA256" s="137"/>
      <c r="AB256" s="137"/>
      <c r="AC256" s="137"/>
      <c r="AD256" s="137"/>
      <c r="AE256" s="137"/>
      <c r="AF256" s="137"/>
      <c r="AG256" s="137"/>
      <c r="AH256" s="137"/>
      <c r="AI256" s="137"/>
      <c r="AJ256" s="137"/>
      <c r="AK256" s="137"/>
      <c r="AL256" s="137"/>
    </row>
    <row r="257" spans="1:38" ht="15.75" customHeight="1">
      <c r="A257" s="20" t="s">
        <v>840</v>
      </c>
      <c r="B257" s="20" t="s">
        <v>841</v>
      </c>
      <c r="C257" s="245" t="s">
        <v>857</v>
      </c>
      <c r="D257" s="272" t="s">
        <v>858</v>
      </c>
      <c r="E257" s="61" t="s">
        <v>351</v>
      </c>
      <c r="F257" s="61"/>
      <c r="G257" s="61"/>
      <c r="H257" s="61"/>
      <c r="I257" s="61"/>
      <c r="J257" s="61"/>
      <c r="K257" s="137"/>
      <c r="L257" s="137"/>
      <c r="M257" s="137"/>
      <c r="N257" s="137"/>
      <c r="O257" s="137"/>
      <c r="P257" s="137"/>
      <c r="Q257" s="137"/>
      <c r="R257" s="137"/>
      <c r="S257" s="137"/>
      <c r="T257" s="137"/>
      <c r="U257" s="137"/>
      <c r="V257" s="137"/>
      <c r="W257" s="137"/>
      <c r="X257" s="137"/>
      <c r="Y257" s="137"/>
      <c r="Z257" s="137"/>
      <c r="AA257" s="137"/>
      <c r="AB257" s="137"/>
      <c r="AC257" s="137"/>
      <c r="AD257" s="137"/>
      <c r="AE257" s="137"/>
      <c r="AF257" s="137"/>
      <c r="AG257" s="137"/>
      <c r="AH257" s="137"/>
      <c r="AI257" s="137"/>
      <c r="AJ257" s="137"/>
      <c r="AK257" s="137"/>
      <c r="AL257" s="137"/>
    </row>
    <row r="258" spans="1:38" ht="15.75" customHeight="1">
      <c r="A258" s="20" t="s">
        <v>840</v>
      </c>
      <c r="B258" s="20" t="s">
        <v>841</v>
      </c>
      <c r="C258" s="245" t="s">
        <v>859</v>
      </c>
      <c r="D258" s="272" t="s">
        <v>860</v>
      </c>
      <c r="E258" s="61" t="s">
        <v>351</v>
      </c>
      <c r="F258" s="61"/>
      <c r="G258" s="61"/>
      <c r="H258" s="61"/>
      <c r="I258" s="61"/>
      <c r="J258" s="61"/>
      <c r="K258" s="137"/>
      <c r="L258" s="137"/>
      <c r="M258" s="137"/>
      <c r="N258" s="137"/>
      <c r="O258" s="137"/>
      <c r="P258" s="137"/>
      <c r="Q258" s="137"/>
      <c r="R258" s="137"/>
      <c r="S258" s="137"/>
      <c r="T258" s="137"/>
      <c r="U258" s="137"/>
      <c r="V258" s="137"/>
      <c r="W258" s="137"/>
      <c r="X258" s="137"/>
      <c r="Y258" s="137"/>
      <c r="Z258" s="137"/>
      <c r="AA258" s="137"/>
      <c r="AB258" s="137"/>
      <c r="AC258" s="137"/>
      <c r="AD258" s="137"/>
      <c r="AE258" s="137"/>
      <c r="AF258" s="137"/>
      <c r="AG258" s="137"/>
      <c r="AH258" s="137"/>
      <c r="AI258" s="137"/>
      <c r="AJ258" s="137"/>
      <c r="AK258" s="137"/>
      <c r="AL258" s="137"/>
    </row>
    <row r="259" spans="1:38" ht="15.75" customHeight="1">
      <c r="A259" s="20" t="s">
        <v>840</v>
      </c>
      <c r="B259" s="20" t="s">
        <v>841</v>
      </c>
      <c r="C259" s="245" t="s">
        <v>861</v>
      </c>
      <c r="D259" s="275"/>
      <c r="E259" s="61" t="s">
        <v>351</v>
      </c>
      <c r="F259" s="61"/>
      <c r="G259" s="61"/>
      <c r="H259" s="61"/>
      <c r="I259" s="61"/>
      <c r="J259" s="61"/>
      <c r="K259" s="137"/>
      <c r="L259" s="137"/>
      <c r="M259" s="137"/>
      <c r="N259" s="137"/>
      <c r="O259" s="137"/>
      <c r="P259" s="137"/>
      <c r="Q259" s="137"/>
      <c r="R259" s="137"/>
      <c r="S259" s="137"/>
      <c r="T259" s="137"/>
      <c r="U259" s="137"/>
      <c r="V259" s="137"/>
      <c r="W259" s="137"/>
      <c r="X259" s="137"/>
      <c r="Y259" s="137"/>
      <c r="Z259" s="137"/>
      <c r="AA259" s="137"/>
      <c r="AB259" s="137"/>
      <c r="AC259" s="137"/>
      <c r="AD259" s="137"/>
      <c r="AE259" s="137"/>
      <c r="AF259" s="137"/>
      <c r="AG259" s="137"/>
      <c r="AH259" s="137"/>
      <c r="AI259" s="137"/>
      <c r="AJ259" s="137"/>
      <c r="AK259" s="137"/>
      <c r="AL259" s="137"/>
    </row>
    <row r="260" spans="1:38" ht="15.75" customHeight="1">
      <c r="A260" s="20" t="s">
        <v>840</v>
      </c>
      <c r="B260" s="20" t="s">
        <v>841</v>
      </c>
      <c r="C260" s="245" t="s">
        <v>862</v>
      </c>
      <c r="D260" s="272" t="s">
        <v>863</v>
      </c>
      <c r="E260" s="61" t="s">
        <v>351</v>
      </c>
      <c r="F260" s="61"/>
      <c r="G260" s="61"/>
      <c r="H260" s="61" t="s">
        <v>355</v>
      </c>
      <c r="I260" s="61"/>
      <c r="J260" s="61"/>
      <c r="K260" s="137"/>
      <c r="L260" s="137"/>
      <c r="M260" s="137"/>
      <c r="N260" s="137"/>
      <c r="O260" s="137"/>
      <c r="P260" s="137"/>
      <c r="Q260" s="137"/>
      <c r="R260" s="137"/>
      <c r="S260" s="137"/>
      <c r="T260" s="137"/>
      <c r="U260" s="137"/>
      <c r="V260" s="137"/>
      <c r="W260" s="137"/>
      <c r="X260" s="137"/>
      <c r="Y260" s="137"/>
      <c r="Z260" s="137"/>
      <c r="AA260" s="137"/>
      <c r="AB260" s="137"/>
      <c r="AC260" s="137"/>
      <c r="AD260" s="137"/>
      <c r="AE260" s="137"/>
      <c r="AF260" s="137"/>
      <c r="AG260" s="137"/>
      <c r="AH260" s="137"/>
      <c r="AI260" s="137"/>
      <c r="AJ260" s="137"/>
      <c r="AK260" s="137"/>
      <c r="AL260" s="137"/>
    </row>
    <row r="261" spans="1:38" ht="15.75" customHeight="1">
      <c r="A261" s="20" t="s">
        <v>840</v>
      </c>
      <c r="B261" s="20" t="s">
        <v>841</v>
      </c>
      <c r="C261" s="245" t="s">
        <v>864</v>
      </c>
      <c r="D261" s="272" t="s">
        <v>865</v>
      </c>
      <c r="E261" s="61" t="s">
        <v>351</v>
      </c>
      <c r="F261" s="61"/>
      <c r="G261" s="61"/>
      <c r="H261" s="61"/>
      <c r="I261" s="61"/>
      <c r="J261" s="61"/>
      <c r="K261" s="137"/>
      <c r="L261" s="137"/>
      <c r="M261" s="137"/>
      <c r="N261" s="137"/>
      <c r="O261" s="137"/>
      <c r="P261" s="137"/>
      <c r="Q261" s="137"/>
      <c r="R261" s="137"/>
      <c r="S261" s="137"/>
      <c r="T261" s="137"/>
      <c r="U261" s="137"/>
      <c r="V261" s="137"/>
      <c r="W261" s="137"/>
      <c r="X261" s="137"/>
      <c r="Y261" s="137"/>
      <c r="Z261" s="137"/>
      <c r="AA261" s="137"/>
      <c r="AB261" s="137"/>
      <c r="AC261" s="137"/>
      <c r="AD261" s="137"/>
      <c r="AE261" s="137"/>
      <c r="AF261" s="137"/>
      <c r="AG261" s="137"/>
      <c r="AH261" s="137"/>
      <c r="AI261" s="137"/>
      <c r="AJ261" s="137"/>
      <c r="AK261" s="137"/>
      <c r="AL261" s="137"/>
    </row>
    <row r="262" spans="1:38" ht="15.75" customHeight="1">
      <c r="A262" s="20" t="s">
        <v>840</v>
      </c>
      <c r="B262" s="20" t="s">
        <v>841</v>
      </c>
      <c r="C262" s="245" t="s">
        <v>866</v>
      </c>
      <c r="D262" s="272" t="s">
        <v>867</v>
      </c>
      <c r="E262" s="61" t="s">
        <v>351</v>
      </c>
      <c r="F262" s="61"/>
      <c r="G262" s="61"/>
      <c r="H262" s="61"/>
      <c r="I262" s="61"/>
      <c r="J262" s="61"/>
      <c r="K262" s="137"/>
      <c r="L262" s="137"/>
      <c r="M262" s="137"/>
      <c r="N262" s="137"/>
      <c r="O262" s="137"/>
      <c r="P262" s="137"/>
      <c r="Q262" s="137"/>
      <c r="R262" s="137"/>
      <c r="S262" s="137"/>
      <c r="T262" s="137"/>
      <c r="U262" s="137"/>
      <c r="V262" s="137"/>
      <c r="W262" s="137"/>
      <c r="X262" s="137"/>
      <c r="Y262" s="137"/>
      <c r="Z262" s="137"/>
      <c r="AA262" s="137"/>
      <c r="AB262" s="137"/>
      <c r="AC262" s="137"/>
      <c r="AD262" s="137"/>
      <c r="AE262" s="137"/>
      <c r="AF262" s="137"/>
      <c r="AG262" s="137"/>
      <c r="AH262" s="137"/>
      <c r="AI262" s="137"/>
      <c r="AJ262" s="137"/>
      <c r="AK262" s="137"/>
      <c r="AL262" s="137"/>
    </row>
    <row r="263" spans="1:38" ht="15.75" customHeight="1">
      <c r="A263" s="20" t="s">
        <v>840</v>
      </c>
      <c r="B263" s="20" t="s">
        <v>841</v>
      </c>
      <c r="C263" s="245" t="s">
        <v>868</v>
      </c>
      <c r="D263" s="272" t="s">
        <v>869</v>
      </c>
      <c r="E263" s="61" t="s">
        <v>351</v>
      </c>
      <c r="F263" s="61"/>
      <c r="G263" s="61"/>
      <c r="H263" s="61"/>
      <c r="I263" s="61"/>
      <c r="J263" s="61"/>
      <c r="K263" s="137"/>
      <c r="L263" s="137"/>
      <c r="M263" s="137"/>
      <c r="N263" s="137"/>
      <c r="O263" s="137"/>
      <c r="P263" s="137"/>
      <c r="Q263" s="137"/>
      <c r="R263" s="137"/>
      <c r="S263" s="137"/>
      <c r="T263" s="137"/>
      <c r="U263" s="137"/>
      <c r="V263" s="137"/>
      <c r="W263" s="137"/>
      <c r="X263" s="137"/>
      <c r="Y263" s="137"/>
      <c r="Z263" s="137"/>
      <c r="AA263" s="137"/>
      <c r="AB263" s="137"/>
      <c r="AC263" s="137"/>
      <c r="AD263" s="137"/>
      <c r="AE263" s="137"/>
      <c r="AF263" s="137"/>
      <c r="AG263" s="137"/>
      <c r="AH263" s="137"/>
      <c r="AI263" s="137"/>
      <c r="AJ263" s="137"/>
      <c r="AK263" s="137"/>
      <c r="AL263" s="137"/>
    </row>
    <row r="264" spans="1:38" ht="15.75" customHeight="1">
      <c r="A264" s="290" t="s">
        <v>840</v>
      </c>
      <c r="B264" s="20" t="s">
        <v>841</v>
      </c>
      <c r="C264" s="245" t="s">
        <v>870</v>
      </c>
      <c r="D264" s="272" t="s">
        <v>871</v>
      </c>
      <c r="E264" s="61" t="s">
        <v>351</v>
      </c>
      <c r="F264" s="61"/>
      <c r="G264" s="61"/>
      <c r="H264" s="61"/>
      <c r="I264" s="61"/>
      <c r="J264" s="61"/>
      <c r="K264" s="137"/>
      <c r="L264" s="137"/>
      <c r="M264" s="137"/>
      <c r="N264" s="137"/>
      <c r="O264" s="137"/>
      <c r="P264" s="137"/>
      <c r="Q264" s="137"/>
      <c r="R264" s="137"/>
      <c r="S264" s="137"/>
      <c r="T264" s="137"/>
      <c r="U264" s="137"/>
      <c r="V264" s="137"/>
      <c r="W264" s="137"/>
      <c r="X264" s="137"/>
      <c r="Y264" s="137"/>
      <c r="Z264" s="137"/>
      <c r="AA264" s="137"/>
      <c r="AB264" s="137"/>
      <c r="AC264" s="137"/>
      <c r="AD264" s="137"/>
      <c r="AE264" s="137"/>
      <c r="AF264" s="137"/>
      <c r="AG264" s="137"/>
      <c r="AH264" s="137"/>
      <c r="AI264" s="137"/>
      <c r="AJ264" s="137"/>
      <c r="AK264" s="137"/>
      <c r="AL264" s="137"/>
    </row>
    <row r="265" spans="1:38" ht="15.75" customHeight="1">
      <c r="A265" s="20" t="s">
        <v>840</v>
      </c>
      <c r="B265" s="20" t="s">
        <v>841</v>
      </c>
      <c r="C265" s="245" t="s">
        <v>872</v>
      </c>
      <c r="D265" s="275"/>
      <c r="E265" s="61" t="s">
        <v>351</v>
      </c>
      <c r="F265" s="61"/>
      <c r="G265" s="61"/>
      <c r="H265" s="61"/>
      <c r="I265" s="61"/>
      <c r="J265" s="61"/>
      <c r="K265" s="137"/>
      <c r="L265" s="137"/>
      <c r="M265" s="137"/>
      <c r="N265" s="137"/>
      <c r="O265" s="137"/>
      <c r="P265" s="137"/>
      <c r="Q265" s="137"/>
      <c r="R265" s="137"/>
      <c r="S265" s="137"/>
      <c r="T265" s="137"/>
      <c r="U265" s="137"/>
      <c r="V265" s="137"/>
      <c r="W265" s="137"/>
      <c r="X265" s="137"/>
      <c r="Y265" s="137"/>
      <c r="Z265" s="137"/>
      <c r="AA265" s="137"/>
      <c r="AB265" s="137"/>
      <c r="AC265" s="137"/>
      <c r="AD265" s="137"/>
      <c r="AE265" s="137"/>
      <c r="AF265" s="137"/>
      <c r="AG265" s="137"/>
      <c r="AH265" s="137"/>
      <c r="AI265" s="137"/>
      <c r="AJ265" s="137"/>
      <c r="AK265" s="137"/>
      <c r="AL265" s="137"/>
    </row>
    <row r="266" spans="1:38" ht="15.75" customHeight="1">
      <c r="A266" s="20" t="s">
        <v>840</v>
      </c>
      <c r="B266" s="20" t="s">
        <v>841</v>
      </c>
      <c r="C266" s="245" t="s">
        <v>873</v>
      </c>
      <c r="D266" s="272" t="s">
        <v>874</v>
      </c>
      <c r="E266" s="61" t="s">
        <v>351</v>
      </c>
      <c r="F266" s="61"/>
      <c r="G266" s="61"/>
      <c r="H266" s="61"/>
      <c r="I266" s="61"/>
      <c r="J266" s="61"/>
      <c r="K266" s="137"/>
      <c r="L266" s="137"/>
      <c r="M266" s="137"/>
      <c r="N266" s="137"/>
      <c r="O266" s="137"/>
      <c r="P266" s="137"/>
      <c r="Q266" s="137"/>
      <c r="R266" s="137"/>
      <c r="S266" s="137"/>
      <c r="T266" s="137"/>
      <c r="U266" s="137"/>
      <c r="V266" s="137"/>
      <c r="W266" s="137"/>
      <c r="X266" s="137"/>
      <c r="Y266" s="137"/>
      <c r="Z266" s="137"/>
      <c r="AA266" s="137"/>
      <c r="AB266" s="137"/>
      <c r="AC266" s="137"/>
      <c r="AD266" s="137"/>
      <c r="AE266" s="137"/>
      <c r="AF266" s="137"/>
      <c r="AG266" s="137"/>
      <c r="AH266" s="137"/>
      <c r="AI266" s="137"/>
      <c r="AJ266" s="137"/>
      <c r="AK266" s="137"/>
      <c r="AL266" s="137"/>
    </row>
    <row r="267" spans="1:38" ht="15.75" customHeight="1">
      <c r="A267" s="20" t="s">
        <v>840</v>
      </c>
      <c r="B267" s="20" t="s">
        <v>841</v>
      </c>
      <c r="C267" s="245" t="s">
        <v>875</v>
      </c>
      <c r="D267" s="272" t="s">
        <v>876</v>
      </c>
      <c r="E267" s="61" t="s">
        <v>351</v>
      </c>
      <c r="F267" s="61"/>
      <c r="G267" s="61"/>
      <c r="H267" s="61"/>
      <c r="I267" s="61"/>
      <c r="J267" s="61"/>
      <c r="K267" s="137"/>
      <c r="L267" s="137"/>
      <c r="M267" s="137"/>
      <c r="N267" s="137"/>
      <c r="O267" s="137"/>
      <c r="P267" s="137"/>
      <c r="Q267" s="137"/>
      <c r="R267" s="137"/>
      <c r="S267" s="137"/>
      <c r="T267" s="137"/>
      <c r="U267" s="137"/>
      <c r="V267" s="137"/>
      <c r="W267" s="137"/>
      <c r="X267" s="137"/>
      <c r="Y267" s="137"/>
      <c r="Z267" s="137"/>
      <c r="AA267" s="137"/>
      <c r="AB267" s="137"/>
      <c r="AC267" s="137"/>
      <c r="AD267" s="137"/>
      <c r="AE267" s="137"/>
      <c r="AF267" s="137"/>
      <c r="AG267" s="137"/>
      <c r="AH267" s="137"/>
      <c r="AI267" s="137"/>
      <c r="AJ267" s="137"/>
      <c r="AK267" s="137"/>
      <c r="AL267" s="137"/>
    </row>
    <row r="268" spans="1:38" ht="15.75" customHeight="1">
      <c r="A268" s="20" t="s">
        <v>840</v>
      </c>
      <c r="B268" s="20" t="s">
        <v>841</v>
      </c>
      <c r="C268" s="245" t="s">
        <v>161</v>
      </c>
      <c r="D268" s="275"/>
      <c r="E268" s="61" t="s">
        <v>351</v>
      </c>
      <c r="F268" s="61"/>
      <c r="G268" s="61"/>
      <c r="H268" s="61"/>
      <c r="I268" s="61"/>
      <c r="J268" s="61"/>
      <c r="K268" s="137"/>
      <c r="L268" s="137"/>
      <c r="M268" s="137"/>
      <c r="N268" s="137"/>
      <c r="O268" s="137"/>
      <c r="P268" s="137"/>
      <c r="Q268" s="137"/>
      <c r="R268" s="137"/>
      <c r="S268" s="137"/>
      <c r="T268" s="137"/>
      <c r="U268" s="137"/>
      <c r="V268" s="137"/>
      <c r="W268" s="137"/>
      <c r="X268" s="137"/>
      <c r="Y268" s="137"/>
      <c r="Z268" s="137"/>
      <c r="AA268" s="137"/>
      <c r="AB268" s="137"/>
      <c r="AC268" s="137"/>
      <c r="AD268" s="137"/>
      <c r="AE268" s="137"/>
      <c r="AF268" s="137"/>
      <c r="AG268" s="137"/>
      <c r="AH268" s="137"/>
      <c r="AI268" s="137"/>
      <c r="AJ268" s="137"/>
      <c r="AK268" s="137"/>
      <c r="AL268" s="137"/>
    </row>
    <row r="269" spans="1:38" ht="15.75" customHeight="1">
      <c r="A269" s="20" t="s">
        <v>840</v>
      </c>
      <c r="B269" s="20" t="s">
        <v>841</v>
      </c>
      <c r="C269" s="245" t="s">
        <v>877</v>
      </c>
      <c r="D269" s="275"/>
      <c r="E269" s="61" t="s">
        <v>351</v>
      </c>
      <c r="F269" s="61"/>
      <c r="G269" s="61"/>
      <c r="H269" s="61"/>
      <c r="I269" s="61"/>
      <c r="J269" s="61"/>
      <c r="K269" s="137"/>
      <c r="L269" s="137"/>
      <c r="M269" s="137"/>
      <c r="N269" s="137"/>
      <c r="O269" s="137"/>
      <c r="P269" s="137"/>
      <c r="Q269" s="137"/>
      <c r="R269" s="137"/>
      <c r="S269" s="137"/>
      <c r="T269" s="137"/>
      <c r="U269" s="137"/>
      <c r="V269" s="137"/>
      <c r="W269" s="137"/>
      <c r="X269" s="137"/>
      <c r="Y269" s="137"/>
      <c r="Z269" s="137"/>
      <c r="AA269" s="137"/>
      <c r="AB269" s="137"/>
      <c r="AC269" s="137"/>
      <c r="AD269" s="137"/>
      <c r="AE269" s="137"/>
      <c r="AF269" s="137"/>
      <c r="AG269" s="137"/>
      <c r="AH269" s="137"/>
      <c r="AI269" s="137"/>
      <c r="AJ269" s="137"/>
      <c r="AK269" s="137"/>
      <c r="AL269" s="137"/>
    </row>
    <row r="270" spans="1:38" ht="15.75" customHeight="1">
      <c r="A270" s="20" t="s">
        <v>840</v>
      </c>
      <c r="B270" s="20" t="s">
        <v>841</v>
      </c>
      <c r="C270" s="245" t="s">
        <v>878</v>
      </c>
      <c r="D270" s="272" t="s">
        <v>879</v>
      </c>
      <c r="E270" s="61" t="s">
        <v>351</v>
      </c>
      <c r="F270" s="61"/>
      <c r="G270" s="61"/>
      <c r="H270" s="61"/>
      <c r="I270" s="61"/>
      <c r="J270" s="61"/>
      <c r="K270" s="137"/>
      <c r="L270" s="137"/>
      <c r="M270" s="137"/>
      <c r="N270" s="137"/>
      <c r="O270" s="137"/>
      <c r="P270" s="137"/>
      <c r="Q270" s="137"/>
      <c r="R270" s="137"/>
      <c r="S270" s="137"/>
      <c r="T270" s="137"/>
      <c r="U270" s="137"/>
      <c r="V270" s="137"/>
      <c r="W270" s="137"/>
      <c r="X270" s="137"/>
      <c r="Y270" s="137"/>
      <c r="Z270" s="137"/>
      <c r="AA270" s="137"/>
      <c r="AB270" s="137"/>
      <c r="AC270" s="137"/>
      <c r="AD270" s="137"/>
      <c r="AE270" s="137"/>
      <c r="AF270" s="137"/>
      <c r="AG270" s="137"/>
      <c r="AH270" s="137"/>
      <c r="AI270" s="137"/>
      <c r="AJ270" s="137"/>
      <c r="AK270" s="137"/>
      <c r="AL270" s="137"/>
    </row>
    <row r="271" spans="1:38" ht="15.75" customHeight="1">
      <c r="A271" s="20" t="s">
        <v>840</v>
      </c>
      <c r="B271" s="20" t="s">
        <v>841</v>
      </c>
      <c r="C271" s="245" t="s">
        <v>880</v>
      </c>
      <c r="D271" s="275"/>
      <c r="E271" s="61" t="s">
        <v>351</v>
      </c>
      <c r="F271" s="61"/>
      <c r="G271" s="61"/>
      <c r="H271" s="61"/>
      <c r="I271" s="61"/>
      <c r="J271" s="61"/>
      <c r="K271" s="137"/>
      <c r="L271" s="137"/>
      <c r="M271" s="137"/>
      <c r="N271" s="137"/>
      <c r="O271" s="137"/>
      <c r="P271" s="137"/>
      <c r="Q271" s="137"/>
      <c r="R271" s="137"/>
      <c r="S271" s="137"/>
      <c r="T271" s="137"/>
      <c r="U271" s="137"/>
      <c r="V271" s="137"/>
      <c r="W271" s="137"/>
      <c r="X271" s="137"/>
      <c r="Y271" s="137"/>
      <c r="Z271" s="137"/>
      <c r="AA271" s="137"/>
      <c r="AB271" s="137"/>
      <c r="AC271" s="137"/>
      <c r="AD271" s="137"/>
      <c r="AE271" s="137"/>
      <c r="AF271" s="137"/>
      <c r="AG271" s="137"/>
      <c r="AH271" s="137"/>
      <c r="AI271" s="137"/>
      <c r="AJ271" s="137"/>
      <c r="AK271" s="137"/>
      <c r="AL271" s="137"/>
    </row>
    <row r="272" spans="1:38" ht="15.75" customHeight="1">
      <c r="A272" s="20" t="s">
        <v>840</v>
      </c>
      <c r="B272" s="20" t="s">
        <v>841</v>
      </c>
      <c r="C272" s="245" t="s">
        <v>881</v>
      </c>
      <c r="D272" s="272" t="s">
        <v>882</v>
      </c>
      <c r="E272" s="61" t="s">
        <v>351</v>
      </c>
      <c r="F272" s="61"/>
      <c r="G272" s="61"/>
      <c r="H272" s="61"/>
      <c r="I272" s="61"/>
      <c r="J272" s="61"/>
      <c r="K272" s="137"/>
      <c r="L272" s="137"/>
      <c r="M272" s="137"/>
      <c r="N272" s="137"/>
      <c r="O272" s="137"/>
      <c r="P272" s="137"/>
      <c r="Q272" s="137"/>
      <c r="R272" s="137"/>
      <c r="S272" s="137"/>
      <c r="T272" s="137"/>
      <c r="U272" s="137"/>
      <c r="V272" s="137"/>
      <c r="W272" s="137"/>
      <c r="X272" s="137"/>
      <c r="Y272" s="137"/>
      <c r="Z272" s="137"/>
      <c r="AA272" s="137"/>
      <c r="AB272" s="137"/>
      <c r="AC272" s="137"/>
      <c r="AD272" s="137"/>
      <c r="AE272" s="137"/>
      <c r="AF272" s="137"/>
      <c r="AG272" s="137"/>
      <c r="AH272" s="137"/>
      <c r="AI272" s="137"/>
      <c r="AJ272" s="137"/>
      <c r="AK272" s="137"/>
      <c r="AL272" s="137"/>
    </row>
    <row r="273" spans="1:38" ht="15.75" customHeight="1">
      <c r="A273" s="20" t="s">
        <v>840</v>
      </c>
      <c r="B273" s="20" t="s">
        <v>841</v>
      </c>
      <c r="C273" s="245" t="s">
        <v>883</v>
      </c>
      <c r="D273" s="272" t="s">
        <v>884</v>
      </c>
      <c r="E273" s="61" t="s">
        <v>351</v>
      </c>
      <c r="F273" s="61"/>
      <c r="G273" s="61"/>
      <c r="H273" s="61"/>
      <c r="I273" s="61"/>
      <c r="J273" s="61"/>
      <c r="K273" s="137"/>
      <c r="L273" s="137"/>
      <c r="M273" s="137"/>
      <c r="N273" s="137"/>
      <c r="O273" s="137"/>
      <c r="P273" s="137"/>
      <c r="Q273" s="137"/>
      <c r="R273" s="137"/>
      <c r="S273" s="137"/>
      <c r="T273" s="137"/>
      <c r="U273" s="137"/>
      <c r="V273" s="137"/>
      <c r="W273" s="137"/>
      <c r="X273" s="137"/>
      <c r="Y273" s="137"/>
      <c r="Z273" s="137"/>
      <c r="AA273" s="137"/>
      <c r="AB273" s="137"/>
      <c r="AC273" s="137"/>
      <c r="AD273" s="137"/>
      <c r="AE273" s="137"/>
      <c r="AF273" s="137"/>
      <c r="AG273" s="137"/>
      <c r="AH273" s="137"/>
      <c r="AI273" s="137"/>
      <c r="AJ273" s="137"/>
      <c r="AK273" s="137"/>
      <c r="AL273" s="137"/>
    </row>
    <row r="274" spans="1:38" ht="15.75" customHeight="1">
      <c r="A274" s="20" t="s">
        <v>840</v>
      </c>
      <c r="B274" s="20" t="s">
        <v>841</v>
      </c>
      <c r="C274" s="245" t="s">
        <v>885</v>
      </c>
      <c r="D274" s="272" t="s">
        <v>886</v>
      </c>
      <c r="E274" s="61" t="s">
        <v>351</v>
      </c>
      <c r="F274" s="61"/>
      <c r="G274" s="61"/>
      <c r="H274" s="61"/>
      <c r="I274" s="61"/>
      <c r="J274" s="61"/>
      <c r="K274" s="137"/>
      <c r="L274" s="137"/>
      <c r="M274" s="137"/>
      <c r="N274" s="137"/>
      <c r="O274" s="137"/>
      <c r="P274" s="137"/>
      <c r="Q274" s="137"/>
      <c r="R274" s="137"/>
      <c r="S274" s="137"/>
      <c r="T274" s="137"/>
      <c r="U274" s="137"/>
      <c r="V274" s="137"/>
      <c r="W274" s="137"/>
      <c r="X274" s="137"/>
      <c r="Y274" s="137"/>
      <c r="Z274" s="137"/>
      <c r="AA274" s="137"/>
      <c r="AB274" s="137"/>
      <c r="AC274" s="137"/>
      <c r="AD274" s="137"/>
      <c r="AE274" s="137"/>
      <c r="AF274" s="137"/>
      <c r="AG274" s="137"/>
      <c r="AH274" s="137"/>
      <c r="AI274" s="137"/>
      <c r="AJ274" s="137"/>
      <c r="AK274" s="137"/>
      <c r="AL274" s="137"/>
    </row>
    <row r="275" spans="1:38" ht="15.75" customHeight="1">
      <c r="A275" s="20" t="s">
        <v>840</v>
      </c>
      <c r="B275" s="20" t="s">
        <v>841</v>
      </c>
      <c r="C275" s="245" t="s">
        <v>887</v>
      </c>
      <c r="D275" s="272" t="s">
        <v>888</v>
      </c>
      <c r="E275" s="61" t="s">
        <v>351</v>
      </c>
      <c r="F275" s="61"/>
      <c r="G275" s="61"/>
      <c r="H275" s="61"/>
      <c r="I275" s="61"/>
      <c r="J275" s="61"/>
      <c r="K275" s="137"/>
      <c r="L275" s="137"/>
      <c r="M275" s="137"/>
      <c r="N275" s="137"/>
      <c r="O275" s="137"/>
      <c r="P275" s="137"/>
      <c r="Q275" s="137"/>
      <c r="R275" s="137"/>
      <c r="S275" s="137"/>
      <c r="T275" s="137"/>
      <c r="U275" s="137"/>
      <c r="V275" s="137"/>
      <c r="W275" s="137"/>
      <c r="X275" s="137"/>
      <c r="Y275" s="137"/>
      <c r="Z275" s="137"/>
      <c r="AA275" s="137"/>
      <c r="AB275" s="137"/>
      <c r="AC275" s="137"/>
      <c r="AD275" s="137"/>
      <c r="AE275" s="137"/>
      <c r="AF275" s="137"/>
      <c r="AG275" s="137"/>
      <c r="AH275" s="137"/>
      <c r="AI275" s="137"/>
      <c r="AJ275" s="137"/>
      <c r="AK275" s="137"/>
      <c r="AL275" s="137"/>
    </row>
    <row r="276" spans="1:38" ht="15.75" customHeight="1">
      <c r="A276" s="20" t="s">
        <v>840</v>
      </c>
      <c r="B276" s="20" t="s">
        <v>841</v>
      </c>
      <c r="C276" s="245" t="s">
        <v>889</v>
      </c>
      <c r="D276" s="275"/>
      <c r="E276" s="61" t="s">
        <v>351</v>
      </c>
      <c r="F276" s="61"/>
      <c r="G276" s="61"/>
      <c r="H276" s="61"/>
      <c r="I276" s="61"/>
      <c r="J276" s="61"/>
      <c r="K276" s="137"/>
      <c r="L276" s="137"/>
      <c r="M276" s="137"/>
      <c r="N276" s="137"/>
      <c r="O276" s="137"/>
      <c r="P276" s="137"/>
      <c r="Q276" s="137"/>
      <c r="R276" s="137"/>
      <c r="S276" s="137"/>
      <c r="T276" s="137"/>
      <c r="U276" s="137"/>
      <c r="V276" s="137"/>
      <c r="W276" s="137"/>
      <c r="X276" s="137"/>
      <c r="Y276" s="137"/>
      <c r="Z276" s="137"/>
      <c r="AA276" s="137"/>
      <c r="AB276" s="137"/>
      <c r="AC276" s="137"/>
      <c r="AD276" s="137"/>
      <c r="AE276" s="137"/>
      <c r="AF276" s="137"/>
      <c r="AG276" s="137"/>
      <c r="AH276" s="137"/>
      <c r="AI276" s="137"/>
      <c r="AJ276" s="137"/>
      <c r="AK276" s="137"/>
      <c r="AL276" s="137"/>
    </row>
    <row r="277" spans="1:38" ht="15.75" customHeight="1">
      <c r="A277" s="20" t="s">
        <v>840</v>
      </c>
      <c r="B277" s="20" t="s">
        <v>890</v>
      </c>
      <c r="C277" s="245" t="s">
        <v>891</v>
      </c>
      <c r="D277" s="272" t="s">
        <v>892</v>
      </c>
      <c r="E277" s="61" t="s">
        <v>384</v>
      </c>
      <c r="F277" s="61"/>
      <c r="G277" s="61"/>
      <c r="H277" s="61"/>
      <c r="I277" s="61"/>
      <c r="J277" s="61"/>
      <c r="K277" s="137"/>
      <c r="L277" s="137"/>
      <c r="M277" s="137"/>
      <c r="N277" s="137"/>
      <c r="O277" s="137"/>
      <c r="P277" s="137"/>
      <c r="Q277" s="137"/>
      <c r="R277" s="137"/>
      <c r="S277" s="137"/>
      <c r="T277" s="137"/>
      <c r="U277" s="137"/>
      <c r="V277" s="137"/>
      <c r="W277" s="137"/>
      <c r="X277" s="137"/>
      <c r="Y277" s="137"/>
      <c r="Z277" s="137"/>
      <c r="AA277" s="137"/>
      <c r="AB277" s="137"/>
      <c r="AC277" s="137"/>
      <c r="AD277" s="137"/>
      <c r="AE277" s="137"/>
      <c r="AF277" s="137"/>
      <c r="AG277" s="137"/>
      <c r="AH277" s="137"/>
      <c r="AI277" s="137"/>
      <c r="AJ277" s="137"/>
      <c r="AK277" s="137"/>
      <c r="AL277" s="137"/>
    </row>
    <row r="278" spans="1:38" ht="15.75" customHeight="1">
      <c r="A278" s="20" t="s">
        <v>840</v>
      </c>
      <c r="B278" s="20" t="s">
        <v>890</v>
      </c>
      <c r="C278" s="245" t="s">
        <v>893</v>
      </c>
      <c r="D278" s="272" t="s">
        <v>894</v>
      </c>
      <c r="E278" s="61" t="s">
        <v>384</v>
      </c>
      <c r="F278" s="61"/>
      <c r="G278" s="61"/>
      <c r="H278" s="61"/>
      <c r="I278" s="61"/>
      <c r="J278" s="61"/>
      <c r="K278" s="137"/>
      <c r="L278" s="137"/>
      <c r="M278" s="137"/>
      <c r="N278" s="137"/>
      <c r="O278" s="137"/>
      <c r="P278" s="137"/>
      <c r="Q278" s="137"/>
      <c r="R278" s="137"/>
      <c r="S278" s="137"/>
      <c r="T278" s="137"/>
      <c r="U278" s="137"/>
      <c r="V278" s="137"/>
      <c r="W278" s="137"/>
      <c r="X278" s="137"/>
      <c r="Y278" s="137"/>
      <c r="Z278" s="137"/>
      <c r="AA278" s="137"/>
      <c r="AB278" s="137"/>
      <c r="AC278" s="137"/>
      <c r="AD278" s="137"/>
      <c r="AE278" s="137"/>
      <c r="AF278" s="137"/>
      <c r="AG278" s="137"/>
      <c r="AH278" s="137"/>
      <c r="AI278" s="137"/>
      <c r="AJ278" s="137"/>
      <c r="AK278" s="137"/>
      <c r="AL278" s="137"/>
    </row>
    <row r="279" spans="1:38" ht="15.75" customHeight="1">
      <c r="A279" s="20" t="s">
        <v>840</v>
      </c>
      <c r="B279" s="20" t="s">
        <v>890</v>
      </c>
      <c r="C279" s="245" t="s">
        <v>895</v>
      </c>
      <c r="D279" s="272" t="s">
        <v>896</v>
      </c>
      <c r="E279" s="61" t="s">
        <v>384</v>
      </c>
      <c r="F279" s="61"/>
      <c r="G279" s="61"/>
      <c r="H279" s="61"/>
      <c r="I279" s="61"/>
      <c r="J279" s="61"/>
      <c r="K279" s="137"/>
      <c r="L279" s="137"/>
      <c r="M279" s="137"/>
      <c r="N279" s="137"/>
      <c r="O279" s="137"/>
      <c r="P279" s="137"/>
      <c r="Q279" s="137"/>
      <c r="R279" s="137"/>
      <c r="S279" s="137"/>
      <c r="T279" s="137"/>
      <c r="U279" s="137"/>
      <c r="V279" s="137"/>
      <c r="W279" s="137"/>
      <c r="X279" s="137"/>
      <c r="Y279" s="137"/>
      <c r="Z279" s="137"/>
      <c r="AA279" s="137"/>
      <c r="AB279" s="137"/>
      <c r="AC279" s="137"/>
      <c r="AD279" s="137"/>
      <c r="AE279" s="137"/>
      <c r="AF279" s="137"/>
      <c r="AG279" s="137"/>
      <c r="AH279" s="137"/>
      <c r="AI279" s="137"/>
      <c r="AJ279" s="137"/>
      <c r="AK279" s="137"/>
      <c r="AL279" s="137"/>
    </row>
    <row r="280" spans="1:38" ht="15.75"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c r="AA280" s="137"/>
      <c r="AB280" s="137"/>
      <c r="AC280" s="137"/>
      <c r="AD280" s="137"/>
      <c r="AE280" s="137"/>
      <c r="AF280" s="137"/>
      <c r="AG280" s="137"/>
      <c r="AH280" s="137"/>
      <c r="AI280" s="137"/>
      <c r="AJ280" s="137"/>
      <c r="AK280" s="137"/>
      <c r="AL280" s="137"/>
    </row>
    <row r="281" spans="1:38" ht="15.75"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c r="AA281" s="137"/>
      <c r="AB281" s="137"/>
      <c r="AC281" s="137"/>
      <c r="AD281" s="137"/>
      <c r="AE281" s="137"/>
      <c r="AF281" s="137"/>
      <c r="AG281" s="137"/>
      <c r="AH281" s="137"/>
      <c r="AI281" s="137"/>
      <c r="AJ281" s="137"/>
      <c r="AK281" s="137"/>
      <c r="AL281" s="137"/>
    </row>
    <row r="282" spans="1:38" ht="15.75"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c r="AA282" s="137"/>
      <c r="AB282" s="137"/>
      <c r="AC282" s="137"/>
      <c r="AD282" s="137"/>
      <c r="AE282" s="137"/>
      <c r="AF282" s="137"/>
      <c r="AG282" s="137"/>
      <c r="AH282" s="137"/>
      <c r="AI282" s="137"/>
      <c r="AJ282" s="137"/>
      <c r="AK282" s="137"/>
      <c r="AL282" s="137"/>
    </row>
    <row r="283" spans="1:38" ht="15.75"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c r="AA283" s="137"/>
      <c r="AB283" s="137"/>
      <c r="AC283" s="137"/>
      <c r="AD283" s="137"/>
      <c r="AE283" s="137"/>
      <c r="AF283" s="137"/>
      <c r="AG283" s="137"/>
      <c r="AH283" s="137"/>
      <c r="AI283" s="137"/>
      <c r="AJ283" s="137"/>
      <c r="AK283" s="137"/>
      <c r="AL283" s="137"/>
    </row>
    <row r="284" spans="1:38" ht="15.75"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c r="AA284" s="137"/>
      <c r="AB284" s="137"/>
      <c r="AC284" s="137"/>
      <c r="AD284" s="137"/>
      <c r="AE284" s="137"/>
      <c r="AF284" s="137"/>
      <c r="AG284" s="137"/>
      <c r="AH284" s="137"/>
      <c r="AI284" s="137"/>
      <c r="AJ284" s="137"/>
      <c r="AK284" s="137"/>
      <c r="AL284" s="137"/>
    </row>
    <row r="285" spans="1:38" ht="15.75"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c r="AA285" s="137"/>
      <c r="AB285" s="137"/>
      <c r="AC285" s="137"/>
      <c r="AD285" s="137"/>
      <c r="AE285" s="137"/>
      <c r="AF285" s="137"/>
      <c r="AG285" s="137"/>
      <c r="AH285" s="137"/>
      <c r="AI285" s="137"/>
      <c r="AJ285" s="137"/>
      <c r="AK285" s="137"/>
      <c r="AL285" s="137"/>
    </row>
    <row r="286" spans="1:38" ht="15.75"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c r="AA286" s="137"/>
      <c r="AB286" s="137"/>
      <c r="AC286" s="137"/>
      <c r="AD286" s="137"/>
      <c r="AE286" s="137"/>
      <c r="AF286" s="137"/>
      <c r="AG286" s="137"/>
      <c r="AH286" s="137"/>
      <c r="AI286" s="137"/>
      <c r="AJ286" s="137"/>
      <c r="AK286" s="137"/>
      <c r="AL286" s="137"/>
    </row>
    <row r="287" spans="1:38" ht="15.75"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c r="AA287" s="137"/>
      <c r="AB287" s="137"/>
      <c r="AC287" s="137"/>
      <c r="AD287" s="137"/>
      <c r="AE287" s="137"/>
      <c r="AF287" s="137"/>
      <c r="AG287" s="137"/>
      <c r="AH287" s="137"/>
      <c r="AI287" s="137"/>
      <c r="AJ287" s="137"/>
      <c r="AK287" s="137"/>
      <c r="AL287" s="137"/>
    </row>
    <row r="288" spans="1:38" ht="15.75"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c r="AA288" s="137"/>
      <c r="AB288" s="137"/>
      <c r="AC288" s="137"/>
      <c r="AD288" s="137"/>
      <c r="AE288" s="137"/>
      <c r="AF288" s="137"/>
      <c r="AG288" s="137"/>
      <c r="AH288" s="137"/>
      <c r="AI288" s="137"/>
      <c r="AJ288" s="137"/>
      <c r="AK288" s="137"/>
      <c r="AL288" s="137"/>
    </row>
    <row r="289" spans="1:38" ht="15.75"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c r="AA289" s="137"/>
      <c r="AB289" s="137"/>
      <c r="AC289" s="137"/>
      <c r="AD289" s="137"/>
      <c r="AE289" s="137"/>
      <c r="AF289" s="137"/>
      <c r="AG289" s="137"/>
      <c r="AH289" s="137"/>
      <c r="AI289" s="137"/>
      <c r="AJ289" s="137"/>
      <c r="AK289" s="137"/>
      <c r="AL289" s="137"/>
    </row>
    <row r="290" spans="1:38" ht="15.75"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c r="AA290" s="137"/>
      <c r="AB290" s="137"/>
      <c r="AC290" s="137"/>
      <c r="AD290" s="137"/>
      <c r="AE290" s="137"/>
      <c r="AF290" s="137"/>
      <c r="AG290" s="137"/>
      <c r="AH290" s="137"/>
      <c r="AI290" s="137"/>
      <c r="AJ290" s="137"/>
      <c r="AK290" s="137"/>
      <c r="AL290" s="137"/>
    </row>
    <row r="291" spans="1:38" ht="15.75"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c r="AA291" s="137"/>
      <c r="AB291" s="137"/>
      <c r="AC291" s="137"/>
      <c r="AD291" s="137"/>
      <c r="AE291" s="137"/>
      <c r="AF291" s="137"/>
      <c r="AG291" s="137"/>
      <c r="AH291" s="137"/>
      <c r="AI291" s="137"/>
      <c r="AJ291" s="137"/>
      <c r="AK291" s="137"/>
      <c r="AL291" s="137"/>
    </row>
    <row r="292" spans="1:38" ht="15.75"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c r="AA292" s="137"/>
      <c r="AB292" s="137"/>
      <c r="AC292" s="137"/>
      <c r="AD292" s="137"/>
      <c r="AE292" s="137"/>
      <c r="AF292" s="137"/>
      <c r="AG292" s="137"/>
      <c r="AH292" s="137"/>
      <c r="AI292" s="137"/>
      <c r="AJ292" s="137"/>
      <c r="AK292" s="137"/>
      <c r="AL292" s="137"/>
    </row>
    <row r="293" spans="1:38" ht="15.75"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c r="AA293" s="137"/>
      <c r="AB293" s="137"/>
      <c r="AC293" s="137"/>
      <c r="AD293" s="137"/>
      <c r="AE293" s="137"/>
      <c r="AF293" s="137"/>
      <c r="AG293" s="137"/>
      <c r="AH293" s="137"/>
      <c r="AI293" s="137"/>
      <c r="AJ293" s="137"/>
      <c r="AK293" s="137"/>
      <c r="AL293" s="137"/>
    </row>
    <row r="294" spans="1:38" ht="15.75"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c r="AA294" s="137"/>
      <c r="AB294" s="137"/>
      <c r="AC294" s="137"/>
      <c r="AD294" s="137"/>
      <c r="AE294" s="137"/>
      <c r="AF294" s="137"/>
      <c r="AG294" s="137"/>
      <c r="AH294" s="137"/>
      <c r="AI294" s="137"/>
      <c r="AJ294" s="137"/>
      <c r="AK294" s="137"/>
      <c r="AL294" s="137"/>
    </row>
    <row r="295" spans="1:38" ht="15.75"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c r="AA295" s="137"/>
      <c r="AB295" s="137"/>
      <c r="AC295" s="137"/>
      <c r="AD295" s="137"/>
      <c r="AE295" s="137"/>
      <c r="AF295" s="137"/>
      <c r="AG295" s="137"/>
      <c r="AH295" s="137"/>
      <c r="AI295" s="137"/>
      <c r="AJ295" s="137"/>
      <c r="AK295" s="137"/>
      <c r="AL295" s="137"/>
    </row>
    <row r="296" spans="1:38" ht="15.75"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c r="AA296" s="137"/>
      <c r="AB296" s="137"/>
      <c r="AC296" s="137"/>
      <c r="AD296" s="137"/>
      <c r="AE296" s="137"/>
      <c r="AF296" s="137"/>
      <c r="AG296" s="137"/>
      <c r="AH296" s="137"/>
      <c r="AI296" s="137"/>
      <c r="AJ296" s="137"/>
      <c r="AK296" s="137"/>
      <c r="AL296" s="137"/>
    </row>
    <row r="297" spans="1:38" ht="15.75"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c r="AA297" s="137"/>
      <c r="AB297" s="137"/>
      <c r="AC297" s="137"/>
      <c r="AD297" s="137"/>
      <c r="AE297" s="137"/>
      <c r="AF297" s="137"/>
      <c r="AG297" s="137"/>
      <c r="AH297" s="137"/>
      <c r="AI297" s="137"/>
      <c r="AJ297" s="137"/>
      <c r="AK297" s="137"/>
      <c r="AL297" s="137"/>
    </row>
    <row r="298" spans="1:38" ht="15.75"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c r="AA298" s="137"/>
      <c r="AB298" s="137"/>
      <c r="AC298" s="137"/>
      <c r="AD298" s="137"/>
      <c r="AE298" s="137"/>
      <c r="AF298" s="137"/>
      <c r="AG298" s="137"/>
      <c r="AH298" s="137"/>
      <c r="AI298" s="137"/>
      <c r="AJ298" s="137"/>
      <c r="AK298" s="137"/>
      <c r="AL298" s="137"/>
    </row>
    <row r="299" spans="1:38" ht="15.75"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c r="AA299" s="137"/>
      <c r="AB299" s="137"/>
      <c r="AC299" s="137"/>
      <c r="AD299" s="137"/>
      <c r="AE299" s="137"/>
      <c r="AF299" s="137"/>
      <c r="AG299" s="137"/>
      <c r="AH299" s="137"/>
      <c r="AI299" s="137"/>
      <c r="AJ299" s="137"/>
      <c r="AK299" s="137"/>
      <c r="AL299" s="137"/>
    </row>
    <row r="300" spans="1:38" ht="15.75"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c r="AA300" s="137"/>
      <c r="AB300" s="137"/>
      <c r="AC300" s="137"/>
      <c r="AD300" s="137"/>
      <c r="AE300" s="137"/>
      <c r="AF300" s="137"/>
      <c r="AG300" s="137"/>
      <c r="AH300" s="137"/>
      <c r="AI300" s="137"/>
      <c r="AJ300" s="137"/>
      <c r="AK300" s="137"/>
      <c r="AL300" s="137"/>
    </row>
    <row r="301" spans="1:38" ht="15.75"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c r="AA301" s="137"/>
      <c r="AB301" s="137"/>
      <c r="AC301" s="137"/>
      <c r="AD301" s="137"/>
      <c r="AE301" s="137"/>
      <c r="AF301" s="137"/>
      <c r="AG301" s="137"/>
      <c r="AH301" s="137"/>
      <c r="AI301" s="137"/>
      <c r="AJ301" s="137"/>
      <c r="AK301" s="137"/>
      <c r="AL301" s="137"/>
    </row>
    <row r="302" spans="1:38" ht="15.75"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c r="AA302" s="137"/>
      <c r="AB302" s="137"/>
      <c r="AC302" s="137"/>
      <c r="AD302" s="137"/>
      <c r="AE302" s="137"/>
      <c r="AF302" s="137"/>
      <c r="AG302" s="137"/>
      <c r="AH302" s="137"/>
      <c r="AI302" s="137"/>
      <c r="AJ302" s="137"/>
      <c r="AK302" s="137"/>
      <c r="AL302" s="137"/>
    </row>
    <row r="303" spans="1:38" ht="15.75"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c r="AA303" s="137"/>
      <c r="AB303" s="137"/>
      <c r="AC303" s="137"/>
      <c r="AD303" s="137"/>
      <c r="AE303" s="137"/>
      <c r="AF303" s="137"/>
      <c r="AG303" s="137"/>
      <c r="AH303" s="137"/>
      <c r="AI303" s="137"/>
      <c r="AJ303" s="137"/>
      <c r="AK303" s="137"/>
      <c r="AL303" s="137"/>
    </row>
    <row r="304" spans="1:38" ht="15.75"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c r="AA304" s="137"/>
      <c r="AB304" s="137"/>
      <c r="AC304" s="137"/>
      <c r="AD304" s="137"/>
      <c r="AE304" s="137"/>
      <c r="AF304" s="137"/>
      <c r="AG304" s="137"/>
      <c r="AH304" s="137"/>
      <c r="AI304" s="137"/>
      <c r="AJ304" s="137"/>
      <c r="AK304" s="137"/>
      <c r="AL304" s="137"/>
    </row>
    <row r="305" spans="1:38" ht="15.75"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c r="AA305" s="137"/>
      <c r="AB305" s="137"/>
      <c r="AC305" s="137"/>
      <c r="AD305" s="137"/>
      <c r="AE305" s="137"/>
      <c r="AF305" s="137"/>
      <c r="AG305" s="137"/>
      <c r="AH305" s="137"/>
      <c r="AI305" s="137"/>
      <c r="AJ305" s="137"/>
      <c r="AK305" s="137"/>
      <c r="AL305" s="137"/>
    </row>
    <row r="306" spans="1:38" ht="15.75" customHeight="1">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c r="AA306" s="137"/>
      <c r="AB306" s="137"/>
      <c r="AC306" s="137"/>
      <c r="AD306" s="137"/>
      <c r="AE306" s="137"/>
      <c r="AF306" s="137"/>
      <c r="AG306" s="137"/>
      <c r="AH306" s="137"/>
      <c r="AI306" s="137"/>
      <c r="AJ306" s="137"/>
      <c r="AK306" s="137"/>
      <c r="AL306" s="137"/>
    </row>
    <row r="307" spans="1:38" ht="15.75" customHeight="1">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c r="AA307" s="137"/>
      <c r="AB307" s="137"/>
      <c r="AC307" s="137"/>
      <c r="AD307" s="137"/>
      <c r="AE307" s="137"/>
      <c r="AF307" s="137"/>
      <c r="AG307" s="137"/>
      <c r="AH307" s="137"/>
      <c r="AI307" s="137"/>
      <c r="AJ307" s="137"/>
      <c r="AK307" s="137"/>
      <c r="AL307" s="137"/>
    </row>
    <row r="308" spans="1:38" ht="15.75" customHeight="1">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c r="AA308" s="137"/>
      <c r="AB308" s="137"/>
      <c r="AC308" s="137"/>
      <c r="AD308" s="137"/>
      <c r="AE308" s="137"/>
      <c r="AF308" s="137"/>
      <c r="AG308" s="137"/>
      <c r="AH308" s="137"/>
      <c r="AI308" s="137"/>
      <c r="AJ308" s="137"/>
      <c r="AK308" s="137"/>
      <c r="AL308" s="137"/>
    </row>
    <row r="309" spans="1:38" ht="15.75" customHeight="1">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c r="AA309" s="137"/>
      <c r="AB309" s="137"/>
      <c r="AC309" s="137"/>
      <c r="AD309" s="137"/>
      <c r="AE309" s="137"/>
      <c r="AF309" s="137"/>
      <c r="AG309" s="137"/>
      <c r="AH309" s="137"/>
      <c r="AI309" s="137"/>
      <c r="AJ309" s="137"/>
      <c r="AK309" s="137"/>
      <c r="AL309" s="137"/>
    </row>
    <row r="310" spans="1:38" ht="15.75" customHeight="1">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c r="AA310" s="137"/>
      <c r="AB310" s="137"/>
      <c r="AC310" s="137"/>
      <c r="AD310" s="137"/>
      <c r="AE310" s="137"/>
      <c r="AF310" s="137"/>
      <c r="AG310" s="137"/>
      <c r="AH310" s="137"/>
      <c r="AI310" s="137"/>
      <c r="AJ310" s="137"/>
      <c r="AK310" s="137"/>
      <c r="AL310" s="137"/>
    </row>
    <row r="311" spans="1:38" ht="15.75" customHeight="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c r="AA311" s="137"/>
      <c r="AB311" s="137"/>
      <c r="AC311" s="137"/>
      <c r="AD311" s="137"/>
      <c r="AE311" s="137"/>
      <c r="AF311" s="137"/>
      <c r="AG311" s="137"/>
      <c r="AH311" s="137"/>
      <c r="AI311" s="137"/>
      <c r="AJ311" s="137"/>
      <c r="AK311" s="137"/>
      <c r="AL311" s="137"/>
    </row>
    <row r="312" spans="1:38" ht="15.75" customHeight="1">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c r="AA312" s="137"/>
      <c r="AB312" s="137"/>
      <c r="AC312" s="137"/>
      <c r="AD312" s="137"/>
      <c r="AE312" s="137"/>
      <c r="AF312" s="137"/>
      <c r="AG312" s="137"/>
      <c r="AH312" s="137"/>
      <c r="AI312" s="137"/>
      <c r="AJ312" s="137"/>
      <c r="AK312" s="137"/>
      <c r="AL312" s="137"/>
    </row>
    <row r="313" spans="1:38" ht="15.75" customHeight="1">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c r="AA313" s="137"/>
      <c r="AB313" s="137"/>
      <c r="AC313" s="137"/>
      <c r="AD313" s="137"/>
      <c r="AE313" s="137"/>
      <c r="AF313" s="137"/>
      <c r="AG313" s="137"/>
      <c r="AH313" s="137"/>
      <c r="AI313" s="137"/>
      <c r="AJ313" s="137"/>
      <c r="AK313" s="137"/>
      <c r="AL313" s="137"/>
    </row>
    <row r="314" spans="1:38" ht="15.75" customHeight="1">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c r="AA314" s="137"/>
      <c r="AB314" s="137"/>
      <c r="AC314" s="137"/>
      <c r="AD314" s="137"/>
      <c r="AE314" s="137"/>
      <c r="AF314" s="137"/>
      <c r="AG314" s="137"/>
      <c r="AH314" s="137"/>
      <c r="AI314" s="137"/>
      <c r="AJ314" s="137"/>
      <c r="AK314" s="137"/>
      <c r="AL314" s="137"/>
    </row>
    <row r="315" spans="1:38" ht="15.75" customHeight="1">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c r="AA315" s="137"/>
      <c r="AB315" s="137"/>
      <c r="AC315" s="137"/>
      <c r="AD315" s="137"/>
      <c r="AE315" s="137"/>
      <c r="AF315" s="137"/>
      <c r="AG315" s="137"/>
      <c r="AH315" s="137"/>
      <c r="AI315" s="137"/>
      <c r="AJ315" s="137"/>
      <c r="AK315" s="137"/>
      <c r="AL315" s="137"/>
    </row>
    <row r="316" spans="1:38" ht="15.75" customHeight="1">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c r="AA316" s="137"/>
      <c r="AB316" s="137"/>
      <c r="AC316" s="137"/>
      <c r="AD316" s="137"/>
      <c r="AE316" s="137"/>
      <c r="AF316" s="137"/>
      <c r="AG316" s="137"/>
      <c r="AH316" s="137"/>
      <c r="AI316" s="137"/>
      <c r="AJ316" s="137"/>
      <c r="AK316" s="137"/>
      <c r="AL316" s="137"/>
    </row>
    <row r="317" spans="1:38" ht="15.75" customHeight="1">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c r="AA317" s="137"/>
      <c r="AB317" s="137"/>
      <c r="AC317" s="137"/>
      <c r="AD317" s="137"/>
      <c r="AE317" s="137"/>
      <c r="AF317" s="137"/>
      <c r="AG317" s="137"/>
      <c r="AH317" s="137"/>
      <c r="AI317" s="137"/>
      <c r="AJ317" s="137"/>
      <c r="AK317" s="137"/>
      <c r="AL317" s="137"/>
    </row>
    <row r="318" spans="1:38" ht="15.75" customHeight="1">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c r="AA318" s="137"/>
      <c r="AB318" s="137"/>
      <c r="AC318" s="137"/>
      <c r="AD318" s="137"/>
      <c r="AE318" s="137"/>
      <c r="AF318" s="137"/>
      <c r="AG318" s="137"/>
      <c r="AH318" s="137"/>
      <c r="AI318" s="137"/>
      <c r="AJ318" s="137"/>
      <c r="AK318" s="137"/>
      <c r="AL318" s="137"/>
    </row>
    <row r="319" spans="1:38" ht="15.75" customHeight="1">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c r="AA319" s="137"/>
      <c r="AB319" s="137"/>
      <c r="AC319" s="137"/>
      <c r="AD319" s="137"/>
      <c r="AE319" s="137"/>
      <c r="AF319" s="137"/>
      <c r="AG319" s="137"/>
      <c r="AH319" s="137"/>
      <c r="AI319" s="137"/>
      <c r="AJ319" s="137"/>
      <c r="AK319" s="137"/>
      <c r="AL319" s="137"/>
    </row>
    <row r="320" spans="1:38" ht="15.75" customHeight="1">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c r="AA320" s="137"/>
      <c r="AB320" s="137"/>
      <c r="AC320" s="137"/>
      <c r="AD320" s="137"/>
      <c r="AE320" s="137"/>
      <c r="AF320" s="137"/>
      <c r="AG320" s="137"/>
      <c r="AH320" s="137"/>
      <c r="AI320" s="137"/>
      <c r="AJ320" s="137"/>
      <c r="AK320" s="137"/>
      <c r="AL320" s="137"/>
    </row>
    <row r="321" spans="1:38" ht="15.75" customHeight="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c r="AA321" s="137"/>
      <c r="AB321" s="137"/>
      <c r="AC321" s="137"/>
      <c r="AD321" s="137"/>
      <c r="AE321" s="137"/>
      <c r="AF321" s="137"/>
      <c r="AG321" s="137"/>
      <c r="AH321" s="137"/>
      <c r="AI321" s="137"/>
      <c r="AJ321" s="137"/>
      <c r="AK321" s="137"/>
      <c r="AL321" s="137"/>
    </row>
    <row r="322" spans="1:38" ht="15.75" customHeight="1">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c r="AA322" s="137"/>
      <c r="AB322" s="137"/>
      <c r="AC322" s="137"/>
      <c r="AD322" s="137"/>
      <c r="AE322" s="137"/>
      <c r="AF322" s="137"/>
      <c r="AG322" s="137"/>
      <c r="AH322" s="137"/>
      <c r="AI322" s="137"/>
      <c r="AJ322" s="137"/>
      <c r="AK322" s="137"/>
      <c r="AL322" s="137"/>
    </row>
    <row r="323" spans="1:38" ht="15.75" customHeight="1">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c r="AA323" s="137"/>
      <c r="AB323" s="137"/>
      <c r="AC323" s="137"/>
      <c r="AD323" s="137"/>
      <c r="AE323" s="137"/>
      <c r="AF323" s="137"/>
      <c r="AG323" s="137"/>
      <c r="AH323" s="137"/>
      <c r="AI323" s="137"/>
      <c r="AJ323" s="137"/>
      <c r="AK323" s="137"/>
      <c r="AL323" s="137"/>
    </row>
    <row r="324" spans="1:38" ht="15.75" customHeight="1">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c r="AA324" s="137"/>
      <c r="AB324" s="137"/>
      <c r="AC324" s="137"/>
      <c r="AD324" s="137"/>
      <c r="AE324" s="137"/>
      <c r="AF324" s="137"/>
      <c r="AG324" s="137"/>
      <c r="AH324" s="137"/>
      <c r="AI324" s="137"/>
      <c r="AJ324" s="137"/>
      <c r="AK324" s="137"/>
      <c r="AL324" s="137"/>
    </row>
    <row r="325" spans="1:38" ht="15.75" customHeight="1">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c r="AA325" s="137"/>
      <c r="AB325" s="137"/>
      <c r="AC325" s="137"/>
      <c r="AD325" s="137"/>
      <c r="AE325" s="137"/>
      <c r="AF325" s="137"/>
      <c r="AG325" s="137"/>
      <c r="AH325" s="137"/>
      <c r="AI325" s="137"/>
      <c r="AJ325" s="137"/>
      <c r="AK325" s="137"/>
      <c r="AL325" s="137"/>
    </row>
    <row r="326" spans="1:38" ht="15.75" customHeight="1">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c r="AA326" s="137"/>
      <c r="AB326" s="137"/>
      <c r="AC326" s="137"/>
      <c r="AD326" s="137"/>
      <c r="AE326" s="137"/>
      <c r="AF326" s="137"/>
      <c r="AG326" s="137"/>
      <c r="AH326" s="137"/>
      <c r="AI326" s="137"/>
      <c r="AJ326" s="137"/>
      <c r="AK326" s="137"/>
      <c r="AL326" s="137"/>
    </row>
    <row r="327" spans="1:38" ht="15.75" customHeight="1">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c r="AA327" s="137"/>
      <c r="AB327" s="137"/>
      <c r="AC327" s="137"/>
      <c r="AD327" s="137"/>
      <c r="AE327" s="137"/>
      <c r="AF327" s="137"/>
      <c r="AG327" s="137"/>
      <c r="AH327" s="137"/>
      <c r="AI327" s="137"/>
      <c r="AJ327" s="137"/>
      <c r="AK327" s="137"/>
      <c r="AL327" s="137"/>
    </row>
    <row r="328" spans="1:38" ht="15.75" customHeight="1">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c r="AA328" s="137"/>
      <c r="AB328" s="137"/>
      <c r="AC328" s="137"/>
      <c r="AD328" s="137"/>
      <c r="AE328" s="137"/>
      <c r="AF328" s="137"/>
      <c r="AG328" s="137"/>
      <c r="AH328" s="137"/>
      <c r="AI328" s="137"/>
      <c r="AJ328" s="137"/>
      <c r="AK328" s="137"/>
      <c r="AL328" s="137"/>
    </row>
    <row r="329" spans="1:38" ht="15.75" customHeight="1">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c r="AA329" s="137"/>
      <c r="AB329" s="137"/>
      <c r="AC329" s="137"/>
      <c r="AD329" s="137"/>
      <c r="AE329" s="137"/>
      <c r="AF329" s="137"/>
      <c r="AG329" s="137"/>
      <c r="AH329" s="137"/>
      <c r="AI329" s="137"/>
      <c r="AJ329" s="137"/>
      <c r="AK329" s="137"/>
      <c r="AL329" s="137"/>
    </row>
    <row r="330" spans="1:38" ht="15.75" customHeight="1">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c r="AA330" s="137"/>
      <c r="AB330" s="137"/>
      <c r="AC330" s="137"/>
      <c r="AD330" s="137"/>
      <c r="AE330" s="137"/>
      <c r="AF330" s="137"/>
      <c r="AG330" s="137"/>
      <c r="AH330" s="137"/>
      <c r="AI330" s="137"/>
      <c r="AJ330" s="137"/>
      <c r="AK330" s="137"/>
      <c r="AL330" s="137"/>
    </row>
    <row r="331" spans="1:38" ht="15.75" customHeight="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c r="AA331" s="137"/>
      <c r="AB331" s="137"/>
      <c r="AC331" s="137"/>
      <c r="AD331" s="137"/>
      <c r="AE331" s="137"/>
      <c r="AF331" s="137"/>
      <c r="AG331" s="137"/>
      <c r="AH331" s="137"/>
      <c r="AI331" s="137"/>
      <c r="AJ331" s="137"/>
      <c r="AK331" s="137"/>
      <c r="AL331" s="137"/>
    </row>
    <row r="332" spans="1:38" ht="15.75" customHeight="1">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c r="AA332" s="137"/>
      <c r="AB332" s="137"/>
      <c r="AC332" s="137"/>
      <c r="AD332" s="137"/>
      <c r="AE332" s="137"/>
      <c r="AF332" s="137"/>
      <c r="AG332" s="137"/>
      <c r="AH332" s="137"/>
      <c r="AI332" s="137"/>
      <c r="AJ332" s="137"/>
      <c r="AK332" s="137"/>
      <c r="AL332" s="137"/>
    </row>
    <row r="333" spans="1:38" ht="15.75" customHeight="1">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c r="AA333" s="137"/>
      <c r="AB333" s="137"/>
      <c r="AC333" s="137"/>
      <c r="AD333" s="137"/>
      <c r="AE333" s="137"/>
      <c r="AF333" s="137"/>
      <c r="AG333" s="137"/>
      <c r="AH333" s="137"/>
      <c r="AI333" s="137"/>
      <c r="AJ333" s="137"/>
      <c r="AK333" s="137"/>
      <c r="AL333" s="137"/>
    </row>
    <row r="334" spans="1:38" ht="15.75" customHeight="1">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c r="AA334" s="137"/>
      <c r="AB334" s="137"/>
      <c r="AC334" s="137"/>
      <c r="AD334" s="137"/>
      <c r="AE334" s="137"/>
      <c r="AF334" s="137"/>
      <c r="AG334" s="137"/>
      <c r="AH334" s="137"/>
      <c r="AI334" s="137"/>
      <c r="AJ334" s="137"/>
      <c r="AK334" s="137"/>
      <c r="AL334" s="137"/>
    </row>
    <row r="335" spans="1:38" ht="15.75" customHeight="1">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c r="AA335" s="137"/>
      <c r="AB335" s="137"/>
      <c r="AC335" s="137"/>
      <c r="AD335" s="137"/>
      <c r="AE335" s="137"/>
      <c r="AF335" s="137"/>
      <c r="AG335" s="137"/>
      <c r="AH335" s="137"/>
      <c r="AI335" s="137"/>
      <c r="AJ335" s="137"/>
      <c r="AK335" s="137"/>
      <c r="AL335" s="137"/>
    </row>
    <row r="336" spans="1:38" ht="15.75" customHeight="1">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c r="AA336" s="137"/>
      <c r="AB336" s="137"/>
      <c r="AC336" s="137"/>
      <c r="AD336" s="137"/>
      <c r="AE336" s="137"/>
      <c r="AF336" s="137"/>
      <c r="AG336" s="137"/>
      <c r="AH336" s="137"/>
      <c r="AI336" s="137"/>
      <c r="AJ336" s="137"/>
      <c r="AK336" s="137"/>
      <c r="AL336" s="137"/>
    </row>
    <row r="337" spans="1:38" ht="15.75" customHeight="1">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c r="AA337" s="137"/>
      <c r="AB337" s="137"/>
      <c r="AC337" s="137"/>
      <c r="AD337" s="137"/>
      <c r="AE337" s="137"/>
      <c r="AF337" s="137"/>
      <c r="AG337" s="137"/>
      <c r="AH337" s="137"/>
      <c r="AI337" s="137"/>
      <c r="AJ337" s="137"/>
      <c r="AK337" s="137"/>
      <c r="AL337" s="137"/>
    </row>
    <row r="338" spans="1:38" ht="15.75" customHeight="1">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row>
    <row r="339" spans="1:38" ht="15.75" customHeight="1">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c r="AA339" s="137"/>
      <c r="AB339" s="137"/>
      <c r="AC339" s="137"/>
      <c r="AD339" s="137"/>
      <c r="AE339" s="137"/>
      <c r="AF339" s="137"/>
      <c r="AG339" s="137"/>
      <c r="AH339" s="137"/>
      <c r="AI339" s="137"/>
      <c r="AJ339" s="137"/>
      <c r="AK339" s="137"/>
      <c r="AL339" s="137"/>
    </row>
    <row r="340" spans="1:38" ht="15.75" customHeight="1">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c r="AA340" s="137"/>
      <c r="AB340" s="137"/>
      <c r="AC340" s="137"/>
      <c r="AD340" s="137"/>
      <c r="AE340" s="137"/>
      <c r="AF340" s="137"/>
      <c r="AG340" s="137"/>
      <c r="AH340" s="137"/>
      <c r="AI340" s="137"/>
      <c r="AJ340" s="137"/>
      <c r="AK340" s="137"/>
      <c r="AL340" s="137"/>
    </row>
    <row r="341" spans="1:38" ht="15.75" customHeight="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c r="AA341" s="137"/>
      <c r="AB341" s="137"/>
      <c r="AC341" s="137"/>
      <c r="AD341" s="137"/>
      <c r="AE341" s="137"/>
      <c r="AF341" s="137"/>
      <c r="AG341" s="137"/>
      <c r="AH341" s="137"/>
      <c r="AI341" s="137"/>
      <c r="AJ341" s="137"/>
      <c r="AK341" s="137"/>
      <c r="AL341" s="137"/>
    </row>
    <row r="342" spans="1:38" ht="15.75" customHeight="1">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c r="AA342" s="137"/>
      <c r="AB342" s="137"/>
      <c r="AC342" s="137"/>
      <c r="AD342" s="137"/>
      <c r="AE342" s="137"/>
      <c r="AF342" s="137"/>
      <c r="AG342" s="137"/>
      <c r="AH342" s="137"/>
      <c r="AI342" s="137"/>
      <c r="AJ342" s="137"/>
      <c r="AK342" s="137"/>
      <c r="AL342" s="137"/>
    </row>
    <row r="343" spans="1:38" ht="15.75" customHeight="1">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c r="AA343" s="137"/>
      <c r="AB343" s="137"/>
      <c r="AC343" s="137"/>
      <c r="AD343" s="137"/>
      <c r="AE343" s="137"/>
      <c r="AF343" s="137"/>
      <c r="AG343" s="137"/>
      <c r="AH343" s="137"/>
      <c r="AI343" s="137"/>
      <c r="AJ343" s="137"/>
      <c r="AK343" s="137"/>
      <c r="AL343" s="137"/>
    </row>
    <row r="344" spans="1:38" ht="15.75" customHeight="1">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c r="AA344" s="137"/>
      <c r="AB344" s="137"/>
      <c r="AC344" s="137"/>
      <c r="AD344" s="137"/>
      <c r="AE344" s="137"/>
      <c r="AF344" s="137"/>
      <c r="AG344" s="137"/>
      <c r="AH344" s="137"/>
      <c r="AI344" s="137"/>
      <c r="AJ344" s="137"/>
      <c r="AK344" s="137"/>
      <c r="AL344" s="137"/>
    </row>
    <row r="345" spans="1:38" ht="15.75" customHeight="1">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c r="AA345" s="137"/>
      <c r="AB345" s="137"/>
      <c r="AC345" s="137"/>
      <c r="AD345" s="137"/>
      <c r="AE345" s="137"/>
      <c r="AF345" s="137"/>
      <c r="AG345" s="137"/>
      <c r="AH345" s="137"/>
      <c r="AI345" s="137"/>
      <c r="AJ345" s="137"/>
      <c r="AK345" s="137"/>
      <c r="AL345" s="137"/>
    </row>
    <row r="346" spans="1:38" ht="15.75" customHeight="1">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c r="AA346" s="137"/>
      <c r="AB346" s="137"/>
      <c r="AC346" s="137"/>
      <c r="AD346" s="137"/>
      <c r="AE346" s="137"/>
      <c r="AF346" s="137"/>
      <c r="AG346" s="137"/>
      <c r="AH346" s="137"/>
      <c r="AI346" s="137"/>
      <c r="AJ346" s="137"/>
      <c r="AK346" s="137"/>
      <c r="AL346" s="137"/>
    </row>
    <row r="347" spans="1:38" ht="15.75" customHeight="1">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c r="AA347" s="137"/>
      <c r="AB347" s="137"/>
      <c r="AC347" s="137"/>
      <c r="AD347" s="137"/>
      <c r="AE347" s="137"/>
      <c r="AF347" s="137"/>
      <c r="AG347" s="137"/>
      <c r="AH347" s="137"/>
      <c r="AI347" s="137"/>
      <c r="AJ347" s="137"/>
      <c r="AK347" s="137"/>
      <c r="AL347" s="137"/>
    </row>
    <row r="348" spans="1:38" ht="15.75" customHeight="1">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c r="AA348" s="137"/>
      <c r="AB348" s="137"/>
      <c r="AC348" s="137"/>
      <c r="AD348" s="137"/>
      <c r="AE348" s="137"/>
      <c r="AF348" s="137"/>
      <c r="AG348" s="137"/>
      <c r="AH348" s="137"/>
      <c r="AI348" s="137"/>
      <c r="AJ348" s="137"/>
      <c r="AK348" s="137"/>
      <c r="AL348" s="137"/>
    </row>
    <row r="349" spans="1:38" ht="15.75" customHeight="1">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c r="AA349" s="137"/>
      <c r="AB349" s="137"/>
      <c r="AC349" s="137"/>
      <c r="AD349" s="137"/>
      <c r="AE349" s="137"/>
      <c r="AF349" s="137"/>
      <c r="AG349" s="137"/>
      <c r="AH349" s="137"/>
      <c r="AI349" s="137"/>
      <c r="AJ349" s="137"/>
      <c r="AK349" s="137"/>
      <c r="AL349" s="137"/>
    </row>
    <row r="350" spans="1:38" ht="15.75" customHeight="1">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c r="AA350" s="137"/>
      <c r="AB350" s="137"/>
      <c r="AC350" s="137"/>
      <c r="AD350" s="137"/>
      <c r="AE350" s="137"/>
      <c r="AF350" s="137"/>
      <c r="AG350" s="137"/>
      <c r="AH350" s="137"/>
      <c r="AI350" s="137"/>
      <c r="AJ350" s="137"/>
      <c r="AK350" s="137"/>
      <c r="AL350" s="137"/>
    </row>
    <row r="351" spans="1:38" ht="15.75" customHeight="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c r="AA351" s="137"/>
      <c r="AB351" s="137"/>
      <c r="AC351" s="137"/>
      <c r="AD351" s="137"/>
      <c r="AE351" s="137"/>
      <c r="AF351" s="137"/>
      <c r="AG351" s="137"/>
      <c r="AH351" s="137"/>
      <c r="AI351" s="137"/>
      <c r="AJ351" s="137"/>
      <c r="AK351" s="137"/>
      <c r="AL351" s="137"/>
    </row>
    <row r="352" spans="1:38" ht="15.75" customHeight="1">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c r="AA352" s="137"/>
      <c r="AB352" s="137"/>
      <c r="AC352" s="137"/>
      <c r="AD352" s="137"/>
      <c r="AE352" s="137"/>
      <c r="AF352" s="137"/>
      <c r="AG352" s="137"/>
      <c r="AH352" s="137"/>
      <c r="AI352" s="137"/>
      <c r="AJ352" s="137"/>
      <c r="AK352" s="137"/>
      <c r="AL352" s="137"/>
    </row>
    <row r="353" spans="1:38" ht="15.75" customHeight="1">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c r="AA353" s="137"/>
      <c r="AB353" s="137"/>
      <c r="AC353" s="137"/>
      <c r="AD353" s="137"/>
      <c r="AE353" s="137"/>
      <c r="AF353" s="137"/>
      <c r="AG353" s="137"/>
      <c r="AH353" s="137"/>
      <c r="AI353" s="137"/>
      <c r="AJ353" s="137"/>
      <c r="AK353" s="137"/>
      <c r="AL353" s="137"/>
    </row>
    <row r="354" spans="1:38" ht="15.75" customHeight="1">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c r="AA354" s="137"/>
      <c r="AB354" s="137"/>
      <c r="AC354" s="137"/>
      <c r="AD354" s="137"/>
      <c r="AE354" s="137"/>
      <c r="AF354" s="137"/>
      <c r="AG354" s="137"/>
      <c r="AH354" s="137"/>
      <c r="AI354" s="137"/>
      <c r="AJ354" s="137"/>
      <c r="AK354" s="137"/>
      <c r="AL354" s="137"/>
    </row>
    <row r="355" spans="1:38" ht="15.75" customHeight="1">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c r="AA355" s="137"/>
      <c r="AB355" s="137"/>
      <c r="AC355" s="137"/>
      <c r="AD355" s="137"/>
      <c r="AE355" s="137"/>
      <c r="AF355" s="137"/>
      <c r="AG355" s="137"/>
      <c r="AH355" s="137"/>
      <c r="AI355" s="137"/>
      <c r="AJ355" s="137"/>
      <c r="AK355" s="137"/>
      <c r="AL355" s="137"/>
    </row>
    <row r="356" spans="1:38" ht="15.75" customHeight="1">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c r="AA356" s="137"/>
      <c r="AB356" s="137"/>
      <c r="AC356" s="137"/>
      <c r="AD356" s="137"/>
      <c r="AE356" s="137"/>
      <c r="AF356" s="137"/>
      <c r="AG356" s="137"/>
      <c r="AH356" s="137"/>
      <c r="AI356" s="137"/>
      <c r="AJ356" s="137"/>
      <c r="AK356" s="137"/>
      <c r="AL356" s="137"/>
    </row>
    <row r="357" spans="1:38" ht="15.75" customHeight="1">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c r="AA357" s="137"/>
      <c r="AB357" s="137"/>
      <c r="AC357" s="137"/>
      <c r="AD357" s="137"/>
      <c r="AE357" s="137"/>
      <c r="AF357" s="137"/>
      <c r="AG357" s="137"/>
      <c r="AH357" s="137"/>
      <c r="AI357" s="137"/>
      <c r="AJ357" s="137"/>
      <c r="AK357" s="137"/>
      <c r="AL357" s="137"/>
    </row>
    <row r="358" spans="1:38" ht="15.75" customHeight="1">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c r="AA358" s="137"/>
      <c r="AB358" s="137"/>
      <c r="AC358" s="137"/>
      <c r="AD358" s="137"/>
      <c r="AE358" s="137"/>
      <c r="AF358" s="137"/>
      <c r="AG358" s="137"/>
      <c r="AH358" s="137"/>
      <c r="AI358" s="137"/>
      <c r="AJ358" s="137"/>
      <c r="AK358" s="137"/>
      <c r="AL358" s="137"/>
    </row>
    <row r="359" spans="1:38" ht="15.75" customHeight="1">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c r="AA359" s="137"/>
      <c r="AB359" s="137"/>
      <c r="AC359" s="137"/>
      <c r="AD359" s="137"/>
      <c r="AE359" s="137"/>
      <c r="AF359" s="137"/>
      <c r="AG359" s="137"/>
      <c r="AH359" s="137"/>
      <c r="AI359" s="137"/>
      <c r="AJ359" s="137"/>
      <c r="AK359" s="137"/>
      <c r="AL359" s="137"/>
    </row>
    <row r="360" spans="1:38" ht="15.75" customHeight="1">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c r="AA360" s="137"/>
      <c r="AB360" s="137"/>
      <c r="AC360" s="137"/>
      <c r="AD360" s="137"/>
      <c r="AE360" s="137"/>
      <c r="AF360" s="137"/>
      <c r="AG360" s="137"/>
      <c r="AH360" s="137"/>
      <c r="AI360" s="137"/>
      <c r="AJ360" s="137"/>
      <c r="AK360" s="137"/>
      <c r="AL360" s="137"/>
    </row>
    <row r="361" spans="1:38" ht="15.75" customHeight="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c r="AA361" s="137"/>
      <c r="AB361" s="137"/>
      <c r="AC361" s="137"/>
      <c r="AD361" s="137"/>
      <c r="AE361" s="137"/>
      <c r="AF361" s="137"/>
      <c r="AG361" s="137"/>
      <c r="AH361" s="137"/>
      <c r="AI361" s="137"/>
      <c r="AJ361" s="137"/>
      <c r="AK361" s="137"/>
      <c r="AL361" s="137"/>
    </row>
    <row r="362" spans="1:38" ht="15.75" customHeight="1">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c r="AA362" s="137"/>
      <c r="AB362" s="137"/>
      <c r="AC362" s="137"/>
      <c r="AD362" s="137"/>
      <c r="AE362" s="137"/>
      <c r="AF362" s="137"/>
      <c r="AG362" s="137"/>
      <c r="AH362" s="137"/>
      <c r="AI362" s="137"/>
      <c r="AJ362" s="137"/>
      <c r="AK362" s="137"/>
      <c r="AL362" s="137"/>
    </row>
    <row r="363" spans="1:38" ht="15.75" customHeight="1">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c r="AA363" s="137"/>
      <c r="AB363" s="137"/>
      <c r="AC363" s="137"/>
      <c r="AD363" s="137"/>
      <c r="AE363" s="137"/>
      <c r="AF363" s="137"/>
      <c r="AG363" s="137"/>
      <c r="AH363" s="137"/>
      <c r="AI363" s="137"/>
      <c r="AJ363" s="137"/>
      <c r="AK363" s="137"/>
      <c r="AL363" s="137"/>
    </row>
    <row r="364" spans="1:38" ht="15.75" customHeight="1">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c r="AA364" s="137"/>
      <c r="AB364" s="137"/>
      <c r="AC364" s="137"/>
      <c r="AD364" s="137"/>
      <c r="AE364" s="137"/>
      <c r="AF364" s="137"/>
      <c r="AG364" s="137"/>
      <c r="AH364" s="137"/>
      <c r="AI364" s="137"/>
      <c r="AJ364" s="137"/>
      <c r="AK364" s="137"/>
      <c r="AL364" s="137"/>
    </row>
    <row r="365" spans="1:38" ht="15.75" customHeight="1">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c r="AA365" s="137"/>
      <c r="AB365" s="137"/>
      <c r="AC365" s="137"/>
      <c r="AD365" s="137"/>
      <c r="AE365" s="137"/>
      <c r="AF365" s="137"/>
      <c r="AG365" s="137"/>
      <c r="AH365" s="137"/>
      <c r="AI365" s="137"/>
      <c r="AJ365" s="137"/>
      <c r="AK365" s="137"/>
      <c r="AL365" s="137"/>
    </row>
    <row r="366" spans="1:38" ht="15.75" customHeight="1">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c r="AA366" s="137"/>
      <c r="AB366" s="137"/>
      <c r="AC366" s="137"/>
      <c r="AD366" s="137"/>
      <c r="AE366" s="137"/>
      <c r="AF366" s="137"/>
      <c r="AG366" s="137"/>
      <c r="AH366" s="137"/>
      <c r="AI366" s="137"/>
      <c r="AJ366" s="137"/>
      <c r="AK366" s="137"/>
      <c r="AL366" s="137"/>
    </row>
    <row r="367" spans="1:38" ht="15.75" customHeight="1">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c r="AA367" s="137"/>
      <c r="AB367" s="137"/>
      <c r="AC367" s="137"/>
      <c r="AD367" s="137"/>
      <c r="AE367" s="137"/>
      <c r="AF367" s="137"/>
      <c r="AG367" s="137"/>
      <c r="AH367" s="137"/>
      <c r="AI367" s="137"/>
      <c r="AJ367" s="137"/>
      <c r="AK367" s="137"/>
      <c r="AL367" s="137"/>
    </row>
    <row r="368" spans="1:38" ht="15.75" customHeight="1">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c r="AA368" s="137"/>
      <c r="AB368" s="137"/>
      <c r="AC368" s="137"/>
      <c r="AD368" s="137"/>
      <c r="AE368" s="137"/>
      <c r="AF368" s="137"/>
      <c r="AG368" s="137"/>
      <c r="AH368" s="137"/>
      <c r="AI368" s="137"/>
      <c r="AJ368" s="137"/>
      <c r="AK368" s="137"/>
      <c r="AL368" s="137"/>
    </row>
    <row r="369" spans="1:38" ht="15.75" customHeight="1">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c r="AA369" s="137"/>
      <c r="AB369" s="137"/>
      <c r="AC369" s="137"/>
      <c r="AD369" s="137"/>
      <c r="AE369" s="137"/>
      <c r="AF369" s="137"/>
      <c r="AG369" s="137"/>
      <c r="AH369" s="137"/>
      <c r="AI369" s="137"/>
      <c r="AJ369" s="137"/>
      <c r="AK369" s="137"/>
      <c r="AL369" s="137"/>
    </row>
    <row r="370" spans="1:38" ht="15.75" customHeight="1">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c r="AA370" s="137"/>
      <c r="AB370" s="137"/>
      <c r="AC370" s="137"/>
      <c r="AD370" s="137"/>
      <c r="AE370" s="137"/>
      <c r="AF370" s="137"/>
      <c r="AG370" s="137"/>
      <c r="AH370" s="137"/>
      <c r="AI370" s="137"/>
      <c r="AJ370" s="137"/>
      <c r="AK370" s="137"/>
      <c r="AL370" s="137"/>
    </row>
    <row r="371" spans="1:38" ht="15.75" customHeight="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c r="AA371" s="137"/>
      <c r="AB371" s="137"/>
      <c r="AC371" s="137"/>
      <c r="AD371" s="137"/>
      <c r="AE371" s="137"/>
      <c r="AF371" s="137"/>
      <c r="AG371" s="137"/>
      <c r="AH371" s="137"/>
      <c r="AI371" s="137"/>
      <c r="AJ371" s="137"/>
      <c r="AK371" s="137"/>
      <c r="AL371" s="137"/>
    </row>
    <row r="372" spans="1:38" ht="15.75" customHeight="1">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c r="AA372" s="137"/>
      <c r="AB372" s="137"/>
      <c r="AC372" s="137"/>
      <c r="AD372" s="137"/>
      <c r="AE372" s="137"/>
      <c r="AF372" s="137"/>
      <c r="AG372" s="137"/>
      <c r="AH372" s="137"/>
      <c r="AI372" s="137"/>
      <c r="AJ372" s="137"/>
      <c r="AK372" s="137"/>
      <c r="AL372" s="137"/>
    </row>
    <row r="373" spans="1:38" ht="15.75" customHeight="1">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c r="AA373" s="137"/>
      <c r="AB373" s="137"/>
      <c r="AC373" s="137"/>
      <c r="AD373" s="137"/>
      <c r="AE373" s="137"/>
      <c r="AF373" s="137"/>
      <c r="AG373" s="137"/>
      <c r="AH373" s="137"/>
      <c r="AI373" s="137"/>
      <c r="AJ373" s="137"/>
      <c r="AK373" s="137"/>
      <c r="AL373" s="137"/>
    </row>
    <row r="374" spans="1:38" ht="15.75" customHeight="1">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c r="AA374" s="137"/>
      <c r="AB374" s="137"/>
      <c r="AC374" s="137"/>
      <c r="AD374" s="137"/>
      <c r="AE374" s="137"/>
      <c r="AF374" s="137"/>
      <c r="AG374" s="137"/>
      <c r="AH374" s="137"/>
      <c r="AI374" s="137"/>
      <c r="AJ374" s="137"/>
      <c r="AK374" s="137"/>
      <c r="AL374" s="137"/>
    </row>
    <row r="375" spans="1:38" ht="15.75" customHeight="1">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c r="AA375" s="137"/>
      <c r="AB375" s="137"/>
      <c r="AC375" s="137"/>
      <c r="AD375" s="137"/>
      <c r="AE375" s="137"/>
      <c r="AF375" s="137"/>
      <c r="AG375" s="137"/>
      <c r="AH375" s="137"/>
      <c r="AI375" s="137"/>
      <c r="AJ375" s="137"/>
      <c r="AK375" s="137"/>
      <c r="AL375" s="137"/>
    </row>
    <row r="376" spans="1:38" ht="15.75" customHeight="1">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c r="AA376" s="137"/>
      <c r="AB376" s="137"/>
      <c r="AC376" s="137"/>
      <c r="AD376" s="137"/>
      <c r="AE376" s="137"/>
      <c r="AF376" s="137"/>
      <c r="AG376" s="137"/>
      <c r="AH376" s="137"/>
      <c r="AI376" s="137"/>
      <c r="AJ376" s="137"/>
      <c r="AK376" s="137"/>
      <c r="AL376" s="137"/>
    </row>
    <row r="377" spans="1:38" ht="15.75" customHeight="1">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c r="AA377" s="137"/>
      <c r="AB377" s="137"/>
      <c r="AC377" s="137"/>
      <c r="AD377" s="137"/>
      <c r="AE377" s="137"/>
      <c r="AF377" s="137"/>
      <c r="AG377" s="137"/>
      <c r="AH377" s="137"/>
      <c r="AI377" s="137"/>
      <c r="AJ377" s="137"/>
      <c r="AK377" s="137"/>
      <c r="AL377" s="137"/>
    </row>
    <row r="378" spans="1:38" ht="15.75" customHeight="1">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c r="AA378" s="137"/>
      <c r="AB378" s="137"/>
      <c r="AC378" s="137"/>
      <c r="AD378" s="137"/>
      <c r="AE378" s="137"/>
      <c r="AF378" s="137"/>
      <c r="AG378" s="137"/>
      <c r="AH378" s="137"/>
      <c r="AI378" s="137"/>
      <c r="AJ378" s="137"/>
      <c r="AK378" s="137"/>
      <c r="AL378" s="137"/>
    </row>
    <row r="379" spans="1:38" ht="15.75" customHeight="1">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c r="AA379" s="137"/>
      <c r="AB379" s="137"/>
      <c r="AC379" s="137"/>
      <c r="AD379" s="137"/>
      <c r="AE379" s="137"/>
      <c r="AF379" s="137"/>
      <c r="AG379" s="137"/>
      <c r="AH379" s="137"/>
      <c r="AI379" s="137"/>
      <c r="AJ379" s="137"/>
      <c r="AK379" s="137"/>
      <c r="AL379" s="137"/>
    </row>
    <row r="380" spans="1:38" ht="15.75" customHeight="1">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c r="AA380" s="137"/>
      <c r="AB380" s="137"/>
      <c r="AC380" s="137"/>
      <c r="AD380" s="137"/>
      <c r="AE380" s="137"/>
      <c r="AF380" s="137"/>
      <c r="AG380" s="137"/>
      <c r="AH380" s="137"/>
      <c r="AI380" s="137"/>
      <c r="AJ380" s="137"/>
      <c r="AK380" s="137"/>
      <c r="AL380" s="137"/>
    </row>
    <row r="381" spans="1:38" ht="15.75" customHeight="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c r="AA381" s="137"/>
      <c r="AB381" s="137"/>
      <c r="AC381" s="137"/>
      <c r="AD381" s="137"/>
      <c r="AE381" s="137"/>
      <c r="AF381" s="137"/>
      <c r="AG381" s="137"/>
      <c r="AH381" s="137"/>
      <c r="AI381" s="137"/>
      <c r="AJ381" s="137"/>
      <c r="AK381" s="137"/>
      <c r="AL381" s="137"/>
    </row>
    <row r="382" spans="1:38" ht="15.75" customHeight="1">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c r="AA382" s="137"/>
      <c r="AB382" s="137"/>
      <c r="AC382" s="137"/>
      <c r="AD382" s="137"/>
      <c r="AE382" s="137"/>
      <c r="AF382" s="137"/>
      <c r="AG382" s="137"/>
      <c r="AH382" s="137"/>
      <c r="AI382" s="137"/>
      <c r="AJ382" s="137"/>
      <c r="AK382" s="137"/>
      <c r="AL382" s="137"/>
    </row>
    <row r="383" spans="1:38" ht="15.75" customHeight="1">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c r="AA383" s="137"/>
      <c r="AB383" s="137"/>
      <c r="AC383" s="137"/>
      <c r="AD383" s="137"/>
      <c r="AE383" s="137"/>
      <c r="AF383" s="137"/>
      <c r="AG383" s="137"/>
      <c r="AH383" s="137"/>
      <c r="AI383" s="137"/>
      <c r="AJ383" s="137"/>
      <c r="AK383" s="137"/>
      <c r="AL383" s="137"/>
    </row>
    <row r="384" spans="1:38" ht="15.75" customHeight="1">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c r="AA384" s="137"/>
      <c r="AB384" s="137"/>
      <c r="AC384" s="137"/>
      <c r="AD384" s="137"/>
      <c r="AE384" s="137"/>
      <c r="AF384" s="137"/>
      <c r="AG384" s="137"/>
      <c r="AH384" s="137"/>
      <c r="AI384" s="137"/>
      <c r="AJ384" s="137"/>
      <c r="AK384" s="137"/>
      <c r="AL384" s="137"/>
    </row>
    <row r="385" spans="1:38" ht="15.75" customHeight="1">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c r="AA385" s="137"/>
      <c r="AB385" s="137"/>
      <c r="AC385" s="137"/>
      <c r="AD385" s="137"/>
      <c r="AE385" s="137"/>
      <c r="AF385" s="137"/>
      <c r="AG385" s="137"/>
      <c r="AH385" s="137"/>
      <c r="AI385" s="137"/>
      <c r="AJ385" s="137"/>
      <c r="AK385" s="137"/>
      <c r="AL385" s="137"/>
    </row>
    <row r="386" spans="1:38" ht="15.75" customHeight="1">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c r="AA386" s="137"/>
      <c r="AB386" s="137"/>
      <c r="AC386" s="137"/>
      <c r="AD386" s="137"/>
      <c r="AE386" s="137"/>
      <c r="AF386" s="137"/>
      <c r="AG386" s="137"/>
      <c r="AH386" s="137"/>
      <c r="AI386" s="137"/>
      <c r="AJ386" s="137"/>
      <c r="AK386" s="137"/>
      <c r="AL386" s="137"/>
    </row>
    <row r="387" spans="1:38" ht="15.75" customHeight="1">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c r="AA387" s="137"/>
      <c r="AB387" s="137"/>
      <c r="AC387" s="137"/>
      <c r="AD387" s="137"/>
      <c r="AE387" s="137"/>
      <c r="AF387" s="137"/>
      <c r="AG387" s="137"/>
      <c r="AH387" s="137"/>
      <c r="AI387" s="137"/>
      <c r="AJ387" s="137"/>
      <c r="AK387" s="137"/>
      <c r="AL387" s="137"/>
    </row>
    <row r="388" spans="1:38" ht="15.75" customHeight="1">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c r="AA388" s="137"/>
      <c r="AB388" s="137"/>
      <c r="AC388" s="137"/>
      <c r="AD388" s="137"/>
      <c r="AE388" s="137"/>
      <c r="AF388" s="137"/>
      <c r="AG388" s="137"/>
      <c r="AH388" s="137"/>
      <c r="AI388" s="137"/>
      <c r="AJ388" s="137"/>
      <c r="AK388" s="137"/>
      <c r="AL388" s="137"/>
    </row>
    <row r="389" spans="1:38" ht="15.75" customHeight="1">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c r="AA389" s="137"/>
      <c r="AB389" s="137"/>
      <c r="AC389" s="137"/>
      <c r="AD389" s="137"/>
      <c r="AE389" s="137"/>
      <c r="AF389" s="137"/>
      <c r="AG389" s="137"/>
      <c r="AH389" s="137"/>
      <c r="AI389" s="137"/>
      <c r="AJ389" s="137"/>
      <c r="AK389" s="137"/>
      <c r="AL389" s="137"/>
    </row>
    <row r="390" spans="1:38" ht="15.75" customHeight="1">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c r="AA390" s="137"/>
      <c r="AB390" s="137"/>
      <c r="AC390" s="137"/>
      <c r="AD390" s="137"/>
      <c r="AE390" s="137"/>
      <c r="AF390" s="137"/>
      <c r="AG390" s="137"/>
      <c r="AH390" s="137"/>
      <c r="AI390" s="137"/>
      <c r="AJ390" s="137"/>
      <c r="AK390" s="137"/>
      <c r="AL390" s="137"/>
    </row>
    <row r="391" spans="1:38" ht="15.75" customHeight="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c r="AA391" s="137"/>
      <c r="AB391" s="137"/>
      <c r="AC391" s="137"/>
      <c r="AD391" s="137"/>
      <c r="AE391" s="137"/>
      <c r="AF391" s="137"/>
      <c r="AG391" s="137"/>
      <c r="AH391" s="137"/>
      <c r="AI391" s="137"/>
      <c r="AJ391" s="137"/>
      <c r="AK391" s="137"/>
      <c r="AL391" s="137"/>
    </row>
    <row r="392" spans="1:38" ht="15.75" customHeight="1">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c r="AA392" s="137"/>
      <c r="AB392" s="137"/>
      <c r="AC392" s="137"/>
      <c r="AD392" s="137"/>
      <c r="AE392" s="137"/>
      <c r="AF392" s="137"/>
      <c r="AG392" s="137"/>
      <c r="AH392" s="137"/>
      <c r="AI392" s="137"/>
      <c r="AJ392" s="137"/>
      <c r="AK392" s="137"/>
      <c r="AL392" s="137"/>
    </row>
    <row r="393" spans="1:38" ht="15.75" customHeight="1">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c r="AA393" s="137"/>
      <c r="AB393" s="137"/>
      <c r="AC393" s="137"/>
      <c r="AD393" s="137"/>
      <c r="AE393" s="137"/>
      <c r="AF393" s="137"/>
      <c r="AG393" s="137"/>
      <c r="AH393" s="137"/>
      <c r="AI393" s="137"/>
      <c r="AJ393" s="137"/>
      <c r="AK393" s="137"/>
      <c r="AL393" s="137"/>
    </row>
    <row r="394" spans="1:38" ht="15.75" customHeight="1">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c r="AA394" s="137"/>
      <c r="AB394" s="137"/>
      <c r="AC394" s="137"/>
      <c r="AD394" s="137"/>
      <c r="AE394" s="137"/>
      <c r="AF394" s="137"/>
      <c r="AG394" s="137"/>
      <c r="AH394" s="137"/>
      <c r="AI394" s="137"/>
      <c r="AJ394" s="137"/>
      <c r="AK394" s="137"/>
      <c r="AL394" s="137"/>
    </row>
    <row r="395" spans="1:38" ht="15.75" customHeight="1">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c r="AA395" s="137"/>
      <c r="AB395" s="137"/>
      <c r="AC395" s="137"/>
      <c r="AD395" s="137"/>
      <c r="AE395" s="137"/>
      <c r="AF395" s="137"/>
      <c r="AG395" s="137"/>
      <c r="AH395" s="137"/>
      <c r="AI395" s="137"/>
      <c r="AJ395" s="137"/>
      <c r="AK395" s="137"/>
      <c r="AL395" s="137"/>
    </row>
    <row r="396" spans="1:38" ht="15.75" customHeight="1">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c r="AA396" s="137"/>
      <c r="AB396" s="137"/>
      <c r="AC396" s="137"/>
      <c r="AD396" s="137"/>
      <c r="AE396" s="137"/>
      <c r="AF396" s="137"/>
      <c r="AG396" s="137"/>
      <c r="AH396" s="137"/>
      <c r="AI396" s="137"/>
      <c r="AJ396" s="137"/>
      <c r="AK396" s="137"/>
      <c r="AL396" s="137"/>
    </row>
    <row r="397" spans="1:38" ht="15.75" customHeight="1">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c r="AA397" s="137"/>
      <c r="AB397" s="137"/>
      <c r="AC397" s="137"/>
      <c r="AD397" s="137"/>
      <c r="AE397" s="137"/>
      <c r="AF397" s="137"/>
      <c r="AG397" s="137"/>
      <c r="AH397" s="137"/>
      <c r="AI397" s="137"/>
      <c r="AJ397" s="137"/>
      <c r="AK397" s="137"/>
      <c r="AL397" s="137"/>
    </row>
    <row r="398" spans="1:38" ht="15.75" customHeight="1">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c r="AA398" s="137"/>
      <c r="AB398" s="137"/>
      <c r="AC398" s="137"/>
      <c r="AD398" s="137"/>
      <c r="AE398" s="137"/>
      <c r="AF398" s="137"/>
      <c r="AG398" s="137"/>
      <c r="AH398" s="137"/>
      <c r="AI398" s="137"/>
      <c r="AJ398" s="137"/>
      <c r="AK398" s="137"/>
      <c r="AL398" s="137"/>
    </row>
    <row r="399" spans="1:38" ht="15.75" customHeight="1">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c r="AA399" s="137"/>
      <c r="AB399" s="137"/>
      <c r="AC399" s="137"/>
      <c r="AD399" s="137"/>
      <c r="AE399" s="137"/>
      <c r="AF399" s="137"/>
      <c r="AG399" s="137"/>
      <c r="AH399" s="137"/>
      <c r="AI399" s="137"/>
      <c r="AJ399" s="137"/>
      <c r="AK399" s="137"/>
      <c r="AL399" s="137"/>
    </row>
    <row r="400" spans="1:38" ht="15.75" customHeight="1">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c r="AA400" s="137"/>
      <c r="AB400" s="137"/>
      <c r="AC400" s="137"/>
      <c r="AD400" s="137"/>
      <c r="AE400" s="137"/>
      <c r="AF400" s="137"/>
      <c r="AG400" s="137"/>
      <c r="AH400" s="137"/>
      <c r="AI400" s="137"/>
      <c r="AJ400" s="137"/>
      <c r="AK400" s="137"/>
      <c r="AL400" s="137"/>
    </row>
    <row r="401" spans="1:38" ht="15.75" customHeight="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c r="AA401" s="137"/>
      <c r="AB401" s="137"/>
      <c r="AC401" s="137"/>
      <c r="AD401" s="137"/>
      <c r="AE401" s="137"/>
      <c r="AF401" s="137"/>
      <c r="AG401" s="137"/>
      <c r="AH401" s="137"/>
      <c r="AI401" s="137"/>
      <c r="AJ401" s="137"/>
      <c r="AK401" s="137"/>
      <c r="AL401" s="137"/>
    </row>
    <row r="402" spans="1:38" ht="15.75" customHeight="1">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c r="AA402" s="137"/>
      <c r="AB402" s="137"/>
      <c r="AC402" s="137"/>
      <c r="AD402" s="137"/>
      <c r="AE402" s="137"/>
      <c r="AF402" s="137"/>
      <c r="AG402" s="137"/>
      <c r="AH402" s="137"/>
      <c r="AI402" s="137"/>
      <c r="AJ402" s="137"/>
      <c r="AK402" s="137"/>
      <c r="AL402" s="137"/>
    </row>
    <row r="403" spans="1:38" ht="15.75" customHeight="1">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c r="AA403" s="137"/>
      <c r="AB403" s="137"/>
      <c r="AC403" s="137"/>
      <c r="AD403" s="137"/>
      <c r="AE403" s="137"/>
      <c r="AF403" s="137"/>
      <c r="AG403" s="137"/>
      <c r="AH403" s="137"/>
      <c r="AI403" s="137"/>
      <c r="AJ403" s="137"/>
      <c r="AK403" s="137"/>
      <c r="AL403" s="137"/>
    </row>
    <row r="404" spans="1:38" ht="15.75" customHeight="1">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c r="AA404" s="137"/>
      <c r="AB404" s="137"/>
      <c r="AC404" s="137"/>
      <c r="AD404" s="137"/>
      <c r="AE404" s="137"/>
      <c r="AF404" s="137"/>
      <c r="AG404" s="137"/>
      <c r="AH404" s="137"/>
      <c r="AI404" s="137"/>
      <c r="AJ404" s="137"/>
      <c r="AK404" s="137"/>
      <c r="AL404" s="137"/>
    </row>
    <row r="405" spans="1:38" ht="15.75" customHeight="1">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c r="AA405" s="137"/>
      <c r="AB405" s="137"/>
      <c r="AC405" s="137"/>
      <c r="AD405" s="137"/>
      <c r="AE405" s="137"/>
      <c r="AF405" s="137"/>
      <c r="AG405" s="137"/>
      <c r="AH405" s="137"/>
      <c r="AI405" s="137"/>
      <c r="AJ405" s="137"/>
      <c r="AK405" s="137"/>
      <c r="AL405" s="137"/>
    </row>
    <row r="406" spans="1:38" ht="15.75" customHeight="1">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c r="AA406" s="137"/>
      <c r="AB406" s="137"/>
      <c r="AC406" s="137"/>
      <c r="AD406" s="137"/>
      <c r="AE406" s="137"/>
      <c r="AF406" s="137"/>
      <c r="AG406" s="137"/>
      <c r="AH406" s="137"/>
      <c r="AI406" s="137"/>
      <c r="AJ406" s="137"/>
      <c r="AK406" s="137"/>
      <c r="AL406" s="137"/>
    </row>
    <row r="407" spans="1:38" ht="15.75" customHeight="1">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c r="AA407" s="137"/>
      <c r="AB407" s="137"/>
      <c r="AC407" s="137"/>
      <c r="AD407" s="137"/>
      <c r="AE407" s="137"/>
      <c r="AF407" s="137"/>
      <c r="AG407" s="137"/>
      <c r="AH407" s="137"/>
      <c r="AI407" s="137"/>
      <c r="AJ407" s="137"/>
      <c r="AK407" s="137"/>
      <c r="AL407" s="137"/>
    </row>
    <row r="408" spans="1:38" ht="15.75" customHeight="1">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c r="AA408" s="137"/>
      <c r="AB408" s="137"/>
      <c r="AC408" s="137"/>
      <c r="AD408" s="137"/>
      <c r="AE408" s="137"/>
      <c r="AF408" s="137"/>
      <c r="AG408" s="137"/>
      <c r="AH408" s="137"/>
      <c r="AI408" s="137"/>
      <c r="AJ408" s="137"/>
      <c r="AK408" s="137"/>
      <c r="AL408" s="137"/>
    </row>
    <row r="409" spans="1:38" ht="15.75" customHeight="1">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c r="AA409" s="137"/>
      <c r="AB409" s="137"/>
      <c r="AC409" s="137"/>
      <c r="AD409" s="137"/>
      <c r="AE409" s="137"/>
      <c r="AF409" s="137"/>
      <c r="AG409" s="137"/>
      <c r="AH409" s="137"/>
      <c r="AI409" s="137"/>
      <c r="AJ409" s="137"/>
      <c r="AK409" s="137"/>
      <c r="AL409" s="137"/>
    </row>
    <row r="410" spans="1:38" ht="15.75" customHeight="1">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c r="AA410" s="137"/>
      <c r="AB410" s="137"/>
      <c r="AC410" s="137"/>
      <c r="AD410" s="137"/>
      <c r="AE410" s="137"/>
      <c r="AF410" s="137"/>
      <c r="AG410" s="137"/>
      <c r="AH410" s="137"/>
      <c r="AI410" s="137"/>
      <c r="AJ410" s="137"/>
      <c r="AK410" s="137"/>
      <c r="AL410" s="137"/>
    </row>
    <row r="411" spans="1:38" ht="15.75" customHeight="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c r="AA411" s="137"/>
      <c r="AB411" s="137"/>
      <c r="AC411" s="137"/>
      <c r="AD411" s="137"/>
      <c r="AE411" s="137"/>
      <c r="AF411" s="137"/>
      <c r="AG411" s="137"/>
      <c r="AH411" s="137"/>
      <c r="AI411" s="137"/>
      <c r="AJ411" s="137"/>
      <c r="AK411" s="137"/>
      <c r="AL411" s="137"/>
    </row>
    <row r="412" spans="1:38" ht="15.75" customHeight="1">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c r="AA412" s="137"/>
      <c r="AB412" s="137"/>
      <c r="AC412" s="137"/>
      <c r="AD412" s="137"/>
      <c r="AE412" s="137"/>
      <c r="AF412" s="137"/>
      <c r="AG412" s="137"/>
      <c r="AH412" s="137"/>
      <c r="AI412" s="137"/>
      <c r="AJ412" s="137"/>
      <c r="AK412" s="137"/>
      <c r="AL412" s="137"/>
    </row>
    <row r="413" spans="1:38" ht="15.75" customHeight="1">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c r="AA413" s="137"/>
      <c r="AB413" s="137"/>
      <c r="AC413" s="137"/>
      <c r="AD413" s="137"/>
      <c r="AE413" s="137"/>
      <c r="AF413" s="137"/>
      <c r="AG413" s="137"/>
      <c r="AH413" s="137"/>
      <c r="AI413" s="137"/>
      <c r="AJ413" s="137"/>
      <c r="AK413" s="137"/>
      <c r="AL413" s="137"/>
    </row>
    <row r="414" spans="1:38" ht="15.75" customHeight="1">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c r="AA414" s="137"/>
      <c r="AB414" s="137"/>
      <c r="AC414" s="137"/>
      <c r="AD414" s="137"/>
      <c r="AE414" s="137"/>
      <c r="AF414" s="137"/>
      <c r="AG414" s="137"/>
      <c r="AH414" s="137"/>
      <c r="AI414" s="137"/>
      <c r="AJ414" s="137"/>
      <c r="AK414" s="137"/>
      <c r="AL414" s="137"/>
    </row>
    <row r="415" spans="1:38" ht="15.75" customHeight="1">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c r="AA415" s="137"/>
      <c r="AB415" s="137"/>
      <c r="AC415" s="137"/>
      <c r="AD415" s="137"/>
      <c r="AE415" s="137"/>
      <c r="AF415" s="137"/>
      <c r="AG415" s="137"/>
      <c r="AH415" s="137"/>
      <c r="AI415" s="137"/>
      <c r="AJ415" s="137"/>
      <c r="AK415" s="137"/>
      <c r="AL415" s="137"/>
    </row>
    <row r="416" spans="1:38" ht="15.75" customHeight="1">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c r="AA416" s="137"/>
      <c r="AB416" s="137"/>
      <c r="AC416" s="137"/>
      <c r="AD416" s="137"/>
      <c r="AE416" s="137"/>
      <c r="AF416" s="137"/>
      <c r="AG416" s="137"/>
      <c r="AH416" s="137"/>
      <c r="AI416" s="137"/>
      <c r="AJ416" s="137"/>
      <c r="AK416" s="137"/>
      <c r="AL416" s="137"/>
    </row>
    <row r="417" spans="1:38" ht="15.75" customHeight="1">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c r="AA417" s="137"/>
      <c r="AB417" s="137"/>
      <c r="AC417" s="137"/>
      <c r="AD417" s="137"/>
      <c r="AE417" s="137"/>
      <c r="AF417" s="137"/>
      <c r="AG417" s="137"/>
      <c r="AH417" s="137"/>
      <c r="AI417" s="137"/>
      <c r="AJ417" s="137"/>
      <c r="AK417" s="137"/>
      <c r="AL417" s="137"/>
    </row>
    <row r="418" spans="1:38" ht="15.75" customHeight="1">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c r="AA418" s="137"/>
      <c r="AB418" s="137"/>
      <c r="AC418" s="137"/>
      <c r="AD418" s="137"/>
      <c r="AE418" s="137"/>
      <c r="AF418" s="137"/>
      <c r="AG418" s="137"/>
      <c r="AH418" s="137"/>
      <c r="AI418" s="137"/>
      <c r="AJ418" s="137"/>
      <c r="AK418" s="137"/>
      <c r="AL418" s="137"/>
    </row>
    <row r="419" spans="1:38" ht="15.75" customHeight="1">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c r="AA419" s="137"/>
      <c r="AB419" s="137"/>
      <c r="AC419" s="137"/>
      <c r="AD419" s="137"/>
      <c r="AE419" s="137"/>
      <c r="AF419" s="137"/>
      <c r="AG419" s="137"/>
      <c r="AH419" s="137"/>
      <c r="AI419" s="137"/>
      <c r="AJ419" s="137"/>
      <c r="AK419" s="137"/>
      <c r="AL419" s="137"/>
    </row>
    <row r="420" spans="1:38" ht="15.75" customHeight="1">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c r="AA420" s="137"/>
      <c r="AB420" s="137"/>
      <c r="AC420" s="137"/>
      <c r="AD420" s="137"/>
      <c r="AE420" s="137"/>
      <c r="AF420" s="137"/>
      <c r="AG420" s="137"/>
      <c r="AH420" s="137"/>
      <c r="AI420" s="137"/>
      <c r="AJ420" s="137"/>
      <c r="AK420" s="137"/>
      <c r="AL420" s="137"/>
    </row>
    <row r="421" spans="1:38" ht="15.75" customHeight="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c r="AA421" s="137"/>
      <c r="AB421" s="137"/>
      <c r="AC421" s="137"/>
      <c r="AD421" s="137"/>
      <c r="AE421" s="137"/>
      <c r="AF421" s="137"/>
      <c r="AG421" s="137"/>
      <c r="AH421" s="137"/>
      <c r="AI421" s="137"/>
      <c r="AJ421" s="137"/>
      <c r="AK421" s="137"/>
      <c r="AL421" s="137"/>
    </row>
    <row r="422" spans="1:38" ht="15.75" customHeight="1">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c r="AA422" s="137"/>
      <c r="AB422" s="137"/>
      <c r="AC422" s="137"/>
      <c r="AD422" s="137"/>
      <c r="AE422" s="137"/>
      <c r="AF422" s="137"/>
      <c r="AG422" s="137"/>
      <c r="AH422" s="137"/>
      <c r="AI422" s="137"/>
      <c r="AJ422" s="137"/>
      <c r="AK422" s="137"/>
      <c r="AL422" s="137"/>
    </row>
    <row r="423" spans="1:38" ht="15.75" customHeight="1">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c r="AA423" s="137"/>
      <c r="AB423" s="137"/>
      <c r="AC423" s="137"/>
      <c r="AD423" s="137"/>
      <c r="AE423" s="137"/>
      <c r="AF423" s="137"/>
      <c r="AG423" s="137"/>
      <c r="AH423" s="137"/>
      <c r="AI423" s="137"/>
      <c r="AJ423" s="137"/>
      <c r="AK423" s="137"/>
      <c r="AL423" s="137"/>
    </row>
    <row r="424" spans="1:38" ht="15.75" customHeight="1">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c r="AA424" s="137"/>
      <c r="AB424" s="137"/>
      <c r="AC424" s="137"/>
      <c r="AD424" s="137"/>
      <c r="AE424" s="137"/>
      <c r="AF424" s="137"/>
      <c r="AG424" s="137"/>
      <c r="AH424" s="137"/>
      <c r="AI424" s="137"/>
      <c r="AJ424" s="137"/>
      <c r="AK424" s="137"/>
      <c r="AL424" s="137"/>
    </row>
    <row r="425" spans="1:38" ht="15.75" customHeight="1">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c r="AA425" s="137"/>
      <c r="AB425" s="137"/>
      <c r="AC425" s="137"/>
      <c r="AD425" s="137"/>
      <c r="AE425" s="137"/>
      <c r="AF425" s="137"/>
      <c r="AG425" s="137"/>
      <c r="AH425" s="137"/>
      <c r="AI425" s="137"/>
      <c r="AJ425" s="137"/>
      <c r="AK425" s="137"/>
      <c r="AL425" s="137"/>
    </row>
    <row r="426" spans="1:38" ht="15.75" customHeight="1">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c r="AA426" s="137"/>
      <c r="AB426" s="137"/>
      <c r="AC426" s="137"/>
      <c r="AD426" s="137"/>
      <c r="AE426" s="137"/>
      <c r="AF426" s="137"/>
      <c r="AG426" s="137"/>
      <c r="AH426" s="137"/>
      <c r="AI426" s="137"/>
      <c r="AJ426" s="137"/>
      <c r="AK426" s="137"/>
      <c r="AL426" s="137"/>
    </row>
    <row r="427" spans="1:38" ht="15.75" customHeight="1">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c r="AA427" s="137"/>
      <c r="AB427" s="137"/>
      <c r="AC427" s="137"/>
      <c r="AD427" s="137"/>
      <c r="AE427" s="137"/>
      <c r="AF427" s="137"/>
      <c r="AG427" s="137"/>
      <c r="AH427" s="137"/>
      <c r="AI427" s="137"/>
      <c r="AJ427" s="137"/>
      <c r="AK427" s="137"/>
      <c r="AL427" s="137"/>
    </row>
    <row r="428" spans="1:38" ht="15.75" customHeight="1">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c r="AA428" s="137"/>
      <c r="AB428" s="137"/>
      <c r="AC428" s="137"/>
      <c r="AD428" s="137"/>
      <c r="AE428" s="137"/>
      <c r="AF428" s="137"/>
      <c r="AG428" s="137"/>
      <c r="AH428" s="137"/>
      <c r="AI428" s="137"/>
      <c r="AJ428" s="137"/>
      <c r="AK428" s="137"/>
      <c r="AL428" s="137"/>
    </row>
    <row r="429" spans="1:38" ht="15.75" customHeight="1">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c r="AA429" s="137"/>
      <c r="AB429" s="137"/>
      <c r="AC429" s="137"/>
      <c r="AD429" s="137"/>
      <c r="AE429" s="137"/>
      <c r="AF429" s="137"/>
      <c r="AG429" s="137"/>
      <c r="AH429" s="137"/>
      <c r="AI429" s="137"/>
      <c r="AJ429" s="137"/>
      <c r="AK429" s="137"/>
      <c r="AL429" s="137"/>
    </row>
    <row r="430" spans="1:38" ht="15.75" customHeight="1">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c r="AA430" s="137"/>
      <c r="AB430" s="137"/>
      <c r="AC430" s="137"/>
      <c r="AD430" s="137"/>
      <c r="AE430" s="137"/>
      <c r="AF430" s="137"/>
      <c r="AG430" s="137"/>
      <c r="AH430" s="137"/>
      <c r="AI430" s="137"/>
      <c r="AJ430" s="137"/>
      <c r="AK430" s="137"/>
      <c r="AL430" s="137"/>
    </row>
    <row r="431" spans="1:38" ht="15.75" customHeight="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c r="AA431" s="137"/>
      <c r="AB431" s="137"/>
      <c r="AC431" s="137"/>
      <c r="AD431" s="137"/>
      <c r="AE431" s="137"/>
      <c r="AF431" s="137"/>
      <c r="AG431" s="137"/>
      <c r="AH431" s="137"/>
      <c r="AI431" s="137"/>
      <c r="AJ431" s="137"/>
      <c r="AK431" s="137"/>
      <c r="AL431" s="137"/>
    </row>
    <row r="432" spans="1:38" ht="15.75" customHeight="1">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c r="AA432" s="137"/>
      <c r="AB432" s="137"/>
      <c r="AC432" s="137"/>
      <c r="AD432" s="137"/>
      <c r="AE432" s="137"/>
      <c r="AF432" s="137"/>
      <c r="AG432" s="137"/>
      <c r="AH432" s="137"/>
      <c r="AI432" s="137"/>
      <c r="AJ432" s="137"/>
      <c r="AK432" s="137"/>
      <c r="AL432" s="137"/>
    </row>
    <row r="433" spans="1:38" ht="15.75" customHeight="1">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c r="AA433" s="137"/>
      <c r="AB433" s="137"/>
      <c r="AC433" s="137"/>
      <c r="AD433" s="137"/>
      <c r="AE433" s="137"/>
      <c r="AF433" s="137"/>
      <c r="AG433" s="137"/>
      <c r="AH433" s="137"/>
      <c r="AI433" s="137"/>
      <c r="AJ433" s="137"/>
      <c r="AK433" s="137"/>
      <c r="AL433" s="137"/>
    </row>
    <row r="434" spans="1:38" ht="15.75" customHeight="1">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c r="AA434" s="137"/>
      <c r="AB434" s="137"/>
      <c r="AC434" s="137"/>
      <c r="AD434" s="137"/>
      <c r="AE434" s="137"/>
      <c r="AF434" s="137"/>
      <c r="AG434" s="137"/>
      <c r="AH434" s="137"/>
      <c r="AI434" s="137"/>
      <c r="AJ434" s="137"/>
      <c r="AK434" s="137"/>
      <c r="AL434" s="137"/>
    </row>
    <row r="435" spans="1:38" ht="15.75" customHeight="1">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c r="AA435" s="137"/>
      <c r="AB435" s="137"/>
      <c r="AC435" s="137"/>
      <c r="AD435" s="137"/>
      <c r="AE435" s="137"/>
      <c r="AF435" s="137"/>
      <c r="AG435" s="137"/>
      <c r="AH435" s="137"/>
      <c r="AI435" s="137"/>
      <c r="AJ435" s="137"/>
      <c r="AK435" s="137"/>
      <c r="AL435" s="137"/>
    </row>
    <row r="436" spans="1:38" ht="15.75" customHeight="1">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c r="AA436" s="137"/>
      <c r="AB436" s="137"/>
      <c r="AC436" s="137"/>
      <c r="AD436" s="137"/>
      <c r="AE436" s="137"/>
      <c r="AF436" s="137"/>
      <c r="AG436" s="137"/>
      <c r="AH436" s="137"/>
      <c r="AI436" s="137"/>
      <c r="AJ436" s="137"/>
      <c r="AK436" s="137"/>
      <c r="AL436" s="137"/>
    </row>
    <row r="437" spans="1:38" ht="15.75" customHeight="1">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c r="AA437" s="137"/>
      <c r="AB437" s="137"/>
      <c r="AC437" s="137"/>
      <c r="AD437" s="137"/>
      <c r="AE437" s="137"/>
      <c r="AF437" s="137"/>
      <c r="AG437" s="137"/>
      <c r="AH437" s="137"/>
      <c r="AI437" s="137"/>
      <c r="AJ437" s="137"/>
      <c r="AK437" s="137"/>
      <c r="AL437" s="137"/>
    </row>
    <row r="438" spans="1:38" ht="15.75" customHeight="1">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c r="AA438" s="137"/>
      <c r="AB438" s="137"/>
      <c r="AC438" s="137"/>
      <c r="AD438" s="137"/>
      <c r="AE438" s="137"/>
      <c r="AF438" s="137"/>
      <c r="AG438" s="137"/>
      <c r="AH438" s="137"/>
      <c r="AI438" s="137"/>
      <c r="AJ438" s="137"/>
      <c r="AK438" s="137"/>
      <c r="AL438" s="137"/>
    </row>
    <row r="439" spans="1:38" ht="15.75" customHeight="1">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c r="AA439" s="137"/>
      <c r="AB439" s="137"/>
      <c r="AC439" s="137"/>
      <c r="AD439" s="137"/>
      <c r="AE439" s="137"/>
      <c r="AF439" s="137"/>
      <c r="AG439" s="137"/>
      <c r="AH439" s="137"/>
      <c r="AI439" s="137"/>
      <c r="AJ439" s="137"/>
      <c r="AK439" s="137"/>
      <c r="AL439" s="137"/>
    </row>
    <row r="440" spans="1:38" ht="15.75" customHeight="1">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c r="AA440" s="137"/>
      <c r="AB440" s="137"/>
      <c r="AC440" s="137"/>
      <c r="AD440" s="137"/>
      <c r="AE440" s="137"/>
      <c r="AF440" s="137"/>
      <c r="AG440" s="137"/>
      <c r="AH440" s="137"/>
      <c r="AI440" s="137"/>
      <c r="AJ440" s="137"/>
      <c r="AK440" s="137"/>
      <c r="AL440" s="137"/>
    </row>
    <row r="441" spans="1:38" ht="15.75" customHeight="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c r="AA441" s="137"/>
      <c r="AB441" s="137"/>
      <c r="AC441" s="137"/>
      <c r="AD441" s="137"/>
      <c r="AE441" s="137"/>
      <c r="AF441" s="137"/>
      <c r="AG441" s="137"/>
      <c r="AH441" s="137"/>
      <c r="AI441" s="137"/>
      <c r="AJ441" s="137"/>
      <c r="AK441" s="137"/>
      <c r="AL441" s="137"/>
    </row>
    <row r="442" spans="1:38" ht="15.75" customHeight="1">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c r="AA442" s="137"/>
      <c r="AB442" s="137"/>
      <c r="AC442" s="137"/>
      <c r="AD442" s="137"/>
      <c r="AE442" s="137"/>
      <c r="AF442" s="137"/>
      <c r="AG442" s="137"/>
      <c r="AH442" s="137"/>
      <c r="AI442" s="137"/>
      <c r="AJ442" s="137"/>
      <c r="AK442" s="137"/>
      <c r="AL442" s="137"/>
    </row>
    <row r="443" spans="1:38" ht="15.75"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c r="AA443" s="137"/>
      <c r="AB443" s="137"/>
      <c r="AC443" s="137"/>
      <c r="AD443" s="137"/>
      <c r="AE443" s="137"/>
      <c r="AF443" s="137"/>
      <c r="AG443" s="137"/>
      <c r="AH443" s="137"/>
      <c r="AI443" s="137"/>
      <c r="AJ443" s="137"/>
      <c r="AK443" s="137"/>
      <c r="AL443" s="137"/>
    </row>
    <row r="444" spans="1:38" ht="15.75"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c r="AA444" s="137"/>
      <c r="AB444" s="137"/>
      <c r="AC444" s="137"/>
      <c r="AD444" s="137"/>
      <c r="AE444" s="137"/>
      <c r="AF444" s="137"/>
      <c r="AG444" s="137"/>
      <c r="AH444" s="137"/>
      <c r="AI444" s="137"/>
      <c r="AJ444" s="137"/>
      <c r="AK444" s="137"/>
      <c r="AL444" s="137"/>
    </row>
    <row r="445" spans="1:38" ht="15.75"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c r="AA445" s="137"/>
      <c r="AB445" s="137"/>
      <c r="AC445" s="137"/>
      <c r="AD445" s="137"/>
      <c r="AE445" s="137"/>
      <c r="AF445" s="137"/>
      <c r="AG445" s="137"/>
      <c r="AH445" s="137"/>
      <c r="AI445" s="137"/>
      <c r="AJ445" s="137"/>
      <c r="AK445" s="137"/>
      <c r="AL445" s="137"/>
    </row>
    <row r="446" spans="1:38" ht="15.75"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c r="AA446" s="137"/>
      <c r="AB446" s="137"/>
      <c r="AC446" s="137"/>
      <c r="AD446" s="137"/>
      <c r="AE446" s="137"/>
      <c r="AF446" s="137"/>
      <c r="AG446" s="137"/>
      <c r="AH446" s="137"/>
      <c r="AI446" s="137"/>
      <c r="AJ446" s="137"/>
      <c r="AK446" s="137"/>
      <c r="AL446" s="137"/>
    </row>
    <row r="447" spans="1:38" ht="15.75"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c r="AA447" s="137"/>
      <c r="AB447" s="137"/>
      <c r="AC447" s="137"/>
      <c r="AD447" s="137"/>
      <c r="AE447" s="137"/>
      <c r="AF447" s="137"/>
      <c r="AG447" s="137"/>
      <c r="AH447" s="137"/>
      <c r="AI447" s="137"/>
      <c r="AJ447" s="137"/>
      <c r="AK447" s="137"/>
      <c r="AL447" s="137"/>
    </row>
    <row r="448" spans="1:38" ht="15.75"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c r="AA448" s="137"/>
      <c r="AB448" s="137"/>
      <c r="AC448" s="137"/>
      <c r="AD448" s="137"/>
      <c r="AE448" s="137"/>
      <c r="AF448" s="137"/>
      <c r="AG448" s="137"/>
      <c r="AH448" s="137"/>
      <c r="AI448" s="137"/>
      <c r="AJ448" s="137"/>
      <c r="AK448" s="137"/>
      <c r="AL448" s="137"/>
    </row>
    <row r="449" spans="1:38" ht="15.75"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c r="AA449" s="137"/>
      <c r="AB449" s="137"/>
      <c r="AC449" s="137"/>
      <c r="AD449" s="137"/>
      <c r="AE449" s="137"/>
      <c r="AF449" s="137"/>
      <c r="AG449" s="137"/>
      <c r="AH449" s="137"/>
      <c r="AI449" s="137"/>
      <c r="AJ449" s="137"/>
      <c r="AK449" s="137"/>
      <c r="AL449" s="137"/>
    </row>
    <row r="450" spans="1:38" ht="15.75"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c r="AA450" s="137"/>
      <c r="AB450" s="137"/>
      <c r="AC450" s="137"/>
      <c r="AD450" s="137"/>
      <c r="AE450" s="137"/>
      <c r="AF450" s="137"/>
      <c r="AG450" s="137"/>
      <c r="AH450" s="137"/>
      <c r="AI450" s="137"/>
      <c r="AJ450" s="137"/>
      <c r="AK450" s="137"/>
      <c r="AL450" s="137"/>
    </row>
    <row r="451" spans="1:38" ht="15.75"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c r="AA451" s="137"/>
      <c r="AB451" s="137"/>
      <c r="AC451" s="137"/>
      <c r="AD451" s="137"/>
      <c r="AE451" s="137"/>
      <c r="AF451" s="137"/>
      <c r="AG451" s="137"/>
      <c r="AH451" s="137"/>
      <c r="AI451" s="137"/>
      <c r="AJ451" s="137"/>
      <c r="AK451" s="137"/>
      <c r="AL451" s="137"/>
    </row>
    <row r="452" spans="1:38" ht="15.75"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c r="AA452" s="137"/>
      <c r="AB452" s="137"/>
      <c r="AC452" s="137"/>
      <c r="AD452" s="137"/>
      <c r="AE452" s="137"/>
      <c r="AF452" s="137"/>
      <c r="AG452" s="137"/>
      <c r="AH452" s="137"/>
      <c r="AI452" s="137"/>
      <c r="AJ452" s="137"/>
      <c r="AK452" s="137"/>
      <c r="AL452" s="137"/>
    </row>
    <row r="453" spans="1:38" ht="15.75"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c r="AA453" s="137"/>
      <c r="AB453" s="137"/>
      <c r="AC453" s="137"/>
      <c r="AD453" s="137"/>
      <c r="AE453" s="137"/>
      <c r="AF453" s="137"/>
      <c r="AG453" s="137"/>
      <c r="AH453" s="137"/>
      <c r="AI453" s="137"/>
      <c r="AJ453" s="137"/>
      <c r="AK453" s="137"/>
      <c r="AL453" s="137"/>
    </row>
    <row r="454" spans="1:38" ht="15.75"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c r="AA454" s="137"/>
      <c r="AB454" s="137"/>
      <c r="AC454" s="137"/>
      <c r="AD454" s="137"/>
      <c r="AE454" s="137"/>
      <c r="AF454" s="137"/>
      <c r="AG454" s="137"/>
      <c r="AH454" s="137"/>
      <c r="AI454" s="137"/>
      <c r="AJ454" s="137"/>
      <c r="AK454" s="137"/>
      <c r="AL454" s="137"/>
    </row>
    <row r="455" spans="1:38" ht="15.75"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c r="AA455" s="137"/>
      <c r="AB455" s="137"/>
      <c r="AC455" s="137"/>
      <c r="AD455" s="137"/>
      <c r="AE455" s="137"/>
      <c r="AF455" s="137"/>
      <c r="AG455" s="137"/>
      <c r="AH455" s="137"/>
      <c r="AI455" s="137"/>
      <c r="AJ455" s="137"/>
      <c r="AK455" s="137"/>
      <c r="AL455" s="137"/>
    </row>
    <row r="456" spans="1:38" ht="15.75"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c r="AA456" s="137"/>
      <c r="AB456" s="137"/>
      <c r="AC456" s="137"/>
      <c r="AD456" s="137"/>
      <c r="AE456" s="137"/>
      <c r="AF456" s="137"/>
      <c r="AG456" s="137"/>
      <c r="AH456" s="137"/>
      <c r="AI456" s="137"/>
      <c r="AJ456" s="137"/>
      <c r="AK456" s="137"/>
      <c r="AL456" s="137"/>
    </row>
    <row r="457" spans="1:38" ht="15.75"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c r="AA457" s="137"/>
      <c r="AB457" s="137"/>
      <c r="AC457" s="137"/>
      <c r="AD457" s="137"/>
      <c r="AE457" s="137"/>
      <c r="AF457" s="137"/>
      <c r="AG457" s="137"/>
      <c r="AH457" s="137"/>
      <c r="AI457" s="137"/>
      <c r="AJ457" s="137"/>
      <c r="AK457" s="137"/>
      <c r="AL457" s="137"/>
    </row>
    <row r="458" spans="1:38" ht="15.75"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c r="AA458" s="137"/>
      <c r="AB458" s="137"/>
      <c r="AC458" s="137"/>
      <c r="AD458" s="137"/>
      <c r="AE458" s="137"/>
      <c r="AF458" s="137"/>
      <c r="AG458" s="137"/>
      <c r="AH458" s="137"/>
      <c r="AI458" s="137"/>
      <c r="AJ458" s="137"/>
      <c r="AK458" s="137"/>
      <c r="AL458" s="137"/>
    </row>
    <row r="459" spans="1:38" ht="15.75"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c r="AA459" s="137"/>
      <c r="AB459" s="137"/>
      <c r="AC459" s="137"/>
      <c r="AD459" s="137"/>
      <c r="AE459" s="137"/>
      <c r="AF459" s="137"/>
      <c r="AG459" s="137"/>
      <c r="AH459" s="137"/>
      <c r="AI459" s="137"/>
      <c r="AJ459" s="137"/>
      <c r="AK459" s="137"/>
      <c r="AL459" s="137"/>
    </row>
    <row r="460" spans="1:38" ht="15.75"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c r="AA460" s="137"/>
      <c r="AB460" s="137"/>
      <c r="AC460" s="137"/>
      <c r="AD460" s="137"/>
      <c r="AE460" s="137"/>
      <c r="AF460" s="137"/>
      <c r="AG460" s="137"/>
      <c r="AH460" s="137"/>
      <c r="AI460" s="137"/>
      <c r="AJ460" s="137"/>
      <c r="AK460" s="137"/>
      <c r="AL460" s="137"/>
    </row>
    <row r="461" spans="1:38" ht="15.75"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c r="AA461" s="137"/>
      <c r="AB461" s="137"/>
      <c r="AC461" s="137"/>
      <c r="AD461" s="137"/>
      <c r="AE461" s="137"/>
      <c r="AF461" s="137"/>
      <c r="AG461" s="137"/>
      <c r="AH461" s="137"/>
      <c r="AI461" s="137"/>
      <c r="AJ461" s="137"/>
      <c r="AK461" s="137"/>
      <c r="AL461" s="137"/>
    </row>
    <row r="462" spans="1:38" ht="15.75"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c r="AA462" s="137"/>
      <c r="AB462" s="137"/>
      <c r="AC462" s="137"/>
      <c r="AD462" s="137"/>
      <c r="AE462" s="137"/>
      <c r="AF462" s="137"/>
      <c r="AG462" s="137"/>
      <c r="AH462" s="137"/>
      <c r="AI462" s="137"/>
      <c r="AJ462" s="137"/>
      <c r="AK462" s="137"/>
      <c r="AL462" s="137"/>
    </row>
    <row r="463" spans="1:38" ht="15.75"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c r="AA463" s="137"/>
      <c r="AB463" s="137"/>
      <c r="AC463" s="137"/>
      <c r="AD463" s="137"/>
      <c r="AE463" s="137"/>
      <c r="AF463" s="137"/>
      <c r="AG463" s="137"/>
      <c r="AH463" s="137"/>
      <c r="AI463" s="137"/>
      <c r="AJ463" s="137"/>
      <c r="AK463" s="137"/>
      <c r="AL463" s="137"/>
    </row>
    <row r="464" spans="1:38" ht="15.75"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c r="AA464" s="137"/>
      <c r="AB464" s="137"/>
      <c r="AC464" s="137"/>
      <c r="AD464" s="137"/>
      <c r="AE464" s="137"/>
      <c r="AF464" s="137"/>
      <c r="AG464" s="137"/>
      <c r="AH464" s="137"/>
      <c r="AI464" s="137"/>
      <c r="AJ464" s="137"/>
      <c r="AK464" s="137"/>
      <c r="AL464" s="137"/>
    </row>
    <row r="465" spans="1:38" ht="15.75"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c r="AA465" s="137"/>
      <c r="AB465" s="137"/>
      <c r="AC465" s="137"/>
      <c r="AD465" s="137"/>
      <c r="AE465" s="137"/>
      <c r="AF465" s="137"/>
      <c r="AG465" s="137"/>
      <c r="AH465" s="137"/>
      <c r="AI465" s="137"/>
      <c r="AJ465" s="137"/>
      <c r="AK465" s="137"/>
      <c r="AL465" s="137"/>
    </row>
    <row r="466" spans="1:38" ht="15.75"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c r="AA466" s="137"/>
      <c r="AB466" s="137"/>
      <c r="AC466" s="137"/>
      <c r="AD466" s="137"/>
      <c r="AE466" s="137"/>
      <c r="AF466" s="137"/>
      <c r="AG466" s="137"/>
      <c r="AH466" s="137"/>
      <c r="AI466" s="137"/>
      <c r="AJ466" s="137"/>
      <c r="AK466" s="137"/>
      <c r="AL466" s="137"/>
    </row>
    <row r="467" spans="1:38" ht="15.75"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c r="AA467" s="137"/>
      <c r="AB467" s="137"/>
      <c r="AC467" s="137"/>
      <c r="AD467" s="137"/>
      <c r="AE467" s="137"/>
      <c r="AF467" s="137"/>
      <c r="AG467" s="137"/>
      <c r="AH467" s="137"/>
      <c r="AI467" s="137"/>
      <c r="AJ467" s="137"/>
      <c r="AK467" s="137"/>
      <c r="AL467" s="137"/>
    </row>
    <row r="468" spans="1:38" ht="15.75"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c r="AA468" s="137"/>
      <c r="AB468" s="137"/>
      <c r="AC468" s="137"/>
      <c r="AD468" s="137"/>
      <c r="AE468" s="137"/>
      <c r="AF468" s="137"/>
      <c r="AG468" s="137"/>
      <c r="AH468" s="137"/>
      <c r="AI468" s="137"/>
      <c r="AJ468" s="137"/>
      <c r="AK468" s="137"/>
      <c r="AL468" s="137"/>
    </row>
    <row r="469" spans="1:38" ht="15.75"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c r="AA469" s="137"/>
      <c r="AB469" s="137"/>
      <c r="AC469" s="137"/>
      <c r="AD469" s="137"/>
      <c r="AE469" s="137"/>
      <c r="AF469" s="137"/>
      <c r="AG469" s="137"/>
      <c r="AH469" s="137"/>
      <c r="AI469" s="137"/>
      <c r="AJ469" s="137"/>
      <c r="AK469" s="137"/>
      <c r="AL469" s="137"/>
    </row>
    <row r="470" spans="1:38" ht="15.75"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c r="AA470" s="137"/>
      <c r="AB470" s="137"/>
      <c r="AC470" s="137"/>
      <c r="AD470" s="137"/>
      <c r="AE470" s="137"/>
      <c r="AF470" s="137"/>
      <c r="AG470" s="137"/>
      <c r="AH470" s="137"/>
      <c r="AI470" s="137"/>
      <c r="AJ470" s="137"/>
      <c r="AK470" s="137"/>
      <c r="AL470" s="137"/>
    </row>
    <row r="471" spans="1:38" ht="15.75"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c r="AA471" s="137"/>
      <c r="AB471" s="137"/>
      <c r="AC471" s="137"/>
      <c r="AD471" s="137"/>
      <c r="AE471" s="137"/>
      <c r="AF471" s="137"/>
      <c r="AG471" s="137"/>
      <c r="AH471" s="137"/>
      <c r="AI471" s="137"/>
      <c r="AJ471" s="137"/>
      <c r="AK471" s="137"/>
      <c r="AL471" s="137"/>
    </row>
    <row r="472" spans="1:38" ht="15.75"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c r="AA472" s="137"/>
      <c r="AB472" s="137"/>
      <c r="AC472" s="137"/>
      <c r="AD472" s="137"/>
      <c r="AE472" s="137"/>
      <c r="AF472" s="137"/>
      <c r="AG472" s="137"/>
      <c r="AH472" s="137"/>
      <c r="AI472" s="137"/>
      <c r="AJ472" s="137"/>
      <c r="AK472" s="137"/>
      <c r="AL472" s="137"/>
    </row>
    <row r="473" spans="1:38" ht="15.75"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c r="AA473" s="137"/>
      <c r="AB473" s="137"/>
      <c r="AC473" s="137"/>
      <c r="AD473" s="137"/>
      <c r="AE473" s="137"/>
      <c r="AF473" s="137"/>
      <c r="AG473" s="137"/>
      <c r="AH473" s="137"/>
      <c r="AI473" s="137"/>
      <c r="AJ473" s="137"/>
      <c r="AK473" s="137"/>
      <c r="AL473" s="137"/>
    </row>
    <row r="474" spans="1:38" ht="15.75"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c r="AA474" s="137"/>
      <c r="AB474" s="137"/>
      <c r="AC474" s="137"/>
      <c r="AD474" s="137"/>
      <c r="AE474" s="137"/>
      <c r="AF474" s="137"/>
      <c r="AG474" s="137"/>
      <c r="AH474" s="137"/>
      <c r="AI474" s="137"/>
      <c r="AJ474" s="137"/>
      <c r="AK474" s="137"/>
      <c r="AL474" s="137"/>
    </row>
    <row r="475" spans="1:38" ht="15.75"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c r="AA475" s="137"/>
      <c r="AB475" s="137"/>
      <c r="AC475" s="137"/>
      <c r="AD475" s="137"/>
      <c r="AE475" s="137"/>
      <c r="AF475" s="137"/>
      <c r="AG475" s="137"/>
      <c r="AH475" s="137"/>
      <c r="AI475" s="137"/>
      <c r="AJ475" s="137"/>
      <c r="AK475" s="137"/>
      <c r="AL475" s="137"/>
    </row>
    <row r="476" spans="1:38" ht="15.75"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c r="AA476" s="137"/>
      <c r="AB476" s="137"/>
      <c r="AC476" s="137"/>
      <c r="AD476" s="137"/>
      <c r="AE476" s="137"/>
      <c r="AF476" s="137"/>
      <c r="AG476" s="137"/>
      <c r="AH476" s="137"/>
      <c r="AI476" s="137"/>
      <c r="AJ476" s="137"/>
      <c r="AK476" s="137"/>
      <c r="AL476" s="137"/>
    </row>
    <row r="477" spans="1:38" ht="15.75"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c r="AA477" s="137"/>
      <c r="AB477" s="137"/>
      <c r="AC477" s="137"/>
      <c r="AD477" s="137"/>
      <c r="AE477" s="137"/>
      <c r="AF477" s="137"/>
      <c r="AG477" s="137"/>
      <c r="AH477" s="137"/>
      <c r="AI477" s="137"/>
      <c r="AJ477" s="137"/>
      <c r="AK477" s="137"/>
      <c r="AL477" s="137"/>
    </row>
    <row r="478" spans="1:38" ht="15.75"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c r="AA478" s="137"/>
      <c r="AB478" s="137"/>
      <c r="AC478" s="137"/>
      <c r="AD478" s="137"/>
      <c r="AE478" s="137"/>
      <c r="AF478" s="137"/>
      <c r="AG478" s="137"/>
      <c r="AH478" s="137"/>
      <c r="AI478" s="137"/>
      <c r="AJ478" s="137"/>
      <c r="AK478" s="137"/>
      <c r="AL478" s="137"/>
    </row>
    <row r="479" spans="1:38" ht="15.75"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c r="AA479" s="137"/>
      <c r="AB479" s="137"/>
      <c r="AC479" s="137"/>
      <c r="AD479" s="137"/>
      <c r="AE479" s="137"/>
      <c r="AF479" s="137"/>
      <c r="AG479" s="137"/>
      <c r="AH479" s="137"/>
      <c r="AI479" s="137"/>
      <c r="AJ479" s="137"/>
      <c r="AK479" s="137"/>
      <c r="AL479" s="137"/>
    </row>
    <row r="480" spans="1:38" ht="15.75"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c r="AA480" s="137"/>
      <c r="AB480" s="137"/>
      <c r="AC480" s="137"/>
      <c r="AD480" s="137"/>
      <c r="AE480" s="137"/>
      <c r="AF480" s="137"/>
      <c r="AG480" s="137"/>
      <c r="AH480" s="137"/>
      <c r="AI480" s="137"/>
      <c r="AJ480" s="137"/>
      <c r="AK480" s="137"/>
      <c r="AL480" s="137"/>
    </row>
    <row r="481" spans="1:38" ht="15.75"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c r="AA481" s="137"/>
      <c r="AB481" s="137"/>
      <c r="AC481" s="137"/>
      <c r="AD481" s="137"/>
      <c r="AE481" s="137"/>
      <c r="AF481" s="137"/>
      <c r="AG481" s="137"/>
      <c r="AH481" s="137"/>
      <c r="AI481" s="137"/>
      <c r="AJ481" s="137"/>
      <c r="AK481" s="137"/>
      <c r="AL481" s="137"/>
    </row>
    <row r="482" spans="1:38" ht="15.75"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c r="AA482" s="137"/>
      <c r="AB482" s="137"/>
      <c r="AC482" s="137"/>
      <c r="AD482" s="137"/>
      <c r="AE482" s="137"/>
      <c r="AF482" s="137"/>
      <c r="AG482" s="137"/>
      <c r="AH482" s="137"/>
      <c r="AI482" s="137"/>
      <c r="AJ482" s="137"/>
      <c r="AK482" s="137"/>
      <c r="AL482" s="137"/>
    </row>
    <row r="483" spans="1:38" ht="15.75"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c r="AA483" s="137"/>
      <c r="AB483" s="137"/>
      <c r="AC483" s="137"/>
      <c r="AD483" s="137"/>
      <c r="AE483" s="137"/>
      <c r="AF483" s="137"/>
      <c r="AG483" s="137"/>
      <c r="AH483" s="137"/>
      <c r="AI483" s="137"/>
      <c r="AJ483" s="137"/>
      <c r="AK483" s="137"/>
      <c r="AL483" s="137"/>
    </row>
    <row r="484" spans="1:38" ht="15.75"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c r="AA484" s="137"/>
      <c r="AB484" s="137"/>
      <c r="AC484" s="137"/>
      <c r="AD484" s="137"/>
      <c r="AE484" s="137"/>
      <c r="AF484" s="137"/>
      <c r="AG484" s="137"/>
      <c r="AH484" s="137"/>
      <c r="AI484" s="137"/>
      <c r="AJ484" s="137"/>
      <c r="AK484" s="137"/>
      <c r="AL484" s="137"/>
    </row>
    <row r="485" spans="1:38" ht="15.75"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c r="AA485" s="137"/>
      <c r="AB485" s="137"/>
      <c r="AC485" s="137"/>
      <c r="AD485" s="137"/>
      <c r="AE485" s="137"/>
      <c r="AF485" s="137"/>
      <c r="AG485" s="137"/>
      <c r="AH485" s="137"/>
      <c r="AI485" s="137"/>
      <c r="AJ485" s="137"/>
      <c r="AK485" s="137"/>
      <c r="AL485" s="137"/>
    </row>
    <row r="486" spans="1:38" ht="15.75"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c r="AA486" s="137"/>
      <c r="AB486" s="137"/>
      <c r="AC486" s="137"/>
      <c r="AD486" s="137"/>
      <c r="AE486" s="137"/>
      <c r="AF486" s="137"/>
      <c r="AG486" s="137"/>
      <c r="AH486" s="137"/>
      <c r="AI486" s="137"/>
      <c r="AJ486" s="137"/>
      <c r="AK486" s="137"/>
      <c r="AL486" s="137"/>
    </row>
    <row r="487" spans="1:38" ht="15.75"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c r="AA487" s="137"/>
      <c r="AB487" s="137"/>
      <c r="AC487" s="137"/>
      <c r="AD487" s="137"/>
      <c r="AE487" s="137"/>
      <c r="AF487" s="137"/>
      <c r="AG487" s="137"/>
      <c r="AH487" s="137"/>
      <c r="AI487" s="137"/>
      <c r="AJ487" s="137"/>
      <c r="AK487" s="137"/>
      <c r="AL487" s="137"/>
    </row>
    <row r="488" spans="1:38" ht="15.75"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c r="AA488" s="137"/>
      <c r="AB488" s="137"/>
      <c r="AC488" s="137"/>
      <c r="AD488" s="137"/>
      <c r="AE488" s="137"/>
      <c r="AF488" s="137"/>
      <c r="AG488" s="137"/>
      <c r="AH488" s="137"/>
      <c r="AI488" s="137"/>
      <c r="AJ488" s="137"/>
      <c r="AK488" s="137"/>
      <c r="AL488" s="137"/>
    </row>
    <row r="489" spans="1:38" ht="15.75"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c r="AA489" s="137"/>
      <c r="AB489" s="137"/>
      <c r="AC489" s="137"/>
      <c r="AD489" s="137"/>
      <c r="AE489" s="137"/>
      <c r="AF489" s="137"/>
      <c r="AG489" s="137"/>
      <c r="AH489" s="137"/>
      <c r="AI489" s="137"/>
      <c r="AJ489" s="137"/>
      <c r="AK489" s="137"/>
      <c r="AL489" s="137"/>
    </row>
    <row r="490" spans="1:38" ht="15.75"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c r="AA490" s="137"/>
      <c r="AB490" s="137"/>
      <c r="AC490" s="137"/>
      <c r="AD490" s="137"/>
      <c r="AE490" s="137"/>
      <c r="AF490" s="137"/>
      <c r="AG490" s="137"/>
      <c r="AH490" s="137"/>
      <c r="AI490" s="137"/>
      <c r="AJ490" s="137"/>
      <c r="AK490" s="137"/>
      <c r="AL490" s="137"/>
    </row>
    <row r="491" spans="1:38" ht="15.75"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c r="AA491" s="137"/>
      <c r="AB491" s="137"/>
      <c r="AC491" s="137"/>
      <c r="AD491" s="137"/>
      <c r="AE491" s="137"/>
      <c r="AF491" s="137"/>
      <c r="AG491" s="137"/>
      <c r="AH491" s="137"/>
      <c r="AI491" s="137"/>
      <c r="AJ491" s="137"/>
      <c r="AK491" s="137"/>
      <c r="AL491" s="137"/>
    </row>
    <row r="492" spans="1:38" ht="15.75"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c r="AA492" s="137"/>
      <c r="AB492" s="137"/>
      <c r="AC492" s="137"/>
      <c r="AD492" s="137"/>
      <c r="AE492" s="137"/>
      <c r="AF492" s="137"/>
      <c r="AG492" s="137"/>
      <c r="AH492" s="137"/>
      <c r="AI492" s="137"/>
      <c r="AJ492" s="137"/>
      <c r="AK492" s="137"/>
      <c r="AL492" s="137"/>
    </row>
    <row r="493" spans="1:38" ht="15.75"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c r="AA493" s="137"/>
      <c r="AB493" s="137"/>
      <c r="AC493" s="137"/>
      <c r="AD493" s="137"/>
      <c r="AE493" s="137"/>
      <c r="AF493" s="137"/>
      <c r="AG493" s="137"/>
      <c r="AH493" s="137"/>
      <c r="AI493" s="137"/>
      <c r="AJ493" s="137"/>
      <c r="AK493" s="137"/>
      <c r="AL493" s="137"/>
    </row>
    <row r="494" spans="1:38" ht="15.75"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c r="AA494" s="137"/>
      <c r="AB494" s="137"/>
      <c r="AC494" s="137"/>
      <c r="AD494" s="137"/>
      <c r="AE494" s="137"/>
      <c r="AF494" s="137"/>
      <c r="AG494" s="137"/>
      <c r="AH494" s="137"/>
      <c r="AI494" s="137"/>
      <c r="AJ494" s="137"/>
      <c r="AK494" s="137"/>
      <c r="AL494" s="137"/>
    </row>
    <row r="495" spans="1:38" ht="15.75"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c r="AA495" s="137"/>
      <c r="AB495" s="137"/>
      <c r="AC495" s="137"/>
      <c r="AD495" s="137"/>
      <c r="AE495" s="137"/>
      <c r="AF495" s="137"/>
      <c r="AG495" s="137"/>
      <c r="AH495" s="137"/>
      <c r="AI495" s="137"/>
      <c r="AJ495" s="137"/>
      <c r="AK495" s="137"/>
      <c r="AL495" s="137"/>
    </row>
    <row r="496" spans="1:38" ht="15.75"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c r="AA496" s="137"/>
      <c r="AB496" s="137"/>
      <c r="AC496" s="137"/>
      <c r="AD496" s="137"/>
      <c r="AE496" s="137"/>
      <c r="AF496" s="137"/>
      <c r="AG496" s="137"/>
      <c r="AH496" s="137"/>
      <c r="AI496" s="137"/>
      <c r="AJ496" s="137"/>
      <c r="AK496" s="137"/>
      <c r="AL496" s="137"/>
    </row>
    <row r="497" spans="1:38" ht="15.75"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c r="AA497" s="137"/>
      <c r="AB497" s="137"/>
      <c r="AC497" s="137"/>
      <c r="AD497" s="137"/>
      <c r="AE497" s="137"/>
      <c r="AF497" s="137"/>
      <c r="AG497" s="137"/>
      <c r="AH497" s="137"/>
      <c r="AI497" s="137"/>
      <c r="AJ497" s="137"/>
      <c r="AK497" s="137"/>
      <c r="AL497" s="137"/>
    </row>
    <row r="498" spans="1:38" ht="15.75"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c r="AA498" s="137"/>
      <c r="AB498" s="137"/>
      <c r="AC498" s="137"/>
      <c r="AD498" s="137"/>
      <c r="AE498" s="137"/>
      <c r="AF498" s="137"/>
      <c r="AG498" s="137"/>
      <c r="AH498" s="137"/>
      <c r="AI498" s="137"/>
      <c r="AJ498" s="137"/>
      <c r="AK498" s="137"/>
      <c r="AL498" s="137"/>
    </row>
    <row r="499" spans="1:38" ht="15.75"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c r="AA499" s="137"/>
      <c r="AB499" s="137"/>
      <c r="AC499" s="137"/>
      <c r="AD499" s="137"/>
      <c r="AE499" s="137"/>
      <c r="AF499" s="137"/>
      <c r="AG499" s="137"/>
      <c r="AH499" s="137"/>
      <c r="AI499" s="137"/>
      <c r="AJ499" s="137"/>
      <c r="AK499" s="137"/>
      <c r="AL499" s="137"/>
    </row>
    <row r="500" spans="1:38" ht="15.75"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c r="AA500" s="137"/>
      <c r="AB500" s="137"/>
      <c r="AC500" s="137"/>
      <c r="AD500" s="137"/>
      <c r="AE500" s="137"/>
      <c r="AF500" s="137"/>
      <c r="AG500" s="137"/>
      <c r="AH500" s="137"/>
      <c r="AI500" s="137"/>
      <c r="AJ500" s="137"/>
      <c r="AK500" s="137"/>
      <c r="AL500" s="137"/>
    </row>
    <row r="501" spans="1:38" ht="15.75"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c r="AA501" s="137"/>
      <c r="AB501" s="137"/>
      <c r="AC501" s="137"/>
      <c r="AD501" s="137"/>
      <c r="AE501" s="137"/>
      <c r="AF501" s="137"/>
      <c r="AG501" s="137"/>
      <c r="AH501" s="137"/>
      <c r="AI501" s="137"/>
      <c r="AJ501" s="137"/>
      <c r="AK501" s="137"/>
      <c r="AL501" s="137"/>
    </row>
    <row r="502" spans="1:38" ht="15.75"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c r="AA502" s="137"/>
      <c r="AB502" s="137"/>
      <c r="AC502" s="137"/>
      <c r="AD502" s="137"/>
      <c r="AE502" s="137"/>
      <c r="AF502" s="137"/>
      <c r="AG502" s="137"/>
      <c r="AH502" s="137"/>
      <c r="AI502" s="137"/>
      <c r="AJ502" s="137"/>
      <c r="AK502" s="137"/>
      <c r="AL502" s="137"/>
    </row>
    <row r="503" spans="1:38" ht="15.75"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c r="AA503" s="137"/>
      <c r="AB503" s="137"/>
      <c r="AC503" s="137"/>
      <c r="AD503" s="137"/>
      <c r="AE503" s="137"/>
      <c r="AF503" s="137"/>
      <c r="AG503" s="137"/>
      <c r="AH503" s="137"/>
      <c r="AI503" s="137"/>
      <c r="AJ503" s="137"/>
      <c r="AK503" s="137"/>
      <c r="AL503" s="137"/>
    </row>
    <row r="504" spans="1:38" ht="15.75"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c r="AA504" s="137"/>
      <c r="AB504" s="137"/>
      <c r="AC504" s="137"/>
      <c r="AD504" s="137"/>
      <c r="AE504" s="137"/>
      <c r="AF504" s="137"/>
      <c r="AG504" s="137"/>
      <c r="AH504" s="137"/>
      <c r="AI504" s="137"/>
      <c r="AJ504" s="137"/>
      <c r="AK504" s="137"/>
      <c r="AL504" s="137"/>
    </row>
    <row r="505" spans="1:38" ht="15.75"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c r="AA505" s="137"/>
      <c r="AB505" s="137"/>
      <c r="AC505" s="137"/>
      <c r="AD505" s="137"/>
      <c r="AE505" s="137"/>
      <c r="AF505" s="137"/>
      <c r="AG505" s="137"/>
      <c r="AH505" s="137"/>
      <c r="AI505" s="137"/>
      <c r="AJ505" s="137"/>
      <c r="AK505" s="137"/>
      <c r="AL505" s="137"/>
    </row>
    <row r="506" spans="1:38" ht="15.75"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c r="AA506" s="137"/>
      <c r="AB506" s="137"/>
      <c r="AC506" s="137"/>
      <c r="AD506" s="137"/>
      <c r="AE506" s="137"/>
      <c r="AF506" s="137"/>
      <c r="AG506" s="137"/>
      <c r="AH506" s="137"/>
      <c r="AI506" s="137"/>
      <c r="AJ506" s="137"/>
      <c r="AK506" s="137"/>
      <c r="AL506" s="137"/>
    </row>
    <row r="507" spans="1:38" ht="15.75"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c r="AA507" s="137"/>
      <c r="AB507" s="137"/>
      <c r="AC507" s="137"/>
      <c r="AD507" s="137"/>
      <c r="AE507" s="137"/>
      <c r="AF507" s="137"/>
      <c r="AG507" s="137"/>
      <c r="AH507" s="137"/>
      <c r="AI507" s="137"/>
      <c r="AJ507" s="137"/>
      <c r="AK507" s="137"/>
      <c r="AL507" s="137"/>
    </row>
    <row r="508" spans="1:38" ht="15.75"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c r="AA508" s="137"/>
      <c r="AB508" s="137"/>
      <c r="AC508" s="137"/>
      <c r="AD508" s="137"/>
      <c r="AE508" s="137"/>
      <c r="AF508" s="137"/>
      <c r="AG508" s="137"/>
      <c r="AH508" s="137"/>
      <c r="AI508" s="137"/>
      <c r="AJ508" s="137"/>
      <c r="AK508" s="137"/>
      <c r="AL508" s="137"/>
    </row>
    <row r="509" spans="1:38" ht="15.75"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c r="AA509" s="137"/>
      <c r="AB509" s="137"/>
      <c r="AC509" s="137"/>
      <c r="AD509" s="137"/>
      <c r="AE509" s="137"/>
      <c r="AF509" s="137"/>
      <c r="AG509" s="137"/>
      <c r="AH509" s="137"/>
      <c r="AI509" s="137"/>
      <c r="AJ509" s="137"/>
      <c r="AK509" s="137"/>
      <c r="AL509" s="137"/>
    </row>
    <row r="510" spans="1:38" ht="15.75"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c r="AA510" s="137"/>
      <c r="AB510" s="137"/>
      <c r="AC510" s="137"/>
      <c r="AD510" s="137"/>
      <c r="AE510" s="137"/>
      <c r="AF510" s="137"/>
      <c r="AG510" s="137"/>
      <c r="AH510" s="137"/>
      <c r="AI510" s="137"/>
      <c r="AJ510" s="137"/>
      <c r="AK510" s="137"/>
      <c r="AL510" s="137"/>
    </row>
    <row r="511" spans="1:38" ht="15.75"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c r="AA511" s="137"/>
      <c r="AB511" s="137"/>
      <c r="AC511" s="137"/>
      <c r="AD511" s="137"/>
      <c r="AE511" s="137"/>
      <c r="AF511" s="137"/>
      <c r="AG511" s="137"/>
      <c r="AH511" s="137"/>
      <c r="AI511" s="137"/>
      <c r="AJ511" s="137"/>
      <c r="AK511" s="137"/>
      <c r="AL511" s="137"/>
    </row>
    <row r="512" spans="1:38" ht="15.75"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c r="AA512" s="137"/>
      <c r="AB512" s="137"/>
      <c r="AC512" s="137"/>
      <c r="AD512" s="137"/>
      <c r="AE512" s="137"/>
      <c r="AF512" s="137"/>
      <c r="AG512" s="137"/>
      <c r="AH512" s="137"/>
      <c r="AI512" s="137"/>
      <c r="AJ512" s="137"/>
      <c r="AK512" s="137"/>
      <c r="AL512" s="137"/>
    </row>
    <row r="513" spans="1:38" ht="15.75"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c r="AA513" s="137"/>
      <c r="AB513" s="137"/>
      <c r="AC513" s="137"/>
      <c r="AD513" s="137"/>
      <c r="AE513" s="137"/>
      <c r="AF513" s="137"/>
      <c r="AG513" s="137"/>
      <c r="AH513" s="137"/>
      <c r="AI513" s="137"/>
      <c r="AJ513" s="137"/>
      <c r="AK513" s="137"/>
      <c r="AL513" s="137"/>
    </row>
    <row r="514" spans="1:38" ht="15.75"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c r="AA514" s="137"/>
      <c r="AB514" s="137"/>
      <c r="AC514" s="137"/>
      <c r="AD514" s="137"/>
      <c r="AE514" s="137"/>
      <c r="AF514" s="137"/>
      <c r="AG514" s="137"/>
      <c r="AH514" s="137"/>
      <c r="AI514" s="137"/>
      <c r="AJ514" s="137"/>
      <c r="AK514" s="137"/>
      <c r="AL514" s="137"/>
    </row>
    <row r="515" spans="1:38" ht="15.75"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c r="AA515" s="137"/>
      <c r="AB515" s="137"/>
      <c r="AC515" s="137"/>
      <c r="AD515" s="137"/>
      <c r="AE515" s="137"/>
      <c r="AF515" s="137"/>
      <c r="AG515" s="137"/>
      <c r="AH515" s="137"/>
      <c r="AI515" s="137"/>
      <c r="AJ515" s="137"/>
      <c r="AK515" s="137"/>
      <c r="AL515" s="137"/>
    </row>
    <row r="516" spans="1:38" ht="15.75"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c r="AA516" s="137"/>
      <c r="AB516" s="137"/>
      <c r="AC516" s="137"/>
      <c r="AD516" s="137"/>
      <c r="AE516" s="137"/>
      <c r="AF516" s="137"/>
      <c r="AG516" s="137"/>
      <c r="AH516" s="137"/>
      <c r="AI516" s="137"/>
      <c r="AJ516" s="137"/>
      <c r="AK516" s="137"/>
      <c r="AL516" s="137"/>
    </row>
    <row r="517" spans="1:38" ht="15.75"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c r="AA517" s="137"/>
      <c r="AB517" s="137"/>
      <c r="AC517" s="137"/>
      <c r="AD517" s="137"/>
      <c r="AE517" s="137"/>
      <c r="AF517" s="137"/>
      <c r="AG517" s="137"/>
      <c r="AH517" s="137"/>
      <c r="AI517" s="137"/>
      <c r="AJ517" s="137"/>
      <c r="AK517" s="137"/>
      <c r="AL517" s="137"/>
    </row>
    <row r="518" spans="1:38" ht="15.75"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c r="AA518" s="137"/>
      <c r="AB518" s="137"/>
      <c r="AC518" s="137"/>
      <c r="AD518" s="137"/>
      <c r="AE518" s="137"/>
      <c r="AF518" s="137"/>
      <c r="AG518" s="137"/>
      <c r="AH518" s="137"/>
      <c r="AI518" s="137"/>
      <c r="AJ518" s="137"/>
      <c r="AK518" s="137"/>
      <c r="AL518" s="137"/>
    </row>
    <row r="519" spans="1:38" ht="15.75"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c r="AA519" s="137"/>
      <c r="AB519" s="137"/>
      <c r="AC519" s="137"/>
      <c r="AD519" s="137"/>
      <c r="AE519" s="137"/>
      <c r="AF519" s="137"/>
      <c r="AG519" s="137"/>
      <c r="AH519" s="137"/>
      <c r="AI519" s="137"/>
      <c r="AJ519" s="137"/>
      <c r="AK519" s="137"/>
      <c r="AL519" s="137"/>
    </row>
    <row r="520" spans="1:38" ht="15.75"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c r="AA520" s="137"/>
      <c r="AB520" s="137"/>
      <c r="AC520" s="137"/>
      <c r="AD520" s="137"/>
      <c r="AE520" s="137"/>
      <c r="AF520" s="137"/>
      <c r="AG520" s="137"/>
      <c r="AH520" s="137"/>
      <c r="AI520" s="137"/>
      <c r="AJ520" s="137"/>
      <c r="AK520" s="137"/>
      <c r="AL520" s="137"/>
    </row>
    <row r="521" spans="1:38" ht="15.75"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c r="AA521" s="137"/>
      <c r="AB521" s="137"/>
      <c r="AC521" s="137"/>
      <c r="AD521" s="137"/>
      <c r="AE521" s="137"/>
      <c r="AF521" s="137"/>
      <c r="AG521" s="137"/>
      <c r="AH521" s="137"/>
      <c r="AI521" s="137"/>
      <c r="AJ521" s="137"/>
      <c r="AK521" s="137"/>
      <c r="AL521" s="137"/>
    </row>
    <row r="522" spans="1:38" ht="15.75"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c r="AA522" s="137"/>
      <c r="AB522" s="137"/>
      <c r="AC522" s="137"/>
      <c r="AD522" s="137"/>
      <c r="AE522" s="137"/>
      <c r="AF522" s="137"/>
      <c r="AG522" s="137"/>
      <c r="AH522" s="137"/>
      <c r="AI522" s="137"/>
      <c r="AJ522" s="137"/>
      <c r="AK522" s="137"/>
      <c r="AL522" s="137"/>
    </row>
    <row r="523" spans="1:38" ht="15.75"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c r="AA523" s="137"/>
      <c r="AB523" s="137"/>
      <c r="AC523" s="137"/>
      <c r="AD523" s="137"/>
      <c r="AE523" s="137"/>
      <c r="AF523" s="137"/>
      <c r="AG523" s="137"/>
      <c r="AH523" s="137"/>
      <c r="AI523" s="137"/>
      <c r="AJ523" s="137"/>
      <c r="AK523" s="137"/>
      <c r="AL523" s="137"/>
    </row>
    <row r="524" spans="1:38" ht="15.75"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c r="AA524" s="137"/>
      <c r="AB524" s="137"/>
      <c r="AC524" s="137"/>
      <c r="AD524" s="137"/>
      <c r="AE524" s="137"/>
      <c r="AF524" s="137"/>
      <c r="AG524" s="137"/>
      <c r="AH524" s="137"/>
      <c r="AI524" s="137"/>
      <c r="AJ524" s="137"/>
      <c r="AK524" s="137"/>
      <c r="AL524" s="137"/>
    </row>
    <row r="525" spans="1:38" ht="15.75"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c r="AA525" s="137"/>
      <c r="AB525" s="137"/>
      <c r="AC525" s="137"/>
      <c r="AD525" s="137"/>
      <c r="AE525" s="137"/>
      <c r="AF525" s="137"/>
      <c r="AG525" s="137"/>
      <c r="AH525" s="137"/>
      <c r="AI525" s="137"/>
      <c r="AJ525" s="137"/>
      <c r="AK525" s="137"/>
      <c r="AL525" s="137"/>
    </row>
    <row r="526" spans="1:38" ht="15.75"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c r="AA526" s="137"/>
      <c r="AB526" s="137"/>
      <c r="AC526" s="137"/>
      <c r="AD526" s="137"/>
      <c r="AE526" s="137"/>
      <c r="AF526" s="137"/>
      <c r="AG526" s="137"/>
      <c r="AH526" s="137"/>
      <c r="AI526" s="137"/>
      <c r="AJ526" s="137"/>
      <c r="AK526" s="137"/>
      <c r="AL526" s="137"/>
    </row>
    <row r="527" spans="1:38" ht="15.75"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c r="AA527" s="137"/>
      <c r="AB527" s="137"/>
      <c r="AC527" s="137"/>
      <c r="AD527" s="137"/>
      <c r="AE527" s="137"/>
      <c r="AF527" s="137"/>
      <c r="AG527" s="137"/>
      <c r="AH527" s="137"/>
      <c r="AI527" s="137"/>
      <c r="AJ527" s="137"/>
      <c r="AK527" s="137"/>
      <c r="AL527" s="137"/>
    </row>
    <row r="528" spans="1:38" ht="15.75"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c r="AA528" s="137"/>
      <c r="AB528" s="137"/>
      <c r="AC528" s="137"/>
      <c r="AD528" s="137"/>
      <c r="AE528" s="137"/>
      <c r="AF528" s="137"/>
      <c r="AG528" s="137"/>
      <c r="AH528" s="137"/>
      <c r="AI528" s="137"/>
      <c r="AJ528" s="137"/>
      <c r="AK528" s="137"/>
      <c r="AL528" s="137"/>
    </row>
    <row r="529" spans="1:38" ht="15.75"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c r="AA529" s="137"/>
      <c r="AB529" s="137"/>
      <c r="AC529" s="137"/>
      <c r="AD529" s="137"/>
      <c r="AE529" s="137"/>
      <c r="AF529" s="137"/>
      <c r="AG529" s="137"/>
      <c r="AH529" s="137"/>
      <c r="AI529" s="137"/>
      <c r="AJ529" s="137"/>
      <c r="AK529" s="137"/>
      <c r="AL529" s="137"/>
    </row>
    <row r="530" spans="1:38" ht="15.75"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c r="AA530" s="137"/>
      <c r="AB530" s="137"/>
      <c r="AC530" s="137"/>
      <c r="AD530" s="137"/>
      <c r="AE530" s="137"/>
      <c r="AF530" s="137"/>
      <c r="AG530" s="137"/>
      <c r="AH530" s="137"/>
      <c r="AI530" s="137"/>
      <c r="AJ530" s="137"/>
      <c r="AK530" s="137"/>
      <c r="AL530" s="137"/>
    </row>
    <row r="531" spans="1:38" ht="15.75"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c r="AA531" s="137"/>
      <c r="AB531" s="137"/>
      <c r="AC531" s="137"/>
      <c r="AD531" s="137"/>
      <c r="AE531" s="137"/>
      <c r="AF531" s="137"/>
      <c r="AG531" s="137"/>
      <c r="AH531" s="137"/>
      <c r="AI531" s="137"/>
      <c r="AJ531" s="137"/>
      <c r="AK531" s="137"/>
      <c r="AL531" s="137"/>
    </row>
    <row r="532" spans="1:38" ht="15.75"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c r="AA532" s="137"/>
      <c r="AB532" s="137"/>
      <c r="AC532" s="137"/>
      <c r="AD532" s="137"/>
      <c r="AE532" s="137"/>
      <c r="AF532" s="137"/>
      <c r="AG532" s="137"/>
      <c r="AH532" s="137"/>
      <c r="AI532" s="137"/>
      <c r="AJ532" s="137"/>
      <c r="AK532" s="137"/>
      <c r="AL532" s="137"/>
    </row>
    <row r="533" spans="1:38" ht="15.75"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c r="AA533" s="137"/>
      <c r="AB533" s="137"/>
      <c r="AC533" s="137"/>
      <c r="AD533" s="137"/>
      <c r="AE533" s="137"/>
      <c r="AF533" s="137"/>
      <c r="AG533" s="137"/>
      <c r="AH533" s="137"/>
      <c r="AI533" s="137"/>
      <c r="AJ533" s="137"/>
      <c r="AK533" s="137"/>
      <c r="AL533" s="137"/>
    </row>
    <row r="534" spans="1:38" ht="15.75"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c r="AA534" s="137"/>
      <c r="AB534" s="137"/>
      <c r="AC534" s="137"/>
      <c r="AD534" s="137"/>
      <c r="AE534" s="137"/>
      <c r="AF534" s="137"/>
      <c r="AG534" s="137"/>
      <c r="AH534" s="137"/>
      <c r="AI534" s="137"/>
      <c r="AJ534" s="137"/>
      <c r="AK534" s="137"/>
      <c r="AL534" s="137"/>
    </row>
    <row r="535" spans="1:38" ht="15.75"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c r="AA535" s="137"/>
      <c r="AB535" s="137"/>
      <c r="AC535" s="137"/>
      <c r="AD535" s="137"/>
      <c r="AE535" s="137"/>
      <c r="AF535" s="137"/>
      <c r="AG535" s="137"/>
      <c r="AH535" s="137"/>
      <c r="AI535" s="137"/>
      <c r="AJ535" s="137"/>
      <c r="AK535" s="137"/>
      <c r="AL535" s="137"/>
    </row>
    <row r="536" spans="1:38" ht="15.75"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c r="AA536" s="137"/>
      <c r="AB536" s="137"/>
      <c r="AC536" s="137"/>
      <c r="AD536" s="137"/>
      <c r="AE536" s="137"/>
      <c r="AF536" s="137"/>
      <c r="AG536" s="137"/>
      <c r="AH536" s="137"/>
      <c r="AI536" s="137"/>
      <c r="AJ536" s="137"/>
      <c r="AK536" s="137"/>
      <c r="AL536" s="137"/>
    </row>
    <row r="537" spans="1:38" ht="15.75"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c r="AA537" s="137"/>
      <c r="AB537" s="137"/>
      <c r="AC537" s="137"/>
      <c r="AD537" s="137"/>
      <c r="AE537" s="137"/>
      <c r="AF537" s="137"/>
      <c r="AG537" s="137"/>
      <c r="AH537" s="137"/>
      <c r="AI537" s="137"/>
      <c r="AJ537" s="137"/>
      <c r="AK537" s="137"/>
      <c r="AL537" s="137"/>
    </row>
    <row r="538" spans="1:38" ht="15.75"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c r="AA538" s="137"/>
      <c r="AB538" s="137"/>
      <c r="AC538" s="137"/>
      <c r="AD538" s="137"/>
      <c r="AE538" s="137"/>
      <c r="AF538" s="137"/>
      <c r="AG538" s="137"/>
      <c r="AH538" s="137"/>
      <c r="AI538" s="137"/>
      <c r="AJ538" s="137"/>
      <c r="AK538" s="137"/>
      <c r="AL538" s="137"/>
    </row>
    <row r="539" spans="1:38" ht="15.75"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c r="AA539" s="137"/>
      <c r="AB539" s="137"/>
      <c r="AC539" s="137"/>
      <c r="AD539" s="137"/>
      <c r="AE539" s="137"/>
      <c r="AF539" s="137"/>
      <c r="AG539" s="137"/>
      <c r="AH539" s="137"/>
      <c r="AI539" s="137"/>
      <c r="AJ539" s="137"/>
      <c r="AK539" s="137"/>
      <c r="AL539" s="137"/>
    </row>
    <row r="540" spans="1:38" ht="15.75"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c r="AA540" s="137"/>
      <c r="AB540" s="137"/>
      <c r="AC540" s="137"/>
      <c r="AD540" s="137"/>
      <c r="AE540" s="137"/>
      <c r="AF540" s="137"/>
      <c r="AG540" s="137"/>
      <c r="AH540" s="137"/>
      <c r="AI540" s="137"/>
      <c r="AJ540" s="137"/>
      <c r="AK540" s="137"/>
      <c r="AL540" s="137"/>
    </row>
    <row r="541" spans="1:38" ht="15.75"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c r="AA541" s="137"/>
      <c r="AB541" s="137"/>
      <c r="AC541" s="137"/>
      <c r="AD541" s="137"/>
      <c r="AE541" s="137"/>
      <c r="AF541" s="137"/>
      <c r="AG541" s="137"/>
      <c r="AH541" s="137"/>
      <c r="AI541" s="137"/>
      <c r="AJ541" s="137"/>
      <c r="AK541" s="137"/>
      <c r="AL541" s="137"/>
    </row>
    <row r="542" spans="1:38" ht="15.75"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c r="AA542" s="137"/>
      <c r="AB542" s="137"/>
      <c r="AC542" s="137"/>
      <c r="AD542" s="137"/>
      <c r="AE542" s="137"/>
      <c r="AF542" s="137"/>
      <c r="AG542" s="137"/>
      <c r="AH542" s="137"/>
      <c r="AI542" s="137"/>
      <c r="AJ542" s="137"/>
      <c r="AK542" s="137"/>
      <c r="AL542" s="137"/>
    </row>
    <row r="543" spans="1:38" ht="15.75"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c r="AA543" s="137"/>
      <c r="AB543" s="137"/>
      <c r="AC543" s="137"/>
      <c r="AD543" s="137"/>
      <c r="AE543" s="137"/>
      <c r="AF543" s="137"/>
      <c r="AG543" s="137"/>
      <c r="AH543" s="137"/>
      <c r="AI543" s="137"/>
      <c r="AJ543" s="137"/>
      <c r="AK543" s="137"/>
      <c r="AL543" s="137"/>
    </row>
    <row r="544" spans="1:38" ht="15.75"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c r="AA544" s="137"/>
      <c r="AB544" s="137"/>
      <c r="AC544" s="137"/>
      <c r="AD544" s="137"/>
      <c r="AE544" s="137"/>
      <c r="AF544" s="137"/>
      <c r="AG544" s="137"/>
      <c r="AH544" s="137"/>
      <c r="AI544" s="137"/>
      <c r="AJ544" s="137"/>
      <c r="AK544" s="137"/>
      <c r="AL544" s="137"/>
    </row>
    <row r="545" spans="1:38" ht="15.75"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c r="AA545" s="137"/>
      <c r="AB545" s="137"/>
      <c r="AC545" s="137"/>
      <c r="AD545" s="137"/>
      <c r="AE545" s="137"/>
      <c r="AF545" s="137"/>
      <c r="AG545" s="137"/>
      <c r="AH545" s="137"/>
      <c r="AI545" s="137"/>
      <c r="AJ545" s="137"/>
      <c r="AK545" s="137"/>
      <c r="AL545" s="137"/>
    </row>
    <row r="546" spans="1:38" ht="15.75"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c r="AA546" s="137"/>
      <c r="AB546" s="137"/>
      <c r="AC546" s="137"/>
      <c r="AD546" s="137"/>
      <c r="AE546" s="137"/>
      <c r="AF546" s="137"/>
      <c r="AG546" s="137"/>
      <c r="AH546" s="137"/>
      <c r="AI546" s="137"/>
      <c r="AJ546" s="137"/>
      <c r="AK546" s="137"/>
      <c r="AL546" s="137"/>
    </row>
    <row r="547" spans="1:38" ht="15.75"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c r="AA547" s="137"/>
      <c r="AB547" s="137"/>
      <c r="AC547" s="137"/>
      <c r="AD547" s="137"/>
      <c r="AE547" s="137"/>
      <c r="AF547" s="137"/>
      <c r="AG547" s="137"/>
      <c r="AH547" s="137"/>
      <c r="AI547" s="137"/>
      <c r="AJ547" s="137"/>
      <c r="AK547" s="137"/>
      <c r="AL547" s="137"/>
    </row>
    <row r="548" spans="1:38" ht="15.75"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c r="AA548" s="137"/>
      <c r="AB548" s="137"/>
      <c r="AC548" s="137"/>
      <c r="AD548" s="137"/>
      <c r="AE548" s="137"/>
      <c r="AF548" s="137"/>
      <c r="AG548" s="137"/>
      <c r="AH548" s="137"/>
      <c r="AI548" s="137"/>
      <c r="AJ548" s="137"/>
      <c r="AK548" s="137"/>
      <c r="AL548" s="137"/>
    </row>
    <row r="549" spans="1:38" ht="15.75"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c r="AA549" s="137"/>
      <c r="AB549" s="137"/>
      <c r="AC549" s="137"/>
      <c r="AD549" s="137"/>
      <c r="AE549" s="137"/>
      <c r="AF549" s="137"/>
      <c r="AG549" s="137"/>
      <c r="AH549" s="137"/>
      <c r="AI549" s="137"/>
      <c r="AJ549" s="137"/>
      <c r="AK549" s="137"/>
      <c r="AL549" s="137"/>
    </row>
    <row r="550" spans="1:38" ht="15.75"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c r="AA550" s="137"/>
      <c r="AB550" s="137"/>
      <c r="AC550" s="137"/>
      <c r="AD550" s="137"/>
      <c r="AE550" s="137"/>
      <c r="AF550" s="137"/>
      <c r="AG550" s="137"/>
      <c r="AH550" s="137"/>
      <c r="AI550" s="137"/>
      <c r="AJ550" s="137"/>
      <c r="AK550" s="137"/>
      <c r="AL550" s="137"/>
    </row>
    <row r="551" spans="1:38" ht="15.75"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c r="AA551" s="137"/>
      <c r="AB551" s="137"/>
      <c r="AC551" s="137"/>
      <c r="AD551" s="137"/>
      <c r="AE551" s="137"/>
      <c r="AF551" s="137"/>
      <c r="AG551" s="137"/>
      <c r="AH551" s="137"/>
      <c r="AI551" s="137"/>
      <c r="AJ551" s="137"/>
      <c r="AK551" s="137"/>
      <c r="AL551" s="137"/>
    </row>
    <row r="552" spans="1:38" ht="15.75"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c r="AA552" s="137"/>
      <c r="AB552" s="137"/>
      <c r="AC552" s="137"/>
      <c r="AD552" s="137"/>
      <c r="AE552" s="137"/>
      <c r="AF552" s="137"/>
      <c r="AG552" s="137"/>
      <c r="AH552" s="137"/>
      <c r="AI552" s="137"/>
      <c r="AJ552" s="137"/>
      <c r="AK552" s="137"/>
      <c r="AL552" s="137"/>
    </row>
    <row r="553" spans="1:38" ht="15.75"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c r="AA553" s="137"/>
      <c r="AB553" s="137"/>
      <c r="AC553" s="137"/>
      <c r="AD553" s="137"/>
      <c r="AE553" s="137"/>
      <c r="AF553" s="137"/>
      <c r="AG553" s="137"/>
      <c r="AH553" s="137"/>
      <c r="AI553" s="137"/>
      <c r="AJ553" s="137"/>
      <c r="AK553" s="137"/>
      <c r="AL553" s="137"/>
    </row>
    <row r="554" spans="1:38" ht="15.75"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c r="AA554" s="137"/>
      <c r="AB554" s="137"/>
      <c r="AC554" s="137"/>
      <c r="AD554" s="137"/>
      <c r="AE554" s="137"/>
      <c r="AF554" s="137"/>
      <c r="AG554" s="137"/>
      <c r="AH554" s="137"/>
      <c r="AI554" s="137"/>
      <c r="AJ554" s="137"/>
      <c r="AK554" s="137"/>
      <c r="AL554" s="137"/>
    </row>
    <row r="555" spans="1:38" ht="15.75"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c r="AA555" s="137"/>
      <c r="AB555" s="137"/>
      <c r="AC555" s="137"/>
      <c r="AD555" s="137"/>
      <c r="AE555" s="137"/>
      <c r="AF555" s="137"/>
      <c r="AG555" s="137"/>
      <c r="AH555" s="137"/>
      <c r="AI555" s="137"/>
      <c r="AJ555" s="137"/>
      <c r="AK555" s="137"/>
      <c r="AL555" s="137"/>
    </row>
    <row r="556" spans="1:38" ht="15.75"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c r="AA556" s="137"/>
      <c r="AB556" s="137"/>
      <c r="AC556" s="137"/>
      <c r="AD556" s="137"/>
      <c r="AE556" s="137"/>
      <c r="AF556" s="137"/>
      <c r="AG556" s="137"/>
      <c r="AH556" s="137"/>
      <c r="AI556" s="137"/>
      <c r="AJ556" s="137"/>
      <c r="AK556" s="137"/>
      <c r="AL556" s="137"/>
    </row>
    <row r="557" spans="1:38" ht="15.75"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c r="AA557" s="137"/>
      <c r="AB557" s="137"/>
      <c r="AC557" s="137"/>
      <c r="AD557" s="137"/>
      <c r="AE557" s="137"/>
      <c r="AF557" s="137"/>
      <c r="AG557" s="137"/>
      <c r="AH557" s="137"/>
      <c r="AI557" s="137"/>
      <c r="AJ557" s="137"/>
      <c r="AK557" s="137"/>
      <c r="AL557" s="137"/>
    </row>
    <row r="558" spans="1:38" ht="15.75"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c r="AA558" s="137"/>
      <c r="AB558" s="137"/>
      <c r="AC558" s="137"/>
      <c r="AD558" s="137"/>
      <c r="AE558" s="137"/>
      <c r="AF558" s="137"/>
      <c r="AG558" s="137"/>
      <c r="AH558" s="137"/>
      <c r="AI558" s="137"/>
      <c r="AJ558" s="137"/>
      <c r="AK558" s="137"/>
      <c r="AL558" s="137"/>
    </row>
    <row r="559" spans="1:38" ht="15.75"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c r="AA559" s="137"/>
      <c r="AB559" s="137"/>
      <c r="AC559" s="137"/>
      <c r="AD559" s="137"/>
      <c r="AE559" s="137"/>
      <c r="AF559" s="137"/>
      <c r="AG559" s="137"/>
      <c r="AH559" s="137"/>
      <c r="AI559" s="137"/>
      <c r="AJ559" s="137"/>
      <c r="AK559" s="137"/>
      <c r="AL559" s="137"/>
    </row>
    <row r="560" spans="1:38" ht="15.75"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c r="AA560" s="137"/>
      <c r="AB560" s="137"/>
      <c r="AC560" s="137"/>
      <c r="AD560" s="137"/>
      <c r="AE560" s="137"/>
      <c r="AF560" s="137"/>
      <c r="AG560" s="137"/>
      <c r="AH560" s="137"/>
      <c r="AI560" s="137"/>
      <c r="AJ560" s="137"/>
      <c r="AK560" s="137"/>
      <c r="AL560" s="137"/>
    </row>
    <row r="561" spans="1:38" ht="15.75"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c r="AA561" s="137"/>
      <c r="AB561" s="137"/>
      <c r="AC561" s="137"/>
      <c r="AD561" s="137"/>
      <c r="AE561" s="137"/>
      <c r="AF561" s="137"/>
      <c r="AG561" s="137"/>
      <c r="AH561" s="137"/>
      <c r="AI561" s="137"/>
      <c r="AJ561" s="137"/>
      <c r="AK561" s="137"/>
      <c r="AL561" s="137"/>
    </row>
    <row r="562" spans="1:38" ht="15.75"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c r="AA562" s="137"/>
      <c r="AB562" s="137"/>
      <c r="AC562" s="137"/>
      <c r="AD562" s="137"/>
      <c r="AE562" s="137"/>
      <c r="AF562" s="137"/>
      <c r="AG562" s="137"/>
      <c r="AH562" s="137"/>
      <c r="AI562" s="137"/>
      <c r="AJ562" s="137"/>
      <c r="AK562" s="137"/>
      <c r="AL562" s="137"/>
    </row>
    <row r="563" spans="1:38" ht="15.75"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c r="AA563" s="137"/>
      <c r="AB563" s="137"/>
      <c r="AC563" s="137"/>
      <c r="AD563" s="137"/>
      <c r="AE563" s="137"/>
      <c r="AF563" s="137"/>
      <c r="AG563" s="137"/>
      <c r="AH563" s="137"/>
      <c r="AI563" s="137"/>
      <c r="AJ563" s="137"/>
      <c r="AK563" s="137"/>
      <c r="AL563" s="137"/>
    </row>
    <row r="564" spans="1:38" ht="15.75"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c r="AA564" s="137"/>
      <c r="AB564" s="137"/>
      <c r="AC564" s="137"/>
      <c r="AD564" s="137"/>
      <c r="AE564" s="137"/>
      <c r="AF564" s="137"/>
      <c r="AG564" s="137"/>
      <c r="AH564" s="137"/>
      <c r="AI564" s="137"/>
      <c r="AJ564" s="137"/>
      <c r="AK564" s="137"/>
      <c r="AL564" s="137"/>
    </row>
    <row r="565" spans="1:38" ht="15.75"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c r="AA565" s="137"/>
      <c r="AB565" s="137"/>
      <c r="AC565" s="137"/>
      <c r="AD565" s="137"/>
      <c r="AE565" s="137"/>
      <c r="AF565" s="137"/>
      <c r="AG565" s="137"/>
      <c r="AH565" s="137"/>
      <c r="AI565" s="137"/>
      <c r="AJ565" s="137"/>
      <c r="AK565" s="137"/>
      <c r="AL565" s="137"/>
    </row>
    <row r="566" spans="1:38" ht="15.75"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c r="AA566" s="137"/>
      <c r="AB566" s="137"/>
      <c r="AC566" s="137"/>
      <c r="AD566" s="137"/>
      <c r="AE566" s="137"/>
      <c r="AF566" s="137"/>
      <c r="AG566" s="137"/>
      <c r="AH566" s="137"/>
      <c r="AI566" s="137"/>
      <c r="AJ566" s="137"/>
      <c r="AK566" s="137"/>
      <c r="AL566" s="137"/>
    </row>
    <row r="567" spans="1:38" ht="15.75"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c r="AA567" s="137"/>
      <c r="AB567" s="137"/>
      <c r="AC567" s="137"/>
      <c r="AD567" s="137"/>
      <c r="AE567" s="137"/>
      <c r="AF567" s="137"/>
      <c r="AG567" s="137"/>
      <c r="AH567" s="137"/>
      <c r="AI567" s="137"/>
      <c r="AJ567" s="137"/>
      <c r="AK567" s="137"/>
      <c r="AL567" s="137"/>
    </row>
    <row r="568" spans="1:38" ht="15.75"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c r="AA568" s="137"/>
      <c r="AB568" s="137"/>
      <c r="AC568" s="137"/>
      <c r="AD568" s="137"/>
      <c r="AE568" s="137"/>
      <c r="AF568" s="137"/>
      <c r="AG568" s="137"/>
      <c r="AH568" s="137"/>
      <c r="AI568" s="137"/>
      <c r="AJ568" s="137"/>
      <c r="AK568" s="137"/>
      <c r="AL568" s="137"/>
    </row>
    <row r="569" spans="1:38" ht="15.75"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c r="AA569" s="137"/>
      <c r="AB569" s="137"/>
      <c r="AC569" s="137"/>
      <c r="AD569" s="137"/>
      <c r="AE569" s="137"/>
      <c r="AF569" s="137"/>
      <c r="AG569" s="137"/>
      <c r="AH569" s="137"/>
      <c r="AI569" s="137"/>
      <c r="AJ569" s="137"/>
      <c r="AK569" s="137"/>
      <c r="AL569" s="137"/>
    </row>
    <row r="570" spans="1:38" ht="15.75"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c r="AA570" s="137"/>
      <c r="AB570" s="137"/>
      <c r="AC570" s="137"/>
      <c r="AD570" s="137"/>
      <c r="AE570" s="137"/>
      <c r="AF570" s="137"/>
      <c r="AG570" s="137"/>
      <c r="AH570" s="137"/>
      <c r="AI570" s="137"/>
      <c r="AJ570" s="137"/>
      <c r="AK570" s="137"/>
      <c r="AL570" s="137"/>
    </row>
    <row r="571" spans="1:38" ht="15.75"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c r="AA571" s="137"/>
      <c r="AB571" s="137"/>
      <c r="AC571" s="137"/>
      <c r="AD571" s="137"/>
      <c r="AE571" s="137"/>
      <c r="AF571" s="137"/>
      <c r="AG571" s="137"/>
      <c r="AH571" s="137"/>
      <c r="AI571" s="137"/>
      <c r="AJ571" s="137"/>
      <c r="AK571" s="137"/>
      <c r="AL571" s="137"/>
    </row>
    <row r="572" spans="1:38" ht="15.75"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c r="AA572" s="137"/>
      <c r="AB572" s="137"/>
      <c r="AC572" s="137"/>
      <c r="AD572" s="137"/>
      <c r="AE572" s="137"/>
      <c r="AF572" s="137"/>
      <c r="AG572" s="137"/>
      <c r="AH572" s="137"/>
      <c r="AI572" s="137"/>
      <c r="AJ572" s="137"/>
      <c r="AK572" s="137"/>
      <c r="AL572" s="137"/>
    </row>
    <row r="573" spans="1:38" ht="15.75"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c r="AA573" s="137"/>
      <c r="AB573" s="137"/>
      <c r="AC573" s="137"/>
      <c r="AD573" s="137"/>
      <c r="AE573" s="137"/>
      <c r="AF573" s="137"/>
      <c r="AG573" s="137"/>
      <c r="AH573" s="137"/>
      <c r="AI573" s="137"/>
      <c r="AJ573" s="137"/>
      <c r="AK573" s="137"/>
      <c r="AL573" s="137"/>
    </row>
    <row r="574" spans="1:38" ht="15.75"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c r="AA574" s="137"/>
      <c r="AB574" s="137"/>
      <c r="AC574" s="137"/>
      <c r="AD574" s="137"/>
      <c r="AE574" s="137"/>
      <c r="AF574" s="137"/>
      <c r="AG574" s="137"/>
      <c r="AH574" s="137"/>
      <c r="AI574" s="137"/>
      <c r="AJ574" s="137"/>
      <c r="AK574" s="137"/>
      <c r="AL574" s="137"/>
    </row>
    <row r="575" spans="1:38" ht="15.75"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c r="AA575" s="137"/>
      <c r="AB575" s="137"/>
      <c r="AC575" s="137"/>
      <c r="AD575" s="137"/>
      <c r="AE575" s="137"/>
      <c r="AF575" s="137"/>
      <c r="AG575" s="137"/>
      <c r="AH575" s="137"/>
      <c r="AI575" s="137"/>
      <c r="AJ575" s="137"/>
      <c r="AK575" s="137"/>
      <c r="AL575" s="137"/>
    </row>
    <row r="576" spans="1:38" ht="15.75"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c r="AA576" s="137"/>
      <c r="AB576" s="137"/>
      <c r="AC576" s="137"/>
      <c r="AD576" s="137"/>
      <c r="AE576" s="137"/>
      <c r="AF576" s="137"/>
      <c r="AG576" s="137"/>
      <c r="AH576" s="137"/>
      <c r="AI576" s="137"/>
      <c r="AJ576" s="137"/>
      <c r="AK576" s="137"/>
      <c r="AL576" s="137"/>
    </row>
    <row r="577" spans="1:38" ht="15.75"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c r="AA577" s="137"/>
      <c r="AB577" s="137"/>
      <c r="AC577" s="137"/>
      <c r="AD577" s="137"/>
      <c r="AE577" s="137"/>
      <c r="AF577" s="137"/>
      <c r="AG577" s="137"/>
      <c r="AH577" s="137"/>
      <c r="AI577" s="137"/>
      <c r="AJ577" s="137"/>
      <c r="AK577" s="137"/>
      <c r="AL577" s="137"/>
    </row>
    <row r="578" spans="1:38" ht="15.75"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c r="AA578" s="137"/>
      <c r="AB578" s="137"/>
      <c r="AC578" s="137"/>
      <c r="AD578" s="137"/>
      <c r="AE578" s="137"/>
      <c r="AF578" s="137"/>
      <c r="AG578" s="137"/>
      <c r="AH578" s="137"/>
      <c r="AI578" s="137"/>
      <c r="AJ578" s="137"/>
      <c r="AK578" s="137"/>
      <c r="AL578" s="137"/>
    </row>
    <row r="579" spans="1:38" ht="15.75"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c r="AA579" s="137"/>
      <c r="AB579" s="137"/>
      <c r="AC579" s="137"/>
      <c r="AD579" s="137"/>
      <c r="AE579" s="137"/>
      <c r="AF579" s="137"/>
      <c r="AG579" s="137"/>
      <c r="AH579" s="137"/>
      <c r="AI579" s="137"/>
      <c r="AJ579" s="137"/>
      <c r="AK579" s="137"/>
      <c r="AL579" s="137"/>
    </row>
    <row r="580" spans="1:38" ht="15.75"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c r="AA580" s="137"/>
      <c r="AB580" s="137"/>
      <c r="AC580" s="137"/>
      <c r="AD580" s="137"/>
      <c r="AE580" s="137"/>
      <c r="AF580" s="137"/>
      <c r="AG580" s="137"/>
      <c r="AH580" s="137"/>
      <c r="AI580" s="137"/>
      <c r="AJ580" s="137"/>
      <c r="AK580" s="137"/>
      <c r="AL580" s="137"/>
    </row>
    <row r="581" spans="1:38" ht="15.75"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c r="AA581" s="137"/>
      <c r="AB581" s="137"/>
      <c r="AC581" s="137"/>
      <c r="AD581" s="137"/>
      <c r="AE581" s="137"/>
      <c r="AF581" s="137"/>
      <c r="AG581" s="137"/>
      <c r="AH581" s="137"/>
      <c r="AI581" s="137"/>
      <c r="AJ581" s="137"/>
      <c r="AK581" s="137"/>
      <c r="AL581" s="137"/>
    </row>
    <row r="582" spans="1:38" ht="15.75"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c r="AA582" s="137"/>
      <c r="AB582" s="137"/>
      <c r="AC582" s="137"/>
      <c r="AD582" s="137"/>
      <c r="AE582" s="137"/>
      <c r="AF582" s="137"/>
      <c r="AG582" s="137"/>
      <c r="AH582" s="137"/>
      <c r="AI582" s="137"/>
      <c r="AJ582" s="137"/>
      <c r="AK582" s="137"/>
      <c r="AL582" s="137"/>
    </row>
    <row r="583" spans="1:38" ht="15.75"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c r="AA583" s="137"/>
      <c r="AB583" s="137"/>
      <c r="AC583" s="137"/>
      <c r="AD583" s="137"/>
      <c r="AE583" s="137"/>
      <c r="AF583" s="137"/>
      <c r="AG583" s="137"/>
      <c r="AH583" s="137"/>
      <c r="AI583" s="137"/>
      <c r="AJ583" s="137"/>
      <c r="AK583" s="137"/>
      <c r="AL583" s="137"/>
    </row>
    <row r="584" spans="1:38" ht="15.75"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c r="AA584" s="137"/>
      <c r="AB584" s="137"/>
      <c r="AC584" s="137"/>
      <c r="AD584" s="137"/>
      <c r="AE584" s="137"/>
      <c r="AF584" s="137"/>
      <c r="AG584" s="137"/>
      <c r="AH584" s="137"/>
      <c r="AI584" s="137"/>
      <c r="AJ584" s="137"/>
      <c r="AK584" s="137"/>
      <c r="AL584" s="137"/>
    </row>
    <row r="585" spans="1:38" ht="15.75"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c r="AA585" s="137"/>
      <c r="AB585" s="137"/>
      <c r="AC585" s="137"/>
      <c r="AD585" s="137"/>
      <c r="AE585" s="137"/>
      <c r="AF585" s="137"/>
      <c r="AG585" s="137"/>
      <c r="AH585" s="137"/>
      <c r="AI585" s="137"/>
      <c r="AJ585" s="137"/>
      <c r="AK585" s="137"/>
      <c r="AL585" s="137"/>
    </row>
    <row r="586" spans="1:38" ht="15.75"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c r="AA586" s="137"/>
      <c r="AB586" s="137"/>
      <c r="AC586" s="137"/>
      <c r="AD586" s="137"/>
      <c r="AE586" s="137"/>
      <c r="AF586" s="137"/>
      <c r="AG586" s="137"/>
      <c r="AH586" s="137"/>
      <c r="AI586" s="137"/>
      <c r="AJ586" s="137"/>
      <c r="AK586" s="137"/>
      <c r="AL586" s="137"/>
    </row>
    <row r="587" spans="1:38" ht="15.75"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c r="AA587" s="137"/>
      <c r="AB587" s="137"/>
      <c r="AC587" s="137"/>
      <c r="AD587" s="137"/>
      <c r="AE587" s="137"/>
      <c r="AF587" s="137"/>
      <c r="AG587" s="137"/>
      <c r="AH587" s="137"/>
      <c r="AI587" s="137"/>
      <c r="AJ587" s="137"/>
      <c r="AK587" s="137"/>
      <c r="AL587" s="137"/>
    </row>
    <row r="588" spans="1:38" ht="15.75"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c r="AA588" s="137"/>
      <c r="AB588" s="137"/>
      <c r="AC588" s="137"/>
      <c r="AD588" s="137"/>
      <c r="AE588" s="137"/>
      <c r="AF588" s="137"/>
      <c r="AG588" s="137"/>
      <c r="AH588" s="137"/>
      <c r="AI588" s="137"/>
      <c r="AJ588" s="137"/>
      <c r="AK588" s="137"/>
      <c r="AL588" s="137"/>
    </row>
    <row r="589" spans="1:38" ht="15.75"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c r="AA589" s="137"/>
      <c r="AB589" s="137"/>
      <c r="AC589" s="137"/>
      <c r="AD589" s="137"/>
      <c r="AE589" s="137"/>
      <c r="AF589" s="137"/>
      <c r="AG589" s="137"/>
      <c r="AH589" s="137"/>
      <c r="AI589" s="137"/>
      <c r="AJ589" s="137"/>
      <c r="AK589" s="137"/>
      <c r="AL589" s="137"/>
    </row>
    <row r="590" spans="1:38" ht="15.75"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c r="AA590" s="137"/>
      <c r="AB590" s="137"/>
      <c r="AC590" s="137"/>
      <c r="AD590" s="137"/>
      <c r="AE590" s="137"/>
      <c r="AF590" s="137"/>
      <c r="AG590" s="137"/>
      <c r="AH590" s="137"/>
      <c r="AI590" s="137"/>
      <c r="AJ590" s="137"/>
      <c r="AK590" s="137"/>
      <c r="AL590" s="137"/>
    </row>
    <row r="591" spans="1:38" ht="15.75"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c r="AA591" s="137"/>
      <c r="AB591" s="137"/>
      <c r="AC591" s="137"/>
      <c r="AD591" s="137"/>
      <c r="AE591" s="137"/>
      <c r="AF591" s="137"/>
      <c r="AG591" s="137"/>
      <c r="AH591" s="137"/>
      <c r="AI591" s="137"/>
      <c r="AJ591" s="137"/>
      <c r="AK591" s="137"/>
      <c r="AL591" s="137"/>
    </row>
    <row r="592" spans="1:38" ht="15.75"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c r="AA592" s="137"/>
      <c r="AB592" s="137"/>
      <c r="AC592" s="137"/>
      <c r="AD592" s="137"/>
      <c r="AE592" s="137"/>
      <c r="AF592" s="137"/>
      <c r="AG592" s="137"/>
      <c r="AH592" s="137"/>
      <c r="AI592" s="137"/>
      <c r="AJ592" s="137"/>
      <c r="AK592" s="137"/>
      <c r="AL592" s="137"/>
    </row>
    <row r="593" spans="1:38" ht="15.75"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c r="AA593" s="137"/>
      <c r="AB593" s="137"/>
      <c r="AC593" s="137"/>
      <c r="AD593" s="137"/>
      <c r="AE593" s="137"/>
      <c r="AF593" s="137"/>
      <c r="AG593" s="137"/>
      <c r="AH593" s="137"/>
      <c r="AI593" s="137"/>
      <c r="AJ593" s="137"/>
      <c r="AK593" s="137"/>
      <c r="AL593" s="137"/>
    </row>
    <row r="594" spans="1:38" ht="15.75"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c r="AA594" s="137"/>
      <c r="AB594" s="137"/>
      <c r="AC594" s="137"/>
      <c r="AD594" s="137"/>
      <c r="AE594" s="137"/>
      <c r="AF594" s="137"/>
      <c r="AG594" s="137"/>
      <c r="AH594" s="137"/>
      <c r="AI594" s="137"/>
      <c r="AJ594" s="137"/>
      <c r="AK594" s="137"/>
      <c r="AL594" s="137"/>
    </row>
    <row r="595" spans="1:38" ht="15.75"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c r="AA595" s="137"/>
      <c r="AB595" s="137"/>
      <c r="AC595" s="137"/>
      <c r="AD595" s="137"/>
      <c r="AE595" s="137"/>
      <c r="AF595" s="137"/>
      <c r="AG595" s="137"/>
      <c r="AH595" s="137"/>
      <c r="AI595" s="137"/>
      <c r="AJ595" s="137"/>
      <c r="AK595" s="137"/>
      <c r="AL595" s="137"/>
    </row>
    <row r="596" spans="1:38" ht="15.75"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c r="AA596" s="137"/>
      <c r="AB596" s="137"/>
      <c r="AC596" s="137"/>
      <c r="AD596" s="137"/>
      <c r="AE596" s="137"/>
      <c r="AF596" s="137"/>
      <c r="AG596" s="137"/>
      <c r="AH596" s="137"/>
      <c r="AI596" s="137"/>
      <c r="AJ596" s="137"/>
      <c r="AK596" s="137"/>
      <c r="AL596" s="137"/>
    </row>
    <row r="597" spans="1:38" ht="15.75"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c r="AA597" s="137"/>
      <c r="AB597" s="137"/>
      <c r="AC597" s="137"/>
      <c r="AD597" s="137"/>
      <c r="AE597" s="137"/>
      <c r="AF597" s="137"/>
      <c r="AG597" s="137"/>
      <c r="AH597" s="137"/>
      <c r="AI597" s="137"/>
      <c r="AJ597" s="137"/>
      <c r="AK597" s="137"/>
      <c r="AL597" s="137"/>
    </row>
    <row r="598" spans="1:38" ht="15.75"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c r="AA598" s="137"/>
      <c r="AB598" s="137"/>
      <c r="AC598" s="137"/>
      <c r="AD598" s="137"/>
      <c r="AE598" s="137"/>
      <c r="AF598" s="137"/>
      <c r="AG598" s="137"/>
      <c r="AH598" s="137"/>
      <c r="AI598" s="137"/>
      <c r="AJ598" s="137"/>
      <c r="AK598" s="137"/>
      <c r="AL598" s="137"/>
    </row>
    <row r="599" spans="1:38" ht="15.75"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c r="AA599" s="137"/>
      <c r="AB599" s="137"/>
      <c r="AC599" s="137"/>
      <c r="AD599" s="137"/>
      <c r="AE599" s="137"/>
      <c r="AF599" s="137"/>
      <c r="AG599" s="137"/>
      <c r="AH599" s="137"/>
      <c r="AI599" s="137"/>
      <c r="AJ599" s="137"/>
      <c r="AK599" s="137"/>
      <c r="AL599" s="137"/>
    </row>
    <row r="600" spans="1:38" ht="15.75"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c r="AA600" s="137"/>
      <c r="AB600" s="137"/>
      <c r="AC600" s="137"/>
      <c r="AD600" s="137"/>
      <c r="AE600" s="137"/>
      <c r="AF600" s="137"/>
      <c r="AG600" s="137"/>
      <c r="AH600" s="137"/>
      <c r="AI600" s="137"/>
      <c r="AJ600" s="137"/>
      <c r="AK600" s="137"/>
      <c r="AL600" s="137"/>
    </row>
    <row r="601" spans="1:38" ht="15.75"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c r="AA601" s="137"/>
      <c r="AB601" s="137"/>
      <c r="AC601" s="137"/>
      <c r="AD601" s="137"/>
      <c r="AE601" s="137"/>
      <c r="AF601" s="137"/>
      <c r="AG601" s="137"/>
      <c r="AH601" s="137"/>
      <c r="AI601" s="137"/>
      <c r="AJ601" s="137"/>
      <c r="AK601" s="137"/>
      <c r="AL601" s="137"/>
    </row>
    <row r="602" spans="1:38" ht="15.75"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c r="AA602" s="137"/>
      <c r="AB602" s="137"/>
      <c r="AC602" s="137"/>
      <c r="AD602" s="137"/>
      <c r="AE602" s="137"/>
      <c r="AF602" s="137"/>
      <c r="AG602" s="137"/>
      <c r="AH602" s="137"/>
      <c r="AI602" s="137"/>
      <c r="AJ602" s="137"/>
      <c r="AK602" s="137"/>
      <c r="AL602" s="137"/>
    </row>
    <row r="603" spans="1:38" ht="15.75"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c r="AA603" s="137"/>
      <c r="AB603" s="137"/>
      <c r="AC603" s="137"/>
      <c r="AD603" s="137"/>
      <c r="AE603" s="137"/>
      <c r="AF603" s="137"/>
      <c r="AG603" s="137"/>
      <c r="AH603" s="137"/>
      <c r="AI603" s="137"/>
      <c r="AJ603" s="137"/>
      <c r="AK603" s="137"/>
      <c r="AL603" s="137"/>
    </row>
    <row r="604" spans="1:38" ht="15.75"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c r="AA604" s="137"/>
      <c r="AB604" s="137"/>
      <c r="AC604" s="137"/>
      <c r="AD604" s="137"/>
      <c r="AE604" s="137"/>
      <c r="AF604" s="137"/>
      <c r="AG604" s="137"/>
      <c r="AH604" s="137"/>
      <c r="AI604" s="137"/>
      <c r="AJ604" s="137"/>
      <c r="AK604" s="137"/>
      <c r="AL604" s="137"/>
    </row>
    <row r="605" spans="1:38" ht="15.75"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c r="AA605" s="137"/>
      <c r="AB605" s="137"/>
      <c r="AC605" s="137"/>
      <c r="AD605" s="137"/>
      <c r="AE605" s="137"/>
      <c r="AF605" s="137"/>
      <c r="AG605" s="137"/>
      <c r="AH605" s="137"/>
      <c r="AI605" s="137"/>
      <c r="AJ605" s="137"/>
      <c r="AK605" s="137"/>
      <c r="AL605" s="137"/>
    </row>
    <row r="606" spans="1:38" ht="15.75"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c r="AA606" s="137"/>
      <c r="AB606" s="137"/>
      <c r="AC606" s="137"/>
      <c r="AD606" s="137"/>
      <c r="AE606" s="137"/>
      <c r="AF606" s="137"/>
      <c r="AG606" s="137"/>
      <c r="AH606" s="137"/>
      <c r="AI606" s="137"/>
      <c r="AJ606" s="137"/>
      <c r="AK606" s="137"/>
      <c r="AL606" s="137"/>
    </row>
    <row r="607" spans="1:38" ht="15.75"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c r="AA607" s="137"/>
      <c r="AB607" s="137"/>
      <c r="AC607" s="137"/>
      <c r="AD607" s="137"/>
      <c r="AE607" s="137"/>
      <c r="AF607" s="137"/>
      <c r="AG607" s="137"/>
      <c r="AH607" s="137"/>
      <c r="AI607" s="137"/>
      <c r="AJ607" s="137"/>
      <c r="AK607" s="137"/>
      <c r="AL607" s="137"/>
    </row>
    <row r="608" spans="1:38" ht="15.75"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c r="AA608" s="137"/>
      <c r="AB608" s="137"/>
      <c r="AC608" s="137"/>
      <c r="AD608" s="137"/>
      <c r="AE608" s="137"/>
      <c r="AF608" s="137"/>
      <c r="AG608" s="137"/>
      <c r="AH608" s="137"/>
      <c r="AI608" s="137"/>
      <c r="AJ608" s="137"/>
      <c r="AK608" s="137"/>
      <c r="AL608" s="137"/>
    </row>
    <row r="609" spans="1:38" ht="15.75"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c r="AA609" s="137"/>
      <c r="AB609" s="137"/>
      <c r="AC609" s="137"/>
      <c r="AD609" s="137"/>
      <c r="AE609" s="137"/>
      <c r="AF609" s="137"/>
      <c r="AG609" s="137"/>
      <c r="AH609" s="137"/>
      <c r="AI609" s="137"/>
      <c r="AJ609" s="137"/>
      <c r="AK609" s="137"/>
      <c r="AL609" s="137"/>
    </row>
    <row r="610" spans="1:38" ht="15.75"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c r="AA610" s="137"/>
      <c r="AB610" s="137"/>
      <c r="AC610" s="137"/>
      <c r="AD610" s="137"/>
      <c r="AE610" s="137"/>
      <c r="AF610" s="137"/>
      <c r="AG610" s="137"/>
      <c r="AH610" s="137"/>
      <c r="AI610" s="137"/>
      <c r="AJ610" s="137"/>
      <c r="AK610" s="137"/>
      <c r="AL610" s="137"/>
    </row>
    <row r="611" spans="1:38" ht="15.75"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c r="AA611" s="137"/>
      <c r="AB611" s="137"/>
      <c r="AC611" s="137"/>
      <c r="AD611" s="137"/>
      <c r="AE611" s="137"/>
      <c r="AF611" s="137"/>
      <c r="AG611" s="137"/>
      <c r="AH611" s="137"/>
      <c r="AI611" s="137"/>
      <c r="AJ611" s="137"/>
      <c r="AK611" s="137"/>
      <c r="AL611" s="137"/>
    </row>
    <row r="612" spans="1:38" ht="15.75"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c r="AA612" s="137"/>
      <c r="AB612" s="137"/>
      <c r="AC612" s="137"/>
      <c r="AD612" s="137"/>
      <c r="AE612" s="137"/>
      <c r="AF612" s="137"/>
      <c r="AG612" s="137"/>
      <c r="AH612" s="137"/>
      <c r="AI612" s="137"/>
      <c r="AJ612" s="137"/>
      <c r="AK612" s="137"/>
      <c r="AL612" s="137"/>
    </row>
    <row r="613" spans="1:38" ht="15.75"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c r="AA613" s="137"/>
      <c r="AB613" s="137"/>
      <c r="AC613" s="137"/>
      <c r="AD613" s="137"/>
      <c r="AE613" s="137"/>
      <c r="AF613" s="137"/>
      <c r="AG613" s="137"/>
      <c r="AH613" s="137"/>
      <c r="AI613" s="137"/>
      <c r="AJ613" s="137"/>
      <c r="AK613" s="137"/>
      <c r="AL613" s="137"/>
    </row>
    <row r="614" spans="1:38" ht="15.75"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c r="AA614" s="137"/>
      <c r="AB614" s="137"/>
      <c r="AC614" s="137"/>
      <c r="AD614" s="137"/>
      <c r="AE614" s="137"/>
      <c r="AF614" s="137"/>
      <c r="AG614" s="137"/>
      <c r="AH614" s="137"/>
      <c r="AI614" s="137"/>
      <c r="AJ614" s="137"/>
      <c r="AK614" s="137"/>
      <c r="AL614" s="137"/>
    </row>
    <row r="615" spans="1:38" ht="15.75"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c r="AA615" s="137"/>
      <c r="AB615" s="137"/>
      <c r="AC615" s="137"/>
      <c r="AD615" s="137"/>
      <c r="AE615" s="137"/>
      <c r="AF615" s="137"/>
      <c r="AG615" s="137"/>
      <c r="AH615" s="137"/>
      <c r="AI615" s="137"/>
      <c r="AJ615" s="137"/>
      <c r="AK615" s="137"/>
      <c r="AL615" s="137"/>
    </row>
    <row r="616" spans="1:38" ht="15.75"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c r="AA616" s="137"/>
      <c r="AB616" s="137"/>
      <c r="AC616" s="137"/>
      <c r="AD616" s="137"/>
      <c r="AE616" s="137"/>
      <c r="AF616" s="137"/>
      <c r="AG616" s="137"/>
      <c r="AH616" s="137"/>
      <c r="AI616" s="137"/>
      <c r="AJ616" s="137"/>
      <c r="AK616" s="137"/>
      <c r="AL616" s="137"/>
    </row>
    <row r="617" spans="1:38" ht="15.75"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c r="AA617" s="137"/>
      <c r="AB617" s="137"/>
      <c r="AC617" s="137"/>
      <c r="AD617" s="137"/>
      <c r="AE617" s="137"/>
      <c r="AF617" s="137"/>
      <c r="AG617" s="137"/>
      <c r="AH617" s="137"/>
      <c r="AI617" s="137"/>
      <c r="AJ617" s="137"/>
      <c r="AK617" s="137"/>
      <c r="AL617" s="137"/>
    </row>
    <row r="618" spans="1:38" ht="15.75"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c r="AA618" s="137"/>
      <c r="AB618" s="137"/>
      <c r="AC618" s="137"/>
      <c r="AD618" s="137"/>
      <c r="AE618" s="137"/>
      <c r="AF618" s="137"/>
      <c r="AG618" s="137"/>
      <c r="AH618" s="137"/>
      <c r="AI618" s="137"/>
      <c r="AJ618" s="137"/>
      <c r="AK618" s="137"/>
      <c r="AL618" s="137"/>
    </row>
    <row r="619" spans="1:38" ht="15.75"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c r="AA619" s="137"/>
      <c r="AB619" s="137"/>
      <c r="AC619" s="137"/>
      <c r="AD619" s="137"/>
      <c r="AE619" s="137"/>
      <c r="AF619" s="137"/>
      <c r="AG619" s="137"/>
      <c r="AH619" s="137"/>
      <c r="AI619" s="137"/>
      <c r="AJ619" s="137"/>
      <c r="AK619" s="137"/>
      <c r="AL619" s="137"/>
    </row>
    <row r="620" spans="1:38" ht="15.75"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c r="AA620" s="137"/>
      <c r="AB620" s="137"/>
      <c r="AC620" s="137"/>
      <c r="AD620" s="137"/>
      <c r="AE620" s="137"/>
      <c r="AF620" s="137"/>
      <c r="AG620" s="137"/>
      <c r="AH620" s="137"/>
      <c r="AI620" s="137"/>
      <c r="AJ620" s="137"/>
      <c r="AK620" s="137"/>
      <c r="AL620" s="137"/>
    </row>
    <row r="621" spans="1:38" ht="15.75"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c r="AA621" s="137"/>
      <c r="AB621" s="137"/>
      <c r="AC621" s="137"/>
      <c r="AD621" s="137"/>
      <c r="AE621" s="137"/>
      <c r="AF621" s="137"/>
      <c r="AG621" s="137"/>
      <c r="AH621" s="137"/>
      <c r="AI621" s="137"/>
      <c r="AJ621" s="137"/>
      <c r="AK621" s="137"/>
      <c r="AL621" s="137"/>
    </row>
    <row r="622" spans="1:38" ht="15.75"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c r="AA622" s="137"/>
      <c r="AB622" s="137"/>
      <c r="AC622" s="137"/>
      <c r="AD622" s="137"/>
      <c r="AE622" s="137"/>
      <c r="AF622" s="137"/>
      <c r="AG622" s="137"/>
      <c r="AH622" s="137"/>
      <c r="AI622" s="137"/>
      <c r="AJ622" s="137"/>
      <c r="AK622" s="137"/>
      <c r="AL622" s="137"/>
    </row>
    <row r="623" spans="1:38" ht="15.75"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c r="AA623" s="137"/>
      <c r="AB623" s="137"/>
      <c r="AC623" s="137"/>
      <c r="AD623" s="137"/>
      <c r="AE623" s="137"/>
      <c r="AF623" s="137"/>
      <c r="AG623" s="137"/>
      <c r="AH623" s="137"/>
      <c r="AI623" s="137"/>
      <c r="AJ623" s="137"/>
      <c r="AK623" s="137"/>
      <c r="AL623" s="137"/>
    </row>
    <row r="624" spans="1:38" ht="15.75"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c r="AA624" s="137"/>
      <c r="AB624" s="137"/>
      <c r="AC624" s="137"/>
      <c r="AD624" s="137"/>
      <c r="AE624" s="137"/>
      <c r="AF624" s="137"/>
      <c r="AG624" s="137"/>
      <c r="AH624" s="137"/>
      <c r="AI624" s="137"/>
      <c r="AJ624" s="137"/>
      <c r="AK624" s="137"/>
      <c r="AL624" s="137"/>
    </row>
    <row r="625" spans="1:38" ht="15.75"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c r="AA625" s="137"/>
      <c r="AB625" s="137"/>
      <c r="AC625" s="137"/>
      <c r="AD625" s="137"/>
      <c r="AE625" s="137"/>
      <c r="AF625" s="137"/>
      <c r="AG625" s="137"/>
      <c r="AH625" s="137"/>
      <c r="AI625" s="137"/>
      <c r="AJ625" s="137"/>
      <c r="AK625" s="137"/>
      <c r="AL625" s="137"/>
    </row>
    <row r="626" spans="1:38" ht="15.75"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c r="AA626" s="137"/>
      <c r="AB626" s="137"/>
      <c r="AC626" s="137"/>
      <c r="AD626" s="137"/>
      <c r="AE626" s="137"/>
      <c r="AF626" s="137"/>
      <c r="AG626" s="137"/>
      <c r="AH626" s="137"/>
      <c r="AI626" s="137"/>
      <c r="AJ626" s="137"/>
      <c r="AK626" s="137"/>
      <c r="AL626" s="137"/>
    </row>
    <row r="627" spans="1:38" ht="15.75"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c r="AA627" s="137"/>
      <c r="AB627" s="137"/>
      <c r="AC627" s="137"/>
      <c r="AD627" s="137"/>
      <c r="AE627" s="137"/>
      <c r="AF627" s="137"/>
      <c r="AG627" s="137"/>
      <c r="AH627" s="137"/>
      <c r="AI627" s="137"/>
      <c r="AJ627" s="137"/>
      <c r="AK627" s="137"/>
      <c r="AL627" s="137"/>
    </row>
    <row r="628" spans="1:38" ht="15.75"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c r="AA628" s="137"/>
      <c r="AB628" s="137"/>
      <c r="AC628" s="137"/>
      <c r="AD628" s="137"/>
      <c r="AE628" s="137"/>
      <c r="AF628" s="137"/>
      <c r="AG628" s="137"/>
      <c r="AH628" s="137"/>
      <c r="AI628" s="137"/>
      <c r="AJ628" s="137"/>
      <c r="AK628" s="137"/>
      <c r="AL628" s="137"/>
    </row>
    <row r="629" spans="1:38" ht="15.75"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c r="AA629" s="137"/>
      <c r="AB629" s="137"/>
      <c r="AC629" s="137"/>
      <c r="AD629" s="137"/>
      <c r="AE629" s="137"/>
      <c r="AF629" s="137"/>
      <c r="AG629" s="137"/>
      <c r="AH629" s="137"/>
      <c r="AI629" s="137"/>
      <c r="AJ629" s="137"/>
      <c r="AK629" s="137"/>
      <c r="AL629" s="137"/>
    </row>
    <row r="630" spans="1:38" ht="15.75"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c r="AA630" s="137"/>
      <c r="AB630" s="137"/>
      <c r="AC630" s="137"/>
      <c r="AD630" s="137"/>
      <c r="AE630" s="137"/>
      <c r="AF630" s="137"/>
      <c r="AG630" s="137"/>
      <c r="AH630" s="137"/>
      <c r="AI630" s="137"/>
      <c r="AJ630" s="137"/>
      <c r="AK630" s="137"/>
      <c r="AL630" s="137"/>
    </row>
    <row r="631" spans="1:38" ht="15.75"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c r="AA631" s="137"/>
      <c r="AB631" s="137"/>
      <c r="AC631" s="137"/>
      <c r="AD631" s="137"/>
      <c r="AE631" s="137"/>
      <c r="AF631" s="137"/>
      <c r="AG631" s="137"/>
      <c r="AH631" s="137"/>
      <c r="AI631" s="137"/>
      <c r="AJ631" s="137"/>
      <c r="AK631" s="137"/>
      <c r="AL631" s="137"/>
    </row>
    <row r="632" spans="1:38" ht="15.75"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c r="AA632" s="137"/>
      <c r="AB632" s="137"/>
      <c r="AC632" s="137"/>
      <c r="AD632" s="137"/>
      <c r="AE632" s="137"/>
      <c r="AF632" s="137"/>
      <c r="AG632" s="137"/>
      <c r="AH632" s="137"/>
      <c r="AI632" s="137"/>
      <c r="AJ632" s="137"/>
      <c r="AK632" s="137"/>
      <c r="AL632" s="137"/>
    </row>
    <row r="633" spans="1:38" ht="15.75"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c r="AA633" s="137"/>
      <c r="AB633" s="137"/>
      <c r="AC633" s="137"/>
      <c r="AD633" s="137"/>
      <c r="AE633" s="137"/>
      <c r="AF633" s="137"/>
      <c r="AG633" s="137"/>
      <c r="AH633" s="137"/>
      <c r="AI633" s="137"/>
      <c r="AJ633" s="137"/>
      <c r="AK633" s="137"/>
      <c r="AL633" s="137"/>
    </row>
    <row r="634" spans="1:38" ht="15.75"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c r="AA634" s="137"/>
      <c r="AB634" s="137"/>
      <c r="AC634" s="137"/>
      <c r="AD634" s="137"/>
      <c r="AE634" s="137"/>
      <c r="AF634" s="137"/>
      <c r="AG634" s="137"/>
      <c r="AH634" s="137"/>
      <c r="AI634" s="137"/>
      <c r="AJ634" s="137"/>
      <c r="AK634" s="137"/>
      <c r="AL634" s="137"/>
    </row>
    <row r="635" spans="1:38" ht="15.75"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c r="AA635" s="137"/>
      <c r="AB635" s="137"/>
      <c r="AC635" s="137"/>
      <c r="AD635" s="137"/>
      <c r="AE635" s="137"/>
      <c r="AF635" s="137"/>
      <c r="AG635" s="137"/>
      <c r="AH635" s="137"/>
      <c r="AI635" s="137"/>
      <c r="AJ635" s="137"/>
      <c r="AK635" s="137"/>
      <c r="AL635" s="137"/>
    </row>
    <row r="636" spans="1:38" ht="15.75"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c r="AA636" s="137"/>
      <c r="AB636" s="137"/>
      <c r="AC636" s="137"/>
      <c r="AD636" s="137"/>
      <c r="AE636" s="137"/>
      <c r="AF636" s="137"/>
      <c r="AG636" s="137"/>
      <c r="AH636" s="137"/>
      <c r="AI636" s="137"/>
      <c r="AJ636" s="137"/>
      <c r="AK636" s="137"/>
      <c r="AL636" s="137"/>
    </row>
    <row r="637" spans="1:38" ht="15.75"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c r="AA637" s="137"/>
      <c r="AB637" s="137"/>
      <c r="AC637" s="137"/>
      <c r="AD637" s="137"/>
      <c r="AE637" s="137"/>
      <c r="AF637" s="137"/>
      <c r="AG637" s="137"/>
      <c r="AH637" s="137"/>
      <c r="AI637" s="137"/>
      <c r="AJ637" s="137"/>
      <c r="AK637" s="137"/>
      <c r="AL637" s="137"/>
    </row>
    <row r="638" spans="1:38" ht="15.75"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c r="AA638" s="137"/>
      <c r="AB638" s="137"/>
      <c r="AC638" s="137"/>
      <c r="AD638" s="137"/>
      <c r="AE638" s="137"/>
      <c r="AF638" s="137"/>
      <c r="AG638" s="137"/>
      <c r="AH638" s="137"/>
      <c r="AI638" s="137"/>
      <c r="AJ638" s="137"/>
      <c r="AK638" s="137"/>
      <c r="AL638" s="137"/>
    </row>
    <row r="639" spans="1:38" ht="15.75"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c r="AA639" s="137"/>
      <c r="AB639" s="137"/>
      <c r="AC639" s="137"/>
      <c r="AD639" s="137"/>
      <c r="AE639" s="137"/>
      <c r="AF639" s="137"/>
      <c r="AG639" s="137"/>
      <c r="AH639" s="137"/>
      <c r="AI639" s="137"/>
      <c r="AJ639" s="137"/>
      <c r="AK639" s="137"/>
      <c r="AL639" s="137"/>
    </row>
    <row r="640" spans="1:38" ht="15.75"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c r="AA640" s="137"/>
      <c r="AB640" s="137"/>
      <c r="AC640" s="137"/>
      <c r="AD640" s="137"/>
      <c r="AE640" s="137"/>
      <c r="AF640" s="137"/>
      <c r="AG640" s="137"/>
      <c r="AH640" s="137"/>
      <c r="AI640" s="137"/>
      <c r="AJ640" s="137"/>
      <c r="AK640" s="137"/>
      <c r="AL640" s="137"/>
    </row>
    <row r="641" spans="1:38" ht="15.75"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c r="AA641" s="137"/>
      <c r="AB641" s="137"/>
      <c r="AC641" s="137"/>
      <c r="AD641" s="137"/>
      <c r="AE641" s="137"/>
      <c r="AF641" s="137"/>
      <c r="AG641" s="137"/>
      <c r="AH641" s="137"/>
      <c r="AI641" s="137"/>
      <c r="AJ641" s="137"/>
      <c r="AK641" s="137"/>
      <c r="AL641" s="137"/>
    </row>
    <row r="642" spans="1:38" ht="15.75"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c r="AA642" s="137"/>
      <c r="AB642" s="137"/>
      <c r="AC642" s="137"/>
      <c r="AD642" s="137"/>
      <c r="AE642" s="137"/>
      <c r="AF642" s="137"/>
      <c r="AG642" s="137"/>
      <c r="AH642" s="137"/>
      <c r="AI642" s="137"/>
      <c r="AJ642" s="137"/>
      <c r="AK642" s="137"/>
      <c r="AL642" s="137"/>
    </row>
    <row r="643" spans="1:38" ht="15.75" customHeight="1">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c r="AA643" s="137"/>
      <c r="AB643" s="137"/>
      <c r="AC643" s="137"/>
      <c r="AD643" s="137"/>
      <c r="AE643" s="137"/>
      <c r="AF643" s="137"/>
      <c r="AG643" s="137"/>
      <c r="AH643" s="137"/>
      <c r="AI643" s="137"/>
      <c r="AJ643" s="137"/>
      <c r="AK643" s="137"/>
      <c r="AL643" s="137"/>
    </row>
    <row r="644" spans="1:38" ht="15.75" customHeight="1">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c r="AA644" s="137"/>
      <c r="AB644" s="137"/>
      <c r="AC644" s="137"/>
      <c r="AD644" s="137"/>
      <c r="AE644" s="137"/>
      <c r="AF644" s="137"/>
      <c r="AG644" s="137"/>
      <c r="AH644" s="137"/>
      <c r="AI644" s="137"/>
      <c r="AJ644" s="137"/>
      <c r="AK644" s="137"/>
      <c r="AL644" s="137"/>
    </row>
    <row r="645" spans="1:38" ht="15.75" customHeight="1">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c r="AA645" s="137"/>
      <c r="AB645" s="137"/>
      <c r="AC645" s="137"/>
      <c r="AD645" s="137"/>
      <c r="AE645" s="137"/>
      <c r="AF645" s="137"/>
      <c r="AG645" s="137"/>
      <c r="AH645" s="137"/>
      <c r="AI645" s="137"/>
      <c r="AJ645" s="137"/>
      <c r="AK645" s="137"/>
      <c r="AL645" s="137"/>
    </row>
    <row r="646" spans="1:38" ht="15.75" customHeight="1">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c r="AA646" s="137"/>
      <c r="AB646" s="137"/>
      <c r="AC646" s="137"/>
      <c r="AD646" s="137"/>
      <c r="AE646" s="137"/>
      <c r="AF646" s="137"/>
      <c r="AG646" s="137"/>
      <c r="AH646" s="137"/>
      <c r="AI646" s="137"/>
      <c r="AJ646" s="137"/>
      <c r="AK646" s="137"/>
      <c r="AL646" s="137"/>
    </row>
    <row r="647" spans="1:38" ht="15.75" customHeight="1">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c r="AA647" s="137"/>
      <c r="AB647" s="137"/>
      <c r="AC647" s="137"/>
      <c r="AD647" s="137"/>
      <c r="AE647" s="137"/>
      <c r="AF647" s="137"/>
      <c r="AG647" s="137"/>
      <c r="AH647" s="137"/>
      <c r="AI647" s="137"/>
      <c r="AJ647" s="137"/>
      <c r="AK647" s="137"/>
      <c r="AL647" s="137"/>
    </row>
    <row r="648" spans="1:38" ht="15.75" customHeight="1">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c r="AA648" s="137"/>
      <c r="AB648" s="137"/>
      <c r="AC648" s="137"/>
      <c r="AD648" s="137"/>
      <c r="AE648" s="137"/>
      <c r="AF648" s="137"/>
      <c r="AG648" s="137"/>
      <c r="AH648" s="137"/>
      <c r="AI648" s="137"/>
      <c r="AJ648" s="137"/>
      <c r="AK648" s="137"/>
      <c r="AL648" s="137"/>
    </row>
    <row r="649" spans="1:38" ht="15.75" customHeight="1">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c r="AA649" s="137"/>
      <c r="AB649" s="137"/>
      <c r="AC649" s="137"/>
      <c r="AD649" s="137"/>
      <c r="AE649" s="137"/>
      <c r="AF649" s="137"/>
      <c r="AG649" s="137"/>
      <c r="AH649" s="137"/>
      <c r="AI649" s="137"/>
      <c r="AJ649" s="137"/>
      <c r="AK649" s="137"/>
      <c r="AL649" s="137"/>
    </row>
    <row r="650" spans="1:38" ht="15.75" customHeight="1">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c r="AA650" s="137"/>
      <c r="AB650" s="137"/>
      <c r="AC650" s="137"/>
      <c r="AD650" s="137"/>
      <c r="AE650" s="137"/>
      <c r="AF650" s="137"/>
      <c r="AG650" s="137"/>
      <c r="AH650" s="137"/>
      <c r="AI650" s="137"/>
      <c r="AJ650" s="137"/>
      <c r="AK650" s="137"/>
      <c r="AL650" s="137"/>
    </row>
    <row r="651" spans="1:38" ht="15.75" customHeight="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c r="AA651" s="137"/>
      <c r="AB651" s="137"/>
      <c r="AC651" s="137"/>
      <c r="AD651" s="137"/>
      <c r="AE651" s="137"/>
      <c r="AF651" s="137"/>
      <c r="AG651" s="137"/>
      <c r="AH651" s="137"/>
      <c r="AI651" s="137"/>
      <c r="AJ651" s="137"/>
      <c r="AK651" s="137"/>
      <c r="AL651" s="137"/>
    </row>
    <row r="652" spans="1:38" ht="15.75" customHeight="1">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c r="AA652" s="137"/>
      <c r="AB652" s="137"/>
      <c r="AC652" s="137"/>
      <c r="AD652" s="137"/>
      <c r="AE652" s="137"/>
      <c r="AF652" s="137"/>
      <c r="AG652" s="137"/>
      <c r="AH652" s="137"/>
      <c r="AI652" s="137"/>
      <c r="AJ652" s="137"/>
      <c r="AK652" s="137"/>
      <c r="AL652" s="137"/>
    </row>
    <row r="653" spans="1:38" ht="15.75" customHeight="1">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c r="AA653" s="137"/>
      <c r="AB653" s="137"/>
      <c r="AC653" s="137"/>
      <c r="AD653" s="137"/>
      <c r="AE653" s="137"/>
      <c r="AF653" s="137"/>
      <c r="AG653" s="137"/>
      <c r="AH653" s="137"/>
      <c r="AI653" s="137"/>
      <c r="AJ653" s="137"/>
      <c r="AK653" s="137"/>
      <c r="AL653" s="137"/>
    </row>
    <row r="654" spans="1:38" ht="15.75" customHeight="1">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c r="AA654" s="137"/>
      <c r="AB654" s="137"/>
      <c r="AC654" s="137"/>
      <c r="AD654" s="137"/>
      <c r="AE654" s="137"/>
      <c r="AF654" s="137"/>
      <c r="AG654" s="137"/>
      <c r="AH654" s="137"/>
      <c r="AI654" s="137"/>
      <c r="AJ654" s="137"/>
      <c r="AK654" s="137"/>
      <c r="AL654" s="137"/>
    </row>
    <row r="655" spans="1:38" ht="15.75" customHeight="1">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c r="AA655" s="137"/>
      <c r="AB655" s="137"/>
      <c r="AC655" s="137"/>
      <c r="AD655" s="137"/>
      <c r="AE655" s="137"/>
      <c r="AF655" s="137"/>
      <c r="AG655" s="137"/>
      <c r="AH655" s="137"/>
      <c r="AI655" s="137"/>
      <c r="AJ655" s="137"/>
      <c r="AK655" s="137"/>
      <c r="AL655" s="137"/>
    </row>
    <row r="656" spans="1:38" ht="15.75" customHeight="1">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c r="AA656" s="137"/>
      <c r="AB656" s="137"/>
      <c r="AC656" s="137"/>
      <c r="AD656" s="137"/>
      <c r="AE656" s="137"/>
      <c r="AF656" s="137"/>
      <c r="AG656" s="137"/>
      <c r="AH656" s="137"/>
      <c r="AI656" s="137"/>
      <c r="AJ656" s="137"/>
      <c r="AK656" s="137"/>
      <c r="AL656" s="137"/>
    </row>
    <row r="657" spans="1:38" ht="15.75" customHeight="1">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c r="AA657" s="137"/>
      <c r="AB657" s="137"/>
      <c r="AC657" s="137"/>
      <c r="AD657" s="137"/>
      <c r="AE657" s="137"/>
      <c r="AF657" s="137"/>
      <c r="AG657" s="137"/>
      <c r="AH657" s="137"/>
      <c r="AI657" s="137"/>
      <c r="AJ657" s="137"/>
      <c r="AK657" s="137"/>
      <c r="AL657" s="137"/>
    </row>
    <row r="658" spans="1:38" ht="15.75" customHeight="1">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c r="AA658" s="137"/>
      <c r="AB658" s="137"/>
      <c r="AC658" s="137"/>
      <c r="AD658" s="137"/>
      <c r="AE658" s="137"/>
      <c r="AF658" s="137"/>
      <c r="AG658" s="137"/>
      <c r="AH658" s="137"/>
      <c r="AI658" s="137"/>
      <c r="AJ658" s="137"/>
      <c r="AK658" s="137"/>
      <c r="AL658" s="137"/>
    </row>
    <row r="659" spans="1:38" ht="15.75" customHeight="1">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c r="AA659" s="137"/>
      <c r="AB659" s="137"/>
      <c r="AC659" s="137"/>
      <c r="AD659" s="137"/>
      <c r="AE659" s="137"/>
      <c r="AF659" s="137"/>
      <c r="AG659" s="137"/>
      <c r="AH659" s="137"/>
      <c r="AI659" s="137"/>
      <c r="AJ659" s="137"/>
      <c r="AK659" s="137"/>
      <c r="AL659" s="137"/>
    </row>
    <row r="660" spans="1:38" ht="15.75" customHeight="1">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c r="AA660" s="137"/>
      <c r="AB660" s="137"/>
      <c r="AC660" s="137"/>
      <c r="AD660" s="137"/>
      <c r="AE660" s="137"/>
      <c r="AF660" s="137"/>
      <c r="AG660" s="137"/>
      <c r="AH660" s="137"/>
      <c r="AI660" s="137"/>
      <c r="AJ660" s="137"/>
      <c r="AK660" s="137"/>
      <c r="AL660" s="137"/>
    </row>
    <row r="661" spans="1:38" ht="15.75" customHeight="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c r="AA661" s="137"/>
      <c r="AB661" s="137"/>
      <c r="AC661" s="137"/>
      <c r="AD661" s="137"/>
      <c r="AE661" s="137"/>
      <c r="AF661" s="137"/>
      <c r="AG661" s="137"/>
      <c r="AH661" s="137"/>
      <c r="AI661" s="137"/>
      <c r="AJ661" s="137"/>
      <c r="AK661" s="137"/>
      <c r="AL661" s="137"/>
    </row>
    <row r="662" spans="1:38" ht="15.75" customHeight="1">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c r="AA662" s="137"/>
      <c r="AB662" s="137"/>
      <c r="AC662" s="137"/>
      <c r="AD662" s="137"/>
      <c r="AE662" s="137"/>
      <c r="AF662" s="137"/>
      <c r="AG662" s="137"/>
      <c r="AH662" s="137"/>
      <c r="AI662" s="137"/>
      <c r="AJ662" s="137"/>
      <c r="AK662" s="137"/>
      <c r="AL662" s="137"/>
    </row>
    <row r="663" spans="1:38" ht="15.75" customHeight="1">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c r="AA663" s="137"/>
      <c r="AB663" s="137"/>
      <c r="AC663" s="137"/>
      <c r="AD663" s="137"/>
      <c r="AE663" s="137"/>
      <c r="AF663" s="137"/>
      <c r="AG663" s="137"/>
      <c r="AH663" s="137"/>
      <c r="AI663" s="137"/>
      <c r="AJ663" s="137"/>
      <c r="AK663" s="137"/>
      <c r="AL663" s="137"/>
    </row>
    <row r="664" spans="1:38" ht="15.75" customHeight="1">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c r="AA664" s="137"/>
      <c r="AB664" s="137"/>
      <c r="AC664" s="137"/>
      <c r="AD664" s="137"/>
      <c r="AE664" s="137"/>
      <c r="AF664" s="137"/>
      <c r="AG664" s="137"/>
      <c r="AH664" s="137"/>
      <c r="AI664" s="137"/>
      <c r="AJ664" s="137"/>
      <c r="AK664" s="137"/>
      <c r="AL664" s="137"/>
    </row>
    <row r="665" spans="1:38" ht="15.75" customHeight="1">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c r="AA665" s="137"/>
      <c r="AB665" s="137"/>
      <c r="AC665" s="137"/>
      <c r="AD665" s="137"/>
      <c r="AE665" s="137"/>
      <c r="AF665" s="137"/>
      <c r="AG665" s="137"/>
      <c r="AH665" s="137"/>
      <c r="AI665" s="137"/>
      <c r="AJ665" s="137"/>
      <c r="AK665" s="137"/>
      <c r="AL665" s="137"/>
    </row>
    <row r="666" spans="1:38" ht="15.75" customHeight="1">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c r="AA666" s="137"/>
      <c r="AB666" s="137"/>
      <c r="AC666" s="137"/>
      <c r="AD666" s="137"/>
      <c r="AE666" s="137"/>
      <c r="AF666" s="137"/>
      <c r="AG666" s="137"/>
      <c r="AH666" s="137"/>
      <c r="AI666" s="137"/>
      <c r="AJ666" s="137"/>
      <c r="AK666" s="137"/>
      <c r="AL666" s="137"/>
    </row>
    <row r="667" spans="1:38" ht="15.75" customHeight="1">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c r="AA667" s="137"/>
      <c r="AB667" s="137"/>
      <c r="AC667" s="137"/>
      <c r="AD667" s="137"/>
      <c r="AE667" s="137"/>
      <c r="AF667" s="137"/>
      <c r="AG667" s="137"/>
      <c r="AH667" s="137"/>
      <c r="AI667" s="137"/>
      <c r="AJ667" s="137"/>
      <c r="AK667" s="137"/>
      <c r="AL667" s="137"/>
    </row>
    <row r="668" spans="1:38" ht="15.75" customHeight="1">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c r="AA668" s="137"/>
      <c r="AB668" s="137"/>
      <c r="AC668" s="137"/>
      <c r="AD668" s="137"/>
      <c r="AE668" s="137"/>
      <c r="AF668" s="137"/>
      <c r="AG668" s="137"/>
      <c r="AH668" s="137"/>
      <c r="AI668" s="137"/>
      <c r="AJ668" s="137"/>
      <c r="AK668" s="137"/>
      <c r="AL668" s="137"/>
    </row>
    <row r="669" spans="1:38" ht="15.75" customHeight="1">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c r="AA669" s="137"/>
      <c r="AB669" s="137"/>
      <c r="AC669" s="137"/>
      <c r="AD669" s="137"/>
      <c r="AE669" s="137"/>
      <c r="AF669" s="137"/>
      <c r="AG669" s="137"/>
      <c r="AH669" s="137"/>
      <c r="AI669" s="137"/>
      <c r="AJ669" s="137"/>
      <c r="AK669" s="137"/>
      <c r="AL669" s="137"/>
    </row>
    <row r="670" spans="1:38" ht="15.75" customHeight="1">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c r="AA670" s="137"/>
      <c r="AB670" s="137"/>
      <c r="AC670" s="137"/>
      <c r="AD670" s="137"/>
      <c r="AE670" s="137"/>
      <c r="AF670" s="137"/>
      <c r="AG670" s="137"/>
      <c r="AH670" s="137"/>
      <c r="AI670" s="137"/>
      <c r="AJ670" s="137"/>
      <c r="AK670" s="137"/>
      <c r="AL670" s="137"/>
    </row>
    <row r="671" spans="1:38" ht="15.75" customHeight="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c r="AA671" s="137"/>
      <c r="AB671" s="137"/>
      <c r="AC671" s="137"/>
      <c r="AD671" s="137"/>
      <c r="AE671" s="137"/>
      <c r="AF671" s="137"/>
      <c r="AG671" s="137"/>
      <c r="AH671" s="137"/>
      <c r="AI671" s="137"/>
      <c r="AJ671" s="137"/>
      <c r="AK671" s="137"/>
      <c r="AL671" s="137"/>
    </row>
    <row r="672" spans="1:38" ht="15.75" customHeight="1">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c r="AA672" s="137"/>
      <c r="AB672" s="137"/>
      <c r="AC672" s="137"/>
      <c r="AD672" s="137"/>
      <c r="AE672" s="137"/>
      <c r="AF672" s="137"/>
      <c r="AG672" s="137"/>
      <c r="AH672" s="137"/>
      <c r="AI672" s="137"/>
      <c r="AJ672" s="137"/>
      <c r="AK672" s="137"/>
      <c r="AL672" s="137"/>
    </row>
    <row r="673" spans="1:38" ht="15.75" customHeight="1">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c r="AA673" s="137"/>
      <c r="AB673" s="137"/>
      <c r="AC673" s="137"/>
      <c r="AD673" s="137"/>
      <c r="AE673" s="137"/>
      <c r="AF673" s="137"/>
      <c r="AG673" s="137"/>
      <c r="AH673" s="137"/>
      <c r="AI673" s="137"/>
      <c r="AJ673" s="137"/>
      <c r="AK673" s="137"/>
      <c r="AL673" s="137"/>
    </row>
    <row r="674" spans="1:38" ht="15.75" customHeight="1">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c r="AA674" s="137"/>
      <c r="AB674" s="137"/>
      <c r="AC674" s="137"/>
      <c r="AD674" s="137"/>
      <c r="AE674" s="137"/>
      <c r="AF674" s="137"/>
      <c r="AG674" s="137"/>
      <c r="AH674" s="137"/>
      <c r="AI674" s="137"/>
      <c r="AJ674" s="137"/>
      <c r="AK674" s="137"/>
      <c r="AL674" s="137"/>
    </row>
    <row r="675" spans="1:38" ht="15.75" customHeight="1">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c r="AA675" s="137"/>
      <c r="AB675" s="137"/>
      <c r="AC675" s="137"/>
      <c r="AD675" s="137"/>
      <c r="AE675" s="137"/>
      <c r="AF675" s="137"/>
      <c r="AG675" s="137"/>
      <c r="AH675" s="137"/>
      <c r="AI675" s="137"/>
      <c r="AJ675" s="137"/>
      <c r="AK675" s="137"/>
      <c r="AL675" s="137"/>
    </row>
    <row r="676" spans="1:38" ht="15.75" customHeight="1">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c r="AA676" s="137"/>
      <c r="AB676" s="137"/>
      <c r="AC676" s="137"/>
      <c r="AD676" s="137"/>
      <c r="AE676" s="137"/>
      <c r="AF676" s="137"/>
      <c r="AG676" s="137"/>
      <c r="AH676" s="137"/>
      <c r="AI676" s="137"/>
      <c r="AJ676" s="137"/>
      <c r="AK676" s="137"/>
      <c r="AL676" s="137"/>
    </row>
    <row r="677" spans="1:38" ht="15.75" customHeight="1">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c r="AA677" s="137"/>
      <c r="AB677" s="137"/>
      <c r="AC677" s="137"/>
      <c r="AD677" s="137"/>
      <c r="AE677" s="137"/>
      <c r="AF677" s="137"/>
      <c r="AG677" s="137"/>
      <c r="AH677" s="137"/>
      <c r="AI677" s="137"/>
      <c r="AJ677" s="137"/>
      <c r="AK677" s="137"/>
      <c r="AL677" s="137"/>
    </row>
    <row r="678" spans="1:38" ht="15.75" customHeight="1">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c r="AA678" s="137"/>
      <c r="AB678" s="137"/>
      <c r="AC678" s="137"/>
      <c r="AD678" s="137"/>
      <c r="AE678" s="137"/>
      <c r="AF678" s="137"/>
      <c r="AG678" s="137"/>
      <c r="AH678" s="137"/>
      <c r="AI678" s="137"/>
      <c r="AJ678" s="137"/>
      <c r="AK678" s="137"/>
      <c r="AL678" s="137"/>
    </row>
    <row r="679" spans="1:38" ht="15.75" customHeight="1">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c r="AA679" s="137"/>
      <c r="AB679" s="137"/>
      <c r="AC679" s="137"/>
      <c r="AD679" s="137"/>
      <c r="AE679" s="137"/>
      <c r="AF679" s="137"/>
      <c r="AG679" s="137"/>
      <c r="AH679" s="137"/>
      <c r="AI679" s="137"/>
      <c r="AJ679" s="137"/>
      <c r="AK679" s="137"/>
      <c r="AL679" s="137"/>
    </row>
    <row r="680" spans="1:38" ht="15.75" customHeight="1">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c r="AA680" s="137"/>
      <c r="AB680" s="137"/>
      <c r="AC680" s="137"/>
      <c r="AD680" s="137"/>
      <c r="AE680" s="137"/>
      <c r="AF680" s="137"/>
      <c r="AG680" s="137"/>
      <c r="AH680" s="137"/>
      <c r="AI680" s="137"/>
      <c r="AJ680" s="137"/>
      <c r="AK680" s="137"/>
      <c r="AL680" s="137"/>
    </row>
    <row r="681" spans="1:38" ht="15.75" customHeight="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c r="AA681" s="137"/>
      <c r="AB681" s="137"/>
      <c r="AC681" s="137"/>
      <c r="AD681" s="137"/>
      <c r="AE681" s="137"/>
      <c r="AF681" s="137"/>
      <c r="AG681" s="137"/>
      <c r="AH681" s="137"/>
      <c r="AI681" s="137"/>
      <c r="AJ681" s="137"/>
      <c r="AK681" s="137"/>
      <c r="AL681" s="137"/>
    </row>
    <row r="682" spans="1:38" ht="15.75" customHeight="1">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c r="AA682" s="137"/>
      <c r="AB682" s="137"/>
      <c r="AC682" s="137"/>
      <c r="AD682" s="137"/>
      <c r="AE682" s="137"/>
      <c r="AF682" s="137"/>
      <c r="AG682" s="137"/>
      <c r="AH682" s="137"/>
      <c r="AI682" s="137"/>
      <c r="AJ682" s="137"/>
      <c r="AK682" s="137"/>
      <c r="AL682" s="137"/>
    </row>
    <row r="683" spans="1:38" ht="15.75" customHeight="1">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c r="AA683" s="137"/>
      <c r="AB683" s="137"/>
      <c r="AC683" s="137"/>
      <c r="AD683" s="137"/>
      <c r="AE683" s="137"/>
      <c r="AF683" s="137"/>
      <c r="AG683" s="137"/>
      <c r="AH683" s="137"/>
      <c r="AI683" s="137"/>
      <c r="AJ683" s="137"/>
      <c r="AK683" s="137"/>
      <c r="AL683" s="137"/>
    </row>
    <row r="684" spans="1:38" ht="15.75" customHeight="1">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c r="AA684" s="137"/>
      <c r="AB684" s="137"/>
      <c r="AC684" s="137"/>
      <c r="AD684" s="137"/>
      <c r="AE684" s="137"/>
      <c r="AF684" s="137"/>
      <c r="AG684" s="137"/>
      <c r="AH684" s="137"/>
      <c r="AI684" s="137"/>
      <c r="AJ684" s="137"/>
      <c r="AK684" s="137"/>
      <c r="AL684" s="137"/>
    </row>
    <row r="685" spans="1:38" ht="15.75" customHeight="1">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c r="AA685" s="137"/>
      <c r="AB685" s="137"/>
      <c r="AC685" s="137"/>
      <c r="AD685" s="137"/>
      <c r="AE685" s="137"/>
      <c r="AF685" s="137"/>
      <c r="AG685" s="137"/>
      <c r="AH685" s="137"/>
      <c r="AI685" s="137"/>
      <c r="AJ685" s="137"/>
      <c r="AK685" s="137"/>
      <c r="AL685" s="137"/>
    </row>
    <row r="686" spans="1:38" ht="15.75" customHeight="1">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c r="AA686" s="137"/>
      <c r="AB686" s="137"/>
      <c r="AC686" s="137"/>
      <c r="AD686" s="137"/>
      <c r="AE686" s="137"/>
      <c r="AF686" s="137"/>
      <c r="AG686" s="137"/>
      <c r="AH686" s="137"/>
      <c r="AI686" s="137"/>
      <c r="AJ686" s="137"/>
      <c r="AK686" s="137"/>
      <c r="AL686" s="137"/>
    </row>
    <row r="687" spans="1:38" ht="15.75" customHeight="1">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c r="AA687" s="137"/>
      <c r="AB687" s="137"/>
      <c r="AC687" s="137"/>
      <c r="AD687" s="137"/>
      <c r="AE687" s="137"/>
      <c r="AF687" s="137"/>
      <c r="AG687" s="137"/>
      <c r="AH687" s="137"/>
      <c r="AI687" s="137"/>
      <c r="AJ687" s="137"/>
      <c r="AK687" s="137"/>
      <c r="AL687" s="137"/>
    </row>
    <row r="688" spans="1:38" ht="15.75" customHeight="1">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c r="AA688" s="137"/>
      <c r="AB688" s="137"/>
      <c r="AC688" s="137"/>
      <c r="AD688" s="137"/>
      <c r="AE688" s="137"/>
      <c r="AF688" s="137"/>
      <c r="AG688" s="137"/>
      <c r="AH688" s="137"/>
      <c r="AI688" s="137"/>
      <c r="AJ688" s="137"/>
      <c r="AK688" s="137"/>
      <c r="AL688" s="137"/>
    </row>
    <row r="689" spans="1:38" ht="15.75" customHeight="1">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c r="AA689" s="137"/>
      <c r="AB689" s="137"/>
      <c r="AC689" s="137"/>
      <c r="AD689" s="137"/>
      <c r="AE689" s="137"/>
      <c r="AF689" s="137"/>
      <c r="AG689" s="137"/>
      <c r="AH689" s="137"/>
      <c r="AI689" s="137"/>
      <c r="AJ689" s="137"/>
      <c r="AK689" s="137"/>
      <c r="AL689" s="137"/>
    </row>
    <row r="690" spans="1:38" ht="15.75" customHeight="1">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c r="AA690" s="137"/>
      <c r="AB690" s="137"/>
      <c r="AC690" s="137"/>
      <c r="AD690" s="137"/>
      <c r="AE690" s="137"/>
      <c r="AF690" s="137"/>
      <c r="AG690" s="137"/>
      <c r="AH690" s="137"/>
      <c r="AI690" s="137"/>
      <c r="AJ690" s="137"/>
      <c r="AK690" s="137"/>
      <c r="AL690" s="137"/>
    </row>
    <row r="691" spans="1:38" ht="15.75" customHeight="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c r="AA691" s="137"/>
      <c r="AB691" s="137"/>
      <c r="AC691" s="137"/>
      <c r="AD691" s="137"/>
      <c r="AE691" s="137"/>
      <c r="AF691" s="137"/>
      <c r="AG691" s="137"/>
      <c r="AH691" s="137"/>
      <c r="AI691" s="137"/>
      <c r="AJ691" s="137"/>
      <c r="AK691" s="137"/>
      <c r="AL691" s="137"/>
    </row>
    <row r="692" spans="1:38" ht="15.75" customHeight="1">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c r="AA692" s="137"/>
      <c r="AB692" s="137"/>
      <c r="AC692" s="137"/>
      <c r="AD692" s="137"/>
      <c r="AE692" s="137"/>
      <c r="AF692" s="137"/>
      <c r="AG692" s="137"/>
      <c r="AH692" s="137"/>
      <c r="AI692" s="137"/>
      <c r="AJ692" s="137"/>
      <c r="AK692" s="137"/>
      <c r="AL692" s="137"/>
    </row>
    <row r="693" spans="1:38" ht="15.75" customHeight="1">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c r="AA693" s="137"/>
      <c r="AB693" s="137"/>
      <c r="AC693" s="137"/>
      <c r="AD693" s="137"/>
      <c r="AE693" s="137"/>
      <c r="AF693" s="137"/>
      <c r="AG693" s="137"/>
      <c r="AH693" s="137"/>
      <c r="AI693" s="137"/>
      <c r="AJ693" s="137"/>
      <c r="AK693" s="137"/>
      <c r="AL693" s="137"/>
    </row>
    <row r="694" spans="1:38" ht="15.75" customHeight="1">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c r="AA694" s="137"/>
      <c r="AB694" s="137"/>
      <c r="AC694" s="137"/>
      <c r="AD694" s="137"/>
      <c r="AE694" s="137"/>
      <c r="AF694" s="137"/>
      <c r="AG694" s="137"/>
      <c r="AH694" s="137"/>
      <c r="AI694" s="137"/>
      <c r="AJ694" s="137"/>
      <c r="AK694" s="137"/>
      <c r="AL694" s="137"/>
    </row>
    <row r="695" spans="1:38" ht="15.75" customHeight="1">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c r="AA695" s="137"/>
      <c r="AB695" s="137"/>
      <c r="AC695" s="137"/>
      <c r="AD695" s="137"/>
      <c r="AE695" s="137"/>
      <c r="AF695" s="137"/>
      <c r="AG695" s="137"/>
      <c r="AH695" s="137"/>
      <c r="AI695" s="137"/>
      <c r="AJ695" s="137"/>
      <c r="AK695" s="137"/>
      <c r="AL695" s="137"/>
    </row>
    <row r="696" spans="1:38" ht="15.75" customHeight="1">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c r="AA696" s="137"/>
      <c r="AB696" s="137"/>
      <c r="AC696" s="137"/>
      <c r="AD696" s="137"/>
      <c r="AE696" s="137"/>
      <c r="AF696" s="137"/>
      <c r="AG696" s="137"/>
      <c r="AH696" s="137"/>
      <c r="AI696" s="137"/>
      <c r="AJ696" s="137"/>
      <c r="AK696" s="137"/>
      <c r="AL696" s="137"/>
    </row>
    <row r="697" spans="1:38" ht="15.75" customHeight="1">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c r="AA697" s="137"/>
      <c r="AB697" s="137"/>
      <c r="AC697" s="137"/>
      <c r="AD697" s="137"/>
      <c r="AE697" s="137"/>
      <c r="AF697" s="137"/>
      <c r="AG697" s="137"/>
      <c r="AH697" s="137"/>
      <c r="AI697" s="137"/>
      <c r="AJ697" s="137"/>
      <c r="AK697" s="137"/>
      <c r="AL697" s="137"/>
    </row>
    <row r="698" spans="1:38" ht="15.75" customHeight="1">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c r="AA698" s="137"/>
      <c r="AB698" s="137"/>
      <c r="AC698" s="137"/>
      <c r="AD698" s="137"/>
      <c r="AE698" s="137"/>
      <c r="AF698" s="137"/>
      <c r="AG698" s="137"/>
      <c r="AH698" s="137"/>
      <c r="AI698" s="137"/>
      <c r="AJ698" s="137"/>
      <c r="AK698" s="137"/>
      <c r="AL698" s="137"/>
    </row>
    <row r="699" spans="1:38" ht="15.75" customHeight="1">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c r="AA699" s="137"/>
      <c r="AB699" s="137"/>
      <c r="AC699" s="137"/>
      <c r="AD699" s="137"/>
      <c r="AE699" s="137"/>
      <c r="AF699" s="137"/>
      <c r="AG699" s="137"/>
      <c r="AH699" s="137"/>
      <c r="AI699" s="137"/>
      <c r="AJ699" s="137"/>
      <c r="AK699" s="137"/>
      <c r="AL699" s="137"/>
    </row>
    <row r="700" spans="1:38" ht="15.75" customHeight="1">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c r="AA700" s="137"/>
      <c r="AB700" s="137"/>
      <c r="AC700" s="137"/>
      <c r="AD700" s="137"/>
      <c r="AE700" s="137"/>
      <c r="AF700" s="137"/>
      <c r="AG700" s="137"/>
      <c r="AH700" s="137"/>
      <c r="AI700" s="137"/>
      <c r="AJ700" s="137"/>
      <c r="AK700" s="137"/>
      <c r="AL700" s="137"/>
    </row>
    <row r="701" spans="1:38" ht="15.75" customHeight="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c r="AA701" s="137"/>
      <c r="AB701" s="137"/>
      <c r="AC701" s="137"/>
      <c r="AD701" s="137"/>
      <c r="AE701" s="137"/>
      <c r="AF701" s="137"/>
      <c r="AG701" s="137"/>
      <c r="AH701" s="137"/>
      <c r="AI701" s="137"/>
      <c r="AJ701" s="137"/>
      <c r="AK701" s="137"/>
      <c r="AL701" s="137"/>
    </row>
    <row r="702" spans="1:38" ht="15.75" customHeight="1">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c r="AA702" s="137"/>
      <c r="AB702" s="137"/>
      <c r="AC702" s="137"/>
      <c r="AD702" s="137"/>
      <c r="AE702" s="137"/>
      <c r="AF702" s="137"/>
      <c r="AG702" s="137"/>
      <c r="AH702" s="137"/>
      <c r="AI702" s="137"/>
      <c r="AJ702" s="137"/>
      <c r="AK702" s="137"/>
      <c r="AL702" s="137"/>
    </row>
    <row r="703" spans="1:38" ht="15.75" customHeight="1">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c r="AA703" s="137"/>
      <c r="AB703" s="137"/>
      <c r="AC703" s="137"/>
      <c r="AD703" s="137"/>
      <c r="AE703" s="137"/>
      <c r="AF703" s="137"/>
      <c r="AG703" s="137"/>
      <c r="AH703" s="137"/>
      <c r="AI703" s="137"/>
      <c r="AJ703" s="137"/>
      <c r="AK703" s="137"/>
      <c r="AL703" s="137"/>
    </row>
    <row r="704" spans="1:38" ht="15.75" customHeight="1">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c r="AA704" s="137"/>
      <c r="AB704" s="137"/>
      <c r="AC704" s="137"/>
      <c r="AD704" s="137"/>
      <c r="AE704" s="137"/>
      <c r="AF704" s="137"/>
      <c r="AG704" s="137"/>
      <c r="AH704" s="137"/>
      <c r="AI704" s="137"/>
      <c r="AJ704" s="137"/>
      <c r="AK704" s="137"/>
      <c r="AL704" s="137"/>
    </row>
    <row r="705" spans="1:38" ht="15.75" customHeight="1">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c r="AA705" s="137"/>
      <c r="AB705" s="137"/>
      <c r="AC705" s="137"/>
      <c r="AD705" s="137"/>
      <c r="AE705" s="137"/>
      <c r="AF705" s="137"/>
      <c r="AG705" s="137"/>
      <c r="AH705" s="137"/>
      <c r="AI705" s="137"/>
      <c r="AJ705" s="137"/>
      <c r="AK705" s="137"/>
      <c r="AL705" s="137"/>
    </row>
    <row r="706" spans="1:38" ht="15.75" customHeight="1">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c r="AA706" s="137"/>
      <c r="AB706" s="137"/>
      <c r="AC706" s="137"/>
      <c r="AD706" s="137"/>
      <c r="AE706" s="137"/>
      <c r="AF706" s="137"/>
      <c r="AG706" s="137"/>
      <c r="AH706" s="137"/>
      <c r="AI706" s="137"/>
      <c r="AJ706" s="137"/>
      <c r="AK706" s="137"/>
      <c r="AL706" s="137"/>
    </row>
    <row r="707" spans="1:38" ht="15.75" customHeight="1">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c r="AA707" s="137"/>
      <c r="AB707" s="137"/>
      <c r="AC707" s="137"/>
      <c r="AD707" s="137"/>
      <c r="AE707" s="137"/>
      <c r="AF707" s="137"/>
      <c r="AG707" s="137"/>
      <c r="AH707" s="137"/>
      <c r="AI707" s="137"/>
      <c r="AJ707" s="137"/>
      <c r="AK707" s="137"/>
      <c r="AL707" s="137"/>
    </row>
    <row r="708" spans="1:38" ht="15.75" customHeight="1">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c r="AA708" s="137"/>
      <c r="AB708" s="137"/>
      <c r="AC708" s="137"/>
      <c r="AD708" s="137"/>
      <c r="AE708" s="137"/>
      <c r="AF708" s="137"/>
      <c r="AG708" s="137"/>
      <c r="AH708" s="137"/>
      <c r="AI708" s="137"/>
      <c r="AJ708" s="137"/>
      <c r="AK708" s="137"/>
      <c r="AL708" s="137"/>
    </row>
    <row r="709" spans="1:38" ht="15.75" customHeight="1">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c r="AA709" s="137"/>
      <c r="AB709" s="137"/>
      <c r="AC709" s="137"/>
      <c r="AD709" s="137"/>
      <c r="AE709" s="137"/>
      <c r="AF709" s="137"/>
      <c r="AG709" s="137"/>
      <c r="AH709" s="137"/>
      <c r="AI709" s="137"/>
      <c r="AJ709" s="137"/>
      <c r="AK709" s="137"/>
      <c r="AL709" s="137"/>
    </row>
    <row r="710" spans="1:38" ht="15.75" customHeight="1">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c r="AA710" s="137"/>
      <c r="AB710" s="137"/>
      <c r="AC710" s="137"/>
      <c r="AD710" s="137"/>
      <c r="AE710" s="137"/>
      <c r="AF710" s="137"/>
      <c r="AG710" s="137"/>
      <c r="AH710" s="137"/>
      <c r="AI710" s="137"/>
      <c r="AJ710" s="137"/>
      <c r="AK710" s="137"/>
      <c r="AL710" s="137"/>
    </row>
    <row r="711" spans="1:38" ht="15.75" customHeight="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c r="AA711" s="137"/>
      <c r="AB711" s="137"/>
      <c r="AC711" s="137"/>
      <c r="AD711" s="137"/>
      <c r="AE711" s="137"/>
      <c r="AF711" s="137"/>
      <c r="AG711" s="137"/>
      <c r="AH711" s="137"/>
      <c r="AI711" s="137"/>
      <c r="AJ711" s="137"/>
      <c r="AK711" s="137"/>
      <c r="AL711" s="137"/>
    </row>
    <row r="712" spans="1:38" ht="15.75" customHeight="1">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c r="AA712" s="137"/>
      <c r="AB712" s="137"/>
      <c r="AC712" s="137"/>
      <c r="AD712" s="137"/>
      <c r="AE712" s="137"/>
      <c r="AF712" s="137"/>
      <c r="AG712" s="137"/>
      <c r="AH712" s="137"/>
      <c r="AI712" s="137"/>
      <c r="AJ712" s="137"/>
      <c r="AK712" s="137"/>
      <c r="AL712" s="137"/>
    </row>
    <row r="713" spans="1:38" ht="15.75" customHeight="1">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c r="AA713" s="137"/>
      <c r="AB713" s="137"/>
      <c r="AC713" s="137"/>
      <c r="AD713" s="137"/>
      <c r="AE713" s="137"/>
      <c r="AF713" s="137"/>
      <c r="AG713" s="137"/>
      <c r="AH713" s="137"/>
      <c r="AI713" s="137"/>
      <c r="AJ713" s="137"/>
      <c r="AK713" s="137"/>
      <c r="AL713" s="137"/>
    </row>
    <row r="714" spans="1:38" ht="15.75" customHeight="1">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c r="AA714" s="137"/>
      <c r="AB714" s="137"/>
      <c r="AC714" s="137"/>
      <c r="AD714" s="137"/>
      <c r="AE714" s="137"/>
      <c r="AF714" s="137"/>
      <c r="AG714" s="137"/>
      <c r="AH714" s="137"/>
      <c r="AI714" s="137"/>
      <c r="AJ714" s="137"/>
      <c r="AK714" s="137"/>
      <c r="AL714" s="137"/>
    </row>
    <row r="715" spans="1:38" ht="15.75" customHeight="1">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c r="AA715" s="137"/>
      <c r="AB715" s="137"/>
      <c r="AC715" s="137"/>
      <c r="AD715" s="137"/>
      <c r="AE715" s="137"/>
      <c r="AF715" s="137"/>
      <c r="AG715" s="137"/>
      <c r="AH715" s="137"/>
      <c r="AI715" s="137"/>
      <c r="AJ715" s="137"/>
      <c r="AK715" s="137"/>
      <c r="AL715" s="137"/>
    </row>
    <row r="716" spans="1:38" ht="15.75" customHeight="1">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c r="AA716" s="137"/>
      <c r="AB716" s="137"/>
      <c r="AC716" s="137"/>
      <c r="AD716" s="137"/>
      <c r="AE716" s="137"/>
      <c r="AF716" s="137"/>
      <c r="AG716" s="137"/>
      <c r="AH716" s="137"/>
      <c r="AI716" s="137"/>
      <c r="AJ716" s="137"/>
      <c r="AK716" s="137"/>
      <c r="AL716" s="137"/>
    </row>
    <row r="717" spans="1:38" ht="15.75" customHeight="1">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c r="AA717" s="137"/>
      <c r="AB717" s="137"/>
      <c r="AC717" s="137"/>
      <c r="AD717" s="137"/>
      <c r="AE717" s="137"/>
      <c r="AF717" s="137"/>
      <c r="AG717" s="137"/>
      <c r="AH717" s="137"/>
      <c r="AI717" s="137"/>
      <c r="AJ717" s="137"/>
      <c r="AK717" s="137"/>
      <c r="AL717" s="137"/>
    </row>
    <row r="718" spans="1:38" ht="15.75" customHeight="1">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c r="AA718" s="137"/>
      <c r="AB718" s="137"/>
      <c r="AC718" s="137"/>
      <c r="AD718" s="137"/>
      <c r="AE718" s="137"/>
      <c r="AF718" s="137"/>
      <c r="AG718" s="137"/>
      <c r="AH718" s="137"/>
      <c r="AI718" s="137"/>
      <c r="AJ718" s="137"/>
      <c r="AK718" s="137"/>
      <c r="AL718" s="137"/>
    </row>
    <row r="719" spans="1:38" ht="15.75" customHeight="1">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c r="AA719" s="137"/>
      <c r="AB719" s="137"/>
      <c r="AC719" s="137"/>
      <c r="AD719" s="137"/>
      <c r="AE719" s="137"/>
      <c r="AF719" s="137"/>
      <c r="AG719" s="137"/>
      <c r="AH719" s="137"/>
      <c r="AI719" s="137"/>
      <c r="AJ719" s="137"/>
      <c r="AK719" s="137"/>
      <c r="AL719" s="137"/>
    </row>
    <row r="720" spans="1:38" ht="15.75" customHeight="1">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c r="AA720" s="137"/>
      <c r="AB720" s="137"/>
      <c r="AC720" s="137"/>
      <c r="AD720" s="137"/>
      <c r="AE720" s="137"/>
      <c r="AF720" s="137"/>
      <c r="AG720" s="137"/>
      <c r="AH720" s="137"/>
      <c r="AI720" s="137"/>
      <c r="AJ720" s="137"/>
      <c r="AK720" s="137"/>
      <c r="AL720" s="137"/>
    </row>
    <row r="721" spans="1:38" ht="15.75" customHeight="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c r="AA721" s="137"/>
      <c r="AB721" s="137"/>
      <c r="AC721" s="137"/>
      <c r="AD721" s="137"/>
      <c r="AE721" s="137"/>
      <c r="AF721" s="137"/>
      <c r="AG721" s="137"/>
      <c r="AH721" s="137"/>
      <c r="AI721" s="137"/>
      <c r="AJ721" s="137"/>
      <c r="AK721" s="137"/>
      <c r="AL721" s="137"/>
    </row>
    <row r="722" spans="1:38" ht="15.75" customHeight="1">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c r="AA722" s="137"/>
      <c r="AB722" s="137"/>
      <c r="AC722" s="137"/>
      <c r="AD722" s="137"/>
      <c r="AE722" s="137"/>
      <c r="AF722" s="137"/>
      <c r="AG722" s="137"/>
      <c r="AH722" s="137"/>
      <c r="AI722" s="137"/>
      <c r="AJ722" s="137"/>
      <c r="AK722" s="137"/>
      <c r="AL722" s="137"/>
    </row>
    <row r="723" spans="1:38" ht="15.75" customHeight="1">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c r="AA723" s="137"/>
      <c r="AB723" s="137"/>
      <c r="AC723" s="137"/>
      <c r="AD723" s="137"/>
      <c r="AE723" s="137"/>
      <c r="AF723" s="137"/>
      <c r="AG723" s="137"/>
      <c r="AH723" s="137"/>
      <c r="AI723" s="137"/>
      <c r="AJ723" s="137"/>
      <c r="AK723" s="137"/>
      <c r="AL723" s="137"/>
    </row>
    <row r="724" spans="1:38" ht="15.75" customHeight="1">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c r="AA724" s="137"/>
      <c r="AB724" s="137"/>
      <c r="AC724" s="137"/>
      <c r="AD724" s="137"/>
      <c r="AE724" s="137"/>
      <c r="AF724" s="137"/>
      <c r="AG724" s="137"/>
      <c r="AH724" s="137"/>
      <c r="AI724" s="137"/>
      <c r="AJ724" s="137"/>
      <c r="AK724" s="137"/>
      <c r="AL724" s="137"/>
    </row>
    <row r="725" spans="1:38" ht="15.75" customHeight="1">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c r="AA725" s="137"/>
      <c r="AB725" s="137"/>
      <c r="AC725" s="137"/>
      <c r="AD725" s="137"/>
      <c r="AE725" s="137"/>
      <c r="AF725" s="137"/>
      <c r="AG725" s="137"/>
      <c r="AH725" s="137"/>
      <c r="AI725" s="137"/>
      <c r="AJ725" s="137"/>
      <c r="AK725" s="137"/>
      <c r="AL725" s="137"/>
    </row>
    <row r="726" spans="1:38" ht="15.75" customHeight="1">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c r="AA726" s="137"/>
      <c r="AB726" s="137"/>
      <c r="AC726" s="137"/>
      <c r="AD726" s="137"/>
      <c r="AE726" s="137"/>
      <c r="AF726" s="137"/>
      <c r="AG726" s="137"/>
      <c r="AH726" s="137"/>
      <c r="AI726" s="137"/>
      <c r="AJ726" s="137"/>
      <c r="AK726" s="137"/>
      <c r="AL726" s="137"/>
    </row>
    <row r="727" spans="1:38" ht="15.75" customHeight="1">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c r="AA727" s="137"/>
      <c r="AB727" s="137"/>
      <c r="AC727" s="137"/>
      <c r="AD727" s="137"/>
      <c r="AE727" s="137"/>
      <c r="AF727" s="137"/>
      <c r="AG727" s="137"/>
      <c r="AH727" s="137"/>
      <c r="AI727" s="137"/>
      <c r="AJ727" s="137"/>
      <c r="AK727" s="137"/>
      <c r="AL727" s="137"/>
    </row>
    <row r="728" spans="1:38" ht="15.75" customHeight="1">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c r="AA728" s="137"/>
      <c r="AB728" s="137"/>
      <c r="AC728" s="137"/>
      <c r="AD728" s="137"/>
      <c r="AE728" s="137"/>
      <c r="AF728" s="137"/>
      <c r="AG728" s="137"/>
      <c r="AH728" s="137"/>
      <c r="AI728" s="137"/>
      <c r="AJ728" s="137"/>
      <c r="AK728" s="137"/>
      <c r="AL728" s="137"/>
    </row>
    <row r="729" spans="1:38" ht="15.75" customHeight="1">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c r="AA729" s="137"/>
      <c r="AB729" s="137"/>
      <c r="AC729" s="137"/>
      <c r="AD729" s="137"/>
      <c r="AE729" s="137"/>
      <c r="AF729" s="137"/>
      <c r="AG729" s="137"/>
      <c r="AH729" s="137"/>
      <c r="AI729" s="137"/>
      <c r="AJ729" s="137"/>
      <c r="AK729" s="137"/>
      <c r="AL729" s="137"/>
    </row>
    <row r="730" spans="1:38" ht="15.75" customHeight="1">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c r="AA730" s="137"/>
      <c r="AB730" s="137"/>
      <c r="AC730" s="137"/>
      <c r="AD730" s="137"/>
      <c r="AE730" s="137"/>
      <c r="AF730" s="137"/>
      <c r="AG730" s="137"/>
      <c r="AH730" s="137"/>
      <c r="AI730" s="137"/>
      <c r="AJ730" s="137"/>
      <c r="AK730" s="137"/>
      <c r="AL730" s="137"/>
    </row>
    <row r="731" spans="1:38" ht="15.75" customHeight="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c r="AA731" s="137"/>
      <c r="AB731" s="137"/>
      <c r="AC731" s="137"/>
      <c r="AD731" s="137"/>
      <c r="AE731" s="137"/>
      <c r="AF731" s="137"/>
      <c r="AG731" s="137"/>
      <c r="AH731" s="137"/>
      <c r="AI731" s="137"/>
      <c r="AJ731" s="137"/>
      <c r="AK731" s="137"/>
      <c r="AL731" s="137"/>
    </row>
    <row r="732" spans="1:38" ht="15.75" customHeight="1">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c r="AA732" s="137"/>
      <c r="AB732" s="137"/>
      <c r="AC732" s="137"/>
      <c r="AD732" s="137"/>
      <c r="AE732" s="137"/>
      <c r="AF732" s="137"/>
      <c r="AG732" s="137"/>
      <c r="AH732" s="137"/>
      <c r="AI732" s="137"/>
      <c r="AJ732" s="137"/>
      <c r="AK732" s="137"/>
      <c r="AL732" s="137"/>
    </row>
    <row r="733" spans="1:38" ht="15.75" customHeight="1">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c r="AA733" s="137"/>
      <c r="AB733" s="137"/>
      <c r="AC733" s="137"/>
      <c r="AD733" s="137"/>
      <c r="AE733" s="137"/>
      <c r="AF733" s="137"/>
      <c r="AG733" s="137"/>
      <c r="AH733" s="137"/>
      <c r="AI733" s="137"/>
      <c r="AJ733" s="137"/>
      <c r="AK733" s="137"/>
      <c r="AL733" s="137"/>
    </row>
    <row r="734" spans="1:38" ht="15.75" customHeight="1">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c r="AA734" s="137"/>
      <c r="AB734" s="137"/>
      <c r="AC734" s="137"/>
      <c r="AD734" s="137"/>
      <c r="AE734" s="137"/>
      <c r="AF734" s="137"/>
      <c r="AG734" s="137"/>
      <c r="AH734" s="137"/>
      <c r="AI734" s="137"/>
      <c r="AJ734" s="137"/>
      <c r="AK734" s="137"/>
      <c r="AL734" s="137"/>
    </row>
    <row r="735" spans="1:38" ht="15.75" customHeight="1">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c r="AA735" s="137"/>
      <c r="AB735" s="137"/>
      <c r="AC735" s="137"/>
      <c r="AD735" s="137"/>
      <c r="AE735" s="137"/>
      <c r="AF735" s="137"/>
      <c r="AG735" s="137"/>
      <c r="AH735" s="137"/>
      <c r="AI735" s="137"/>
      <c r="AJ735" s="137"/>
      <c r="AK735" s="137"/>
      <c r="AL735" s="137"/>
    </row>
    <row r="736" spans="1:38" ht="15.75" customHeight="1">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c r="AA736" s="137"/>
      <c r="AB736" s="137"/>
      <c r="AC736" s="137"/>
      <c r="AD736" s="137"/>
      <c r="AE736" s="137"/>
      <c r="AF736" s="137"/>
      <c r="AG736" s="137"/>
      <c r="AH736" s="137"/>
      <c r="AI736" s="137"/>
      <c r="AJ736" s="137"/>
      <c r="AK736" s="137"/>
      <c r="AL736" s="137"/>
    </row>
    <row r="737" spans="1:38" ht="15.75" customHeight="1">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c r="AA737" s="137"/>
      <c r="AB737" s="137"/>
      <c r="AC737" s="137"/>
      <c r="AD737" s="137"/>
      <c r="AE737" s="137"/>
      <c r="AF737" s="137"/>
      <c r="AG737" s="137"/>
      <c r="AH737" s="137"/>
      <c r="AI737" s="137"/>
      <c r="AJ737" s="137"/>
      <c r="AK737" s="137"/>
      <c r="AL737" s="137"/>
    </row>
    <row r="738" spans="1:38" ht="15.75" customHeight="1">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c r="AA738" s="137"/>
      <c r="AB738" s="137"/>
      <c r="AC738" s="137"/>
      <c r="AD738" s="137"/>
      <c r="AE738" s="137"/>
      <c r="AF738" s="137"/>
      <c r="AG738" s="137"/>
      <c r="AH738" s="137"/>
      <c r="AI738" s="137"/>
      <c r="AJ738" s="137"/>
      <c r="AK738" s="137"/>
      <c r="AL738" s="137"/>
    </row>
    <row r="739" spans="1:38" ht="15.75" customHeight="1">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c r="AA739" s="137"/>
      <c r="AB739" s="137"/>
      <c r="AC739" s="137"/>
      <c r="AD739" s="137"/>
      <c r="AE739" s="137"/>
      <c r="AF739" s="137"/>
      <c r="AG739" s="137"/>
      <c r="AH739" s="137"/>
      <c r="AI739" s="137"/>
      <c r="AJ739" s="137"/>
      <c r="AK739" s="137"/>
      <c r="AL739" s="137"/>
    </row>
    <row r="740" spans="1:38" ht="15.75" customHeight="1">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c r="AA740" s="137"/>
      <c r="AB740" s="137"/>
      <c r="AC740" s="137"/>
      <c r="AD740" s="137"/>
      <c r="AE740" s="137"/>
      <c r="AF740" s="137"/>
      <c r="AG740" s="137"/>
      <c r="AH740" s="137"/>
      <c r="AI740" s="137"/>
      <c r="AJ740" s="137"/>
      <c r="AK740" s="137"/>
      <c r="AL740" s="137"/>
    </row>
    <row r="741" spans="1:38" ht="15.75" customHeight="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c r="AA741" s="137"/>
      <c r="AB741" s="137"/>
      <c r="AC741" s="137"/>
      <c r="AD741" s="137"/>
      <c r="AE741" s="137"/>
      <c r="AF741" s="137"/>
      <c r="AG741" s="137"/>
      <c r="AH741" s="137"/>
      <c r="AI741" s="137"/>
      <c r="AJ741" s="137"/>
      <c r="AK741" s="137"/>
      <c r="AL741" s="137"/>
    </row>
    <row r="742" spans="1:38" ht="15.75" customHeight="1">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c r="AA742" s="137"/>
      <c r="AB742" s="137"/>
      <c r="AC742" s="137"/>
      <c r="AD742" s="137"/>
      <c r="AE742" s="137"/>
      <c r="AF742" s="137"/>
      <c r="AG742" s="137"/>
      <c r="AH742" s="137"/>
      <c r="AI742" s="137"/>
      <c r="AJ742" s="137"/>
      <c r="AK742" s="137"/>
      <c r="AL742" s="137"/>
    </row>
    <row r="743" spans="1:38" ht="15.75" customHeight="1">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c r="AA743" s="137"/>
      <c r="AB743" s="137"/>
      <c r="AC743" s="137"/>
      <c r="AD743" s="137"/>
      <c r="AE743" s="137"/>
      <c r="AF743" s="137"/>
      <c r="AG743" s="137"/>
      <c r="AH743" s="137"/>
      <c r="AI743" s="137"/>
      <c r="AJ743" s="137"/>
      <c r="AK743" s="137"/>
      <c r="AL743" s="137"/>
    </row>
    <row r="744" spans="1:38" ht="15.75" customHeight="1">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c r="AA744" s="137"/>
      <c r="AB744" s="137"/>
      <c r="AC744" s="137"/>
      <c r="AD744" s="137"/>
      <c r="AE744" s="137"/>
      <c r="AF744" s="137"/>
      <c r="AG744" s="137"/>
      <c r="AH744" s="137"/>
      <c r="AI744" s="137"/>
      <c r="AJ744" s="137"/>
      <c r="AK744" s="137"/>
      <c r="AL744" s="137"/>
    </row>
    <row r="745" spans="1:38" ht="15.75" customHeight="1">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c r="AA745" s="137"/>
      <c r="AB745" s="137"/>
      <c r="AC745" s="137"/>
      <c r="AD745" s="137"/>
      <c r="AE745" s="137"/>
      <c r="AF745" s="137"/>
      <c r="AG745" s="137"/>
      <c r="AH745" s="137"/>
      <c r="AI745" s="137"/>
      <c r="AJ745" s="137"/>
      <c r="AK745" s="137"/>
      <c r="AL745" s="137"/>
    </row>
    <row r="746" spans="1:38" ht="15.75" customHeight="1">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c r="AA746" s="137"/>
      <c r="AB746" s="137"/>
      <c r="AC746" s="137"/>
      <c r="AD746" s="137"/>
      <c r="AE746" s="137"/>
      <c r="AF746" s="137"/>
      <c r="AG746" s="137"/>
      <c r="AH746" s="137"/>
      <c r="AI746" s="137"/>
      <c r="AJ746" s="137"/>
      <c r="AK746" s="137"/>
      <c r="AL746" s="137"/>
    </row>
    <row r="747" spans="1:38" ht="15.75" customHeight="1">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c r="AA747" s="137"/>
      <c r="AB747" s="137"/>
      <c r="AC747" s="137"/>
      <c r="AD747" s="137"/>
      <c r="AE747" s="137"/>
      <c r="AF747" s="137"/>
      <c r="AG747" s="137"/>
      <c r="AH747" s="137"/>
      <c r="AI747" s="137"/>
      <c r="AJ747" s="137"/>
      <c r="AK747" s="137"/>
      <c r="AL747" s="137"/>
    </row>
    <row r="748" spans="1:38" ht="15.75" customHeight="1">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c r="AA748" s="137"/>
      <c r="AB748" s="137"/>
      <c r="AC748" s="137"/>
      <c r="AD748" s="137"/>
      <c r="AE748" s="137"/>
      <c r="AF748" s="137"/>
      <c r="AG748" s="137"/>
      <c r="AH748" s="137"/>
      <c r="AI748" s="137"/>
      <c r="AJ748" s="137"/>
      <c r="AK748" s="137"/>
      <c r="AL748" s="137"/>
    </row>
    <row r="749" spans="1:38" ht="15.75" customHeight="1">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c r="AA749" s="137"/>
      <c r="AB749" s="137"/>
      <c r="AC749" s="137"/>
      <c r="AD749" s="137"/>
      <c r="AE749" s="137"/>
      <c r="AF749" s="137"/>
      <c r="AG749" s="137"/>
      <c r="AH749" s="137"/>
      <c r="AI749" s="137"/>
      <c r="AJ749" s="137"/>
      <c r="AK749" s="137"/>
      <c r="AL749" s="137"/>
    </row>
    <row r="750" spans="1:38" ht="15.75" customHeight="1">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c r="AA750" s="137"/>
      <c r="AB750" s="137"/>
      <c r="AC750" s="137"/>
      <c r="AD750" s="137"/>
      <c r="AE750" s="137"/>
      <c r="AF750" s="137"/>
      <c r="AG750" s="137"/>
      <c r="AH750" s="137"/>
      <c r="AI750" s="137"/>
      <c r="AJ750" s="137"/>
      <c r="AK750" s="137"/>
      <c r="AL750" s="137"/>
    </row>
    <row r="751" spans="1:38" ht="15.75" customHeight="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c r="AA751" s="137"/>
      <c r="AB751" s="137"/>
      <c r="AC751" s="137"/>
      <c r="AD751" s="137"/>
      <c r="AE751" s="137"/>
      <c r="AF751" s="137"/>
      <c r="AG751" s="137"/>
      <c r="AH751" s="137"/>
      <c r="AI751" s="137"/>
      <c r="AJ751" s="137"/>
      <c r="AK751" s="137"/>
      <c r="AL751" s="137"/>
    </row>
    <row r="752" spans="1:38" ht="15.75" customHeight="1">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c r="AA752" s="137"/>
      <c r="AB752" s="137"/>
      <c r="AC752" s="137"/>
      <c r="AD752" s="137"/>
      <c r="AE752" s="137"/>
      <c r="AF752" s="137"/>
      <c r="AG752" s="137"/>
      <c r="AH752" s="137"/>
      <c r="AI752" s="137"/>
      <c r="AJ752" s="137"/>
      <c r="AK752" s="137"/>
      <c r="AL752" s="137"/>
    </row>
    <row r="753" spans="1:38" ht="15.75" customHeight="1">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c r="AA753" s="137"/>
      <c r="AB753" s="137"/>
      <c r="AC753" s="137"/>
      <c r="AD753" s="137"/>
      <c r="AE753" s="137"/>
      <c r="AF753" s="137"/>
      <c r="AG753" s="137"/>
      <c r="AH753" s="137"/>
      <c r="AI753" s="137"/>
      <c r="AJ753" s="137"/>
      <c r="AK753" s="137"/>
      <c r="AL753" s="137"/>
    </row>
    <row r="754" spans="1:38" ht="15.75" customHeight="1">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c r="AA754" s="137"/>
      <c r="AB754" s="137"/>
      <c r="AC754" s="137"/>
      <c r="AD754" s="137"/>
      <c r="AE754" s="137"/>
      <c r="AF754" s="137"/>
      <c r="AG754" s="137"/>
      <c r="AH754" s="137"/>
      <c r="AI754" s="137"/>
      <c r="AJ754" s="137"/>
      <c r="AK754" s="137"/>
      <c r="AL754" s="137"/>
    </row>
    <row r="755" spans="1:38" ht="15.75" customHeight="1">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c r="AA755" s="137"/>
      <c r="AB755" s="137"/>
      <c r="AC755" s="137"/>
      <c r="AD755" s="137"/>
      <c r="AE755" s="137"/>
      <c r="AF755" s="137"/>
      <c r="AG755" s="137"/>
      <c r="AH755" s="137"/>
      <c r="AI755" s="137"/>
      <c r="AJ755" s="137"/>
      <c r="AK755" s="137"/>
      <c r="AL755" s="137"/>
    </row>
    <row r="756" spans="1:38" ht="15.75" customHeight="1">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c r="AA756" s="137"/>
      <c r="AB756" s="137"/>
      <c r="AC756" s="137"/>
      <c r="AD756" s="137"/>
      <c r="AE756" s="137"/>
      <c r="AF756" s="137"/>
      <c r="AG756" s="137"/>
      <c r="AH756" s="137"/>
      <c r="AI756" s="137"/>
      <c r="AJ756" s="137"/>
      <c r="AK756" s="137"/>
      <c r="AL756" s="137"/>
    </row>
    <row r="757" spans="1:38" ht="15.75" customHeight="1">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c r="AA757" s="137"/>
      <c r="AB757" s="137"/>
      <c r="AC757" s="137"/>
      <c r="AD757" s="137"/>
      <c r="AE757" s="137"/>
      <c r="AF757" s="137"/>
      <c r="AG757" s="137"/>
      <c r="AH757" s="137"/>
      <c r="AI757" s="137"/>
      <c r="AJ757" s="137"/>
      <c r="AK757" s="137"/>
      <c r="AL757" s="137"/>
    </row>
    <row r="758" spans="1:38" ht="15.75" customHeight="1">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c r="AA758" s="137"/>
      <c r="AB758" s="137"/>
      <c r="AC758" s="137"/>
      <c r="AD758" s="137"/>
      <c r="AE758" s="137"/>
      <c r="AF758" s="137"/>
      <c r="AG758" s="137"/>
      <c r="AH758" s="137"/>
      <c r="AI758" s="137"/>
      <c r="AJ758" s="137"/>
      <c r="AK758" s="137"/>
      <c r="AL758" s="137"/>
    </row>
    <row r="759" spans="1:38" ht="15.75" customHeight="1">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c r="AA759" s="137"/>
      <c r="AB759" s="137"/>
      <c r="AC759" s="137"/>
      <c r="AD759" s="137"/>
      <c r="AE759" s="137"/>
      <c r="AF759" s="137"/>
      <c r="AG759" s="137"/>
      <c r="AH759" s="137"/>
      <c r="AI759" s="137"/>
      <c r="AJ759" s="137"/>
      <c r="AK759" s="137"/>
      <c r="AL759" s="137"/>
    </row>
    <row r="760" spans="1:38" ht="15.75" customHeight="1">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c r="AA760" s="137"/>
      <c r="AB760" s="137"/>
      <c r="AC760" s="137"/>
      <c r="AD760" s="137"/>
      <c r="AE760" s="137"/>
      <c r="AF760" s="137"/>
      <c r="AG760" s="137"/>
      <c r="AH760" s="137"/>
      <c r="AI760" s="137"/>
      <c r="AJ760" s="137"/>
      <c r="AK760" s="137"/>
      <c r="AL760" s="137"/>
    </row>
    <row r="761" spans="1:38" ht="15.75" customHeight="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c r="AA761" s="137"/>
      <c r="AB761" s="137"/>
      <c r="AC761" s="137"/>
      <c r="AD761" s="137"/>
      <c r="AE761" s="137"/>
      <c r="AF761" s="137"/>
      <c r="AG761" s="137"/>
      <c r="AH761" s="137"/>
      <c r="AI761" s="137"/>
      <c r="AJ761" s="137"/>
      <c r="AK761" s="137"/>
      <c r="AL761" s="137"/>
    </row>
    <row r="762" spans="1:38" ht="15.75" customHeight="1">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c r="AA762" s="137"/>
      <c r="AB762" s="137"/>
      <c r="AC762" s="137"/>
      <c r="AD762" s="137"/>
      <c r="AE762" s="137"/>
      <c r="AF762" s="137"/>
      <c r="AG762" s="137"/>
      <c r="AH762" s="137"/>
      <c r="AI762" s="137"/>
      <c r="AJ762" s="137"/>
      <c r="AK762" s="137"/>
      <c r="AL762" s="137"/>
    </row>
    <row r="763" spans="1:38" ht="15.75" customHeight="1">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c r="AA763" s="137"/>
      <c r="AB763" s="137"/>
      <c r="AC763" s="137"/>
      <c r="AD763" s="137"/>
      <c r="AE763" s="137"/>
      <c r="AF763" s="137"/>
      <c r="AG763" s="137"/>
      <c r="AH763" s="137"/>
      <c r="AI763" s="137"/>
      <c r="AJ763" s="137"/>
      <c r="AK763" s="137"/>
      <c r="AL763" s="137"/>
    </row>
    <row r="764" spans="1:38" ht="15.75" customHeight="1">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c r="AA764" s="137"/>
      <c r="AB764" s="137"/>
      <c r="AC764" s="137"/>
      <c r="AD764" s="137"/>
      <c r="AE764" s="137"/>
      <c r="AF764" s="137"/>
      <c r="AG764" s="137"/>
      <c r="AH764" s="137"/>
      <c r="AI764" s="137"/>
      <c r="AJ764" s="137"/>
      <c r="AK764" s="137"/>
      <c r="AL764" s="137"/>
    </row>
    <row r="765" spans="1:38" ht="15.75" customHeight="1">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c r="AA765" s="137"/>
      <c r="AB765" s="137"/>
      <c r="AC765" s="137"/>
      <c r="AD765" s="137"/>
      <c r="AE765" s="137"/>
      <c r="AF765" s="137"/>
      <c r="AG765" s="137"/>
      <c r="AH765" s="137"/>
      <c r="AI765" s="137"/>
      <c r="AJ765" s="137"/>
      <c r="AK765" s="137"/>
      <c r="AL765" s="137"/>
    </row>
    <row r="766" spans="1:38" ht="15.75" customHeight="1">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c r="AA766" s="137"/>
      <c r="AB766" s="137"/>
      <c r="AC766" s="137"/>
      <c r="AD766" s="137"/>
      <c r="AE766" s="137"/>
      <c r="AF766" s="137"/>
      <c r="AG766" s="137"/>
      <c r="AH766" s="137"/>
      <c r="AI766" s="137"/>
      <c r="AJ766" s="137"/>
      <c r="AK766" s="137"/>
      <c r="AL766" s="137"/>
    </row>
    <row r="767" spans="1:38" ht="15.75" customHeight="1">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c r="AA767" s="137"/>
      <c r="AB767" s="137"/>
      <c r="AC767" s="137"/>
      <c r="AD767" s="137"/>
      <c r="AE767" s="137"/>
      <c r="AF767" s="137"/>
      <c r="AG767" s="137"/>
      <c r="AH767" s="137"/>
      <c r="AI767" s="137"/>
      <c r="AJ767" s="137"/>
      <c r="AK767" s="137"/>
      <c r="AL767" s="137"/>
    </row>
    <row r="768" spans="1:38" ht="15.75" customHeight="1">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c r="AA768" s="137"/>
      <c r="AB768" s="137"/>
      <c r="AC768" s="137"/>
      <c r="AD768" s="137"/>
      <c r="AE768" s="137"/>
      <c r="AF768" s="137"/>
      <c r="AG768" s="137"/>
      <c r="AH768" s="137"/>
      <c r="AI768" s="137"/>
      <c r="AJ768" s="137"/>
      <c r="AK768" s="137"/>
      <c r="AL768" s="137"/>
    </row>
    <row r="769" spans="1:38" ht="15.75" customHeight="1">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c r="AA769" s="137"/>
      <c r="AB769" s="137"/>
      <c r="AC769" s="137"/>
      <c r="AD769" s="137"/>
      <c r="AE769" s="137"/>
      <c r="AF769" s="137"/>
      <c r="AG769" s="137"/>
      <c r="AH769" s="137"/>
      <c r="AI769" s="137"/>
      <c r="AJ769" s="137"/>
      <c r="AK769" s="137"/>
      <c r="AL769" s="137"/>
    </row>
    <row r="770" spans="1:38" ht="15.75" customHeight="1">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c r="AA770" s="137"/>
      <c r="AB770" s="137"/>
      <c r="AC770" s="137"/>
      <c r="AD770" s="137"/>
      <c r="AE770" s="137"/>
      <c r="AF770" s="137"/>
      <c r="AG770" s="137"/>
      <c r="AH770" s="137"/>
      <c r="AI770" s="137"/>
      <c r="AJ770" s="137"/>
      <c r="AK770" s="137"/>
      <c r="AL770" s="137"/>
    </row>
    <row r="771" spans="1:38" ht="15.75" customHeight="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c r="AA771" s="137"/>
      <c r="AB771" s="137"/>
      <c r="AC771" s="137"/>
      <c r="AD771" s="137"/>
      <c r="AE771" s="137"/>
      <c r="AF771" s="137"/>
      <c r="AG771" s="137"/>
      <c r="AH771" s="137"/>
      <c r="AI771" s="137"/>
      <c r="AJ771" s="137"/>
      <c r="AK771" s="137"/>
      <c r="AL771" s="137"/>
    </row>
    <row r="772" spans="1:38" ht="15.75" customHeight="1">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c r="AA772" s="137"/>
      <c r="AB772" s="137"/>
      <c r="AC772" s="137"/>
      <c r="AD772" s="137"/>
      <c r="AE772" s="137"/>
      <c r="AF772" s="137"/>
      <c r="AG772" s="137"/>
      <c r="AH772" s="137"/>
      <c r="AI772" s="137"/>
      <c r="AJ772" s="137"/>
      <c r="AK772" s="137"/>
      <c r="AL772" s="137"/>
    </row>
    <row r="773" spans="1:38" ht="15.75" customHeight="1">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c r="AA773" s="137"/>
      <c r="AB773" s="137"/>
      <c r="AC773" s="137"/>
      <c r="AD773" s="137"/>
      <c r="AE773" s="137"/>
      <c r="AF773" s="137"/>
      <c r="AG773" s="137"/>
      <c r="AH773" s="137"/>
      <c r="AI773" s="137"/>
      <c r="AJ773" s="137"/>
      <c r="AK773" s="137"/>
      <c r="AL773" s="137"/>
    </row>
    <row r="774" spans="1:38" ht="15.75" customHeight="1">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c r="AA774" s="137"/>
      <c r="AB774" s="137"/>
      <c r="AC774" s="137"/>
      <c r="AD774" s="137"/>
      <c r="AE774" s="137"/>
      <c r="AF774" s="137"/>
      <c r="AG774" s="137"/>
      <c r="AH774" s="137"/>
      <c r="AI774" s="137"/>
      <c r="AJ774" s="137"/>
      <c r="AK774" s="137"/>
      <c r="AL774" s="137"/>
    </row>
    <row r="775" spans="1:38" ht="15.75" customHeight="1">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c r="AA775" s="137"/>
      <c r="AB775" s="137"/>
      <c r="AC775" s="137"/>
      <c r="AD775" s="137"/>
      <c r="AE775" s="137"/>
      <c r="AF775" s="137"/>
      <c r="AG775" s="137"/>
      <c r="AH775" s="137"/>
      <c r="AI775" s="137"/>
      <c r="AJ775" s="137"/>
      <c r="AK775" s="137"/>
      <c r="AL775" s="137"/>
    </row>
    <row r="776" spans="1:38" ht="15.75" customHeight="1">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c r="AA776" s="137"/>
      <c r="AB776" s="137"/>
      <c r="AC776" s="137"/>
      <c r="AD776" s="137"/>
      <c r="AE776" s="137"/>
      <c r="AF776" s="137"/>
      <c r="AG776" s="137"/>
      <c r="AH776" s="137"/>
      <c r="AI776" s="137"/>
      <c r="AJ776" s="137"/>
      <c r="AK776" s="137"/>
      <c r="AL776" s="137"/>
    </row>
    <row r="777" spans="1:38" ht="15.75" customHeight="1">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c r="AA777" s="137"/>
      <c r="AB777" s="137"/>
      <c r="AC777" s="137"/>
      <c r="AD777" s="137"/>
      <c r="AE777" s="137"/>
      <c r="AF777" s="137"/>
      <c r="AG777" s="137"/>
      <c r="AH777" s="137"/>
      <c r="AI777" s="137"/>
      <c r="AJ777" s="137"/>
      <c r="AK777" s="137"/>
      <c r="AL777" s="137"/>
    </row>
    <row r="778" spans="1:38" ht="15.75" customHeight="1">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c r="AA778" s="137"/>
      <c r="AB778" s="137"/>
      <c r="AC778" s="137"/>
      <c r="AD778" s="137"/>
      <c r="AE778" s="137"/>
      <c r="AF778" s="137"/>
      <c r="AG778" s="137"/>
      <c r="AH778" s="137"/>
      <c r="AI778" s="137"/>
      <c r="AJ778" s="137"/>
      <c r="AK778" s="137"/>
      <c r="AL778" s="137"/>
    </row>
    <row r="779" spans="1:38" ht="15.75" customHeight="1">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c r="AA779" s="137"/>
      <c r="AB779" s="137"/>
      <c r="AC779" s="137"/>
      <c r="AD779" s="137"/>
      <c r="AE779" s="137"/>
      <c r="AF779" s="137"/>
      <c r="AG779" s="137"/>
      <c r="AH779" s="137"/>
      <c r="AI779" s="137"/>
      <c r="AJ779" s="137"/>
      <c r="AK779" s="137"/>
      <c r="AL779" s="137"/>
    </row>
    <row r="780" spans="1:38" ht="15.75" customHeight="1">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c r="AA780" s="137"/>
      <c r="AB780" s="137"/>
      <c r="AC780" s="137"/>
      <c r="AD780" s="137"/>
      <c r="AE780" s="137"/>
      <c r="AF780" s="137"/>
      <c r="AG780" s="137"/>
      <c r="AH780" s="137"/>
      <c r="AI780" s="137"/>
      <c r="AJ780" s="137"/>
      <c r="AK780" s="137"/>
      <c r="AL780" s="137"/>
    </row>
    <row r="781" spans="1:38" ht="15.75" customHeight="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c r="AA781" s="137"/>
      <c r="AB781" s="137"/>
      <c r="AC781" s="137"/>
      <c r="AD781" s="137"/>
      <c r="AE781" s="137"/>
      <c r="AF781" s="137"/>
      <c r="AG781" s="137"/>
      <c r="AH781" s="137"/>
      <c r="AI781" s="137"/>
      <c r="AJ781" s="137"/>
      <c r="AK781" s="137"/>
      <c r="AL781" s="137"/>
    </row>
    <row r="782" spans="1:38" ht="15.75" customHeight="1">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c r="AA782" s="137"/>
      <c r="AB782" s="137"/>
      <c r="AC782" s="137"/>
      <c r="AD782" s="137"/>
      <c r="AE782" s="137"/>
      <c r="AF782" s="137"/>
      <c r="AG782" s="137"/>
      <c r="AH782" s="137"/>
      <c r="AI782" s="137"/>
      <c r="AJ782" s="137"/>
      <c r="AK782" s="137"/>
      <c r="AL782" s="137"/>
    </row>
    <row r="783" spans="1:38" ht="15.75" customHeight="1">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c r="AA783" s="137"/>
      <c r="AB783" s="137"/>
      <c r="AC783" s="137"/>
      <c r="AD783" s="137"/>
      <c r="AE783" s="137"/>
      <c r="AF783" s="137"/>
      <c r="AG783" s="137"/>
      <c r="AH783" s="137"/>
      <c r="AI783" s="137"/>
      <c r="AJ783" s="137"/>
      <c r="AK783" s="137"/>
      <c r="AL783" s="137"/>
    </row>
    <row r="784" spans="1:38" ht="15.75" customHeight="1">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c r="AA784" s="137"/>
      <c r="AB784" s="137"/>
      <c r="AC784" s="137"/>
      <c r="AD784" s="137"/>
      <c r="AE784" s="137"/>
      <c r="AF784" s="137"/>
      <c r="AG784" s="137"/>
      <c r="AH784" s="137"/>
      <c r="AI784" s="137"/>
      <c r="AJ784" s="137"/>
      <c r="AK784" s="137"/>
      <c r="AL784" s="137"/>
    </row>
    <row r="785" spans="1:38" ht="15.75" customHeight="1">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c r="AA785" s="137"/>
      <c r="AB785" s="137"/>
      <c r="AC785" s="137"/>
      <c r="AD785" s="137"/>
      <c r="AE785" s="137"/>
      <c r="AF785" s="137"/>
      <c r="AG785" s="137"/>
      <c r="AH785" s="137"/>
      <c r="AI785" s="137"/>
      <c r="AJ785" s="137"/>
      <c r="AK785" s="137"/>
      <c r="AL785" s="137"/>
    </row>
    <row r="786" spans="1:38" ht="15.75" customHeight="1">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c r="AA786" s="137"/>
      <c r="AB786" s="137"/>
      <c r="AC786" s="137"/>
      <c r="AD786" s="137"/>
      <c r="AE786" s="137"/>
      <c r="AF786" s="137"/>
      <c r="AG786" s="137"/>
      <c r="AH786" s="137"/>
      <c r="AI786" s="137"/>
      <c r="AJ786" s="137"/>
      <c r="AK786" s="137"/>
      <c r="AL786" s="137"/>
    </row>
    <row r="787" spans="1:38" ht="15.75" customHeight="1">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c r="AA787" s="137"/>
      <c r="AB787" s="137"/>
      <c r="AC787" s="137"/>
      <c r="AD787" s="137"/>
      <c r="AE787" s="137"/>
      <c r="AF787" s="137"/>
      <c r="AG787" s="137"/>
      <c r="AH787" s="137"/>
      <c r="AI787" s="137"/>
      <c r="AJ787" s="137"/>
      <c r="AK787" s="137"/>
      <c r="AL787" s="137"/>
    </row>
    <row r="788" spans="1:38" ht="15.75" customHeight="1">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c r="AA788" s="137"/>
      <c r="AB788" s="137"/>
      <c r="AC788" s="137"/>
      <c r="AD788" s="137"/>
      <c r="AE788" s="137"/>
      <c r="AF788" s="137"/>
      <c r="AG788" s="137"/>
      <c r="AH788" s="137"/>
      <c r="AI788" s="137"/>
      <c r="AJ788" s="137"/>
      <c r="AK788" s="137"/>
      <c r="AL788" s="137"/>
    </row>
    <row r="789" spans="1:38" ht="15.75" customHeight="1">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c r="AA789" s="137"/>
      <c r="AB789" s="137"/>
      <c r="AC789" s="137"/>
      <c r="AD789" s="137"/>
      <c r="AE789" s="137"/>
      <c r="AF789" s="137"/>
      <c r="AG789" s="137"/>
      <c r="AH789" s="137"/>
      <c r="AI789" s="137"/>
      <c r="AJ789" s="137"/>
      <c r="AK789" s="137"/>
      <c r="AL789" s="137"/>
    </row>
    <row r="790" spans="1:38" ht="15.75" customHeight="1">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c r="AA790" s="137"/>
      <c r="AB790" s="137"/>
      <c r="AC790" s="137"/>
      <c r="AD790" s="137"/>
      <c r="AE790" s="137"/>
      <c r="AF790" s="137"/>
      <c r="AG790" s="137"/>
      <c r="AH790" s="137"/>
      <c r="AI790" s="137"/>
      <c r="AJ790" s="137"/>
      <c r="AK790" s="137"/>
      <c r="AL790" s="137"/>
    </row>
    <row r="791" spans="1:38" ht="15.75" customHeight="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c r="AA791" s="137"/>
      <c r="AB791" s="137"/>
      <c r="AC791" s="137"/>
      <c r="AD791" s="137"/>
      <c r="AE791" s="137"/>
      <c r="AF791" s="137"/>
      <c r="AG791" s="137"/>
      <c r="AH791" s="137"/>
      <c r="AI791" s="137"/>
      <c r="AJ791" s="137"/>
      <c r="AK791" s="137"/>
      <c r="AL791" s="137"/>
    </row>
    <row r="792" spans="1:38" ht="15.75" customHeight="1">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c r="AA792" s="137"/>
      <c r="AB792" s="137"/>
      <c r="AC792" s="137"/>
      <c r="AD792" s="137"/>
      <c r="AE792" s="137"/>
      <c r="AF792" s="137"/>
      <c r="AG792" s="137"/>
      <c r="AH792" s="137"/>
      <c r="AI792" s="137"/>
      <c r="AJ792" s="137"/>
      <c r="AK792" s="137"/>
      <c r="AL792" s="137"/>
    </row>
    <row r="793" spans="1:38" ht="15.75" customHeight="1">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c r="AA793" s="137"/>
      <c r="AB793" s="137"/>
      <c r="AC793" s="137"/>
      <c r="AD793" s="137"/>
      <c r="AE793" s="137"/>
      <c r="AF793" s="137"/>
      <c r="AG793" s="137"/>
      <c r="AH793" s="137"/>
      <c r="AI793" s="137"/>
      <c r="AJ793" s="137"/>
      <c r="AK793" s="137"/>
      <c r="AL793" s="137"/>
    </row>
    <row r="794" spans="1:38" ht="15.75" customHeight="1">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c r="AA794" s="137"/>
      <c r="AB794" s="137"/>
      <c r="AC794" s="137"/>
      <c r="AD794" s="137"/>
      <c r="AE794" s="137"/>
      <c r="AF794" s="137"/>
      <c r="AG794" s="137"/>
      <c r="AH794" s="137"/>
      <c r="AI794" s="137"/>
      <c r="AJ794" s="137"/>
      <c r="AK794" s="137"/>
      <c r="AL794" s="137"/>
    </row>
    <row r="795" spans="1:38" ht="15.75" customHeight="1">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c r="AA795" s="137"/>
      <c r="AB795" s="137"/>
      <c r="AC795" s="137"/>
      <c r="AD795" s="137"/>
      <c r="AE795" s="137"/>
      <c r="AF795" s="137"/>
      <c r="AG795" s="137"/>
      <c r="AH795" s="137"/>
      <c r="AI795" s="137"/>
      <c r="AJ795" s="137"/>
      <c r="AK795" s="137"/>
      <c r="AL795" s="137"/>
    </row>
    <row r="796" spans="1:38" ht="15.75" customHeight="1">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c r="AA796" s="137"/>
      <c r="AB796" s="137"/>
      <c r="AC796" s="137"/>
      <c r="AD796" s="137"/>
      <c r="AE796" s="137"/>
      <c r="AF796" s="137"/>
      <c r="AG796" s="137"/>
      <c r="AH796" s="137"/>
      <c r="AI796" s="137"/>
      <c r="AJ796" s="137"/>
      <c r="AK796" s="137"/>
      <c r="AL796" s="137"/>
    </row>
    <row r="797" spans="1:38" ht="15.75" customHeight="1">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c r="AA797" s="137"/>
      <c r="AB797" s="137"/>
      <c r="AC797" s="137"/>
      <c r="AD797" s="137"/>
      <c r="AE797" s="137"/>
      <c r="AF797" s="137"/>
      <c r="AG797" s="137"/>
      <c r="AH797" s="137"/>
      <c r="AI797" s="137"/>
      <c r="AJ797" s="137"/>
      <c r="AK797" s="137"/>
      <c r="AL797" s="137"/>
    </row>
    <row r="798" spans="1:38" ht="15.75" customHeight="1">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c r="AA798" s="137"/>
      <c r="AB798" s="137"/>
      <c r="AC798" s="137"/>
      <c r="AD798" s="137"/>
      <c r="AE798" s="137"/>
      <c r="AF798" s="137"/>
      <c r="AG798" s="137"/>
      <c r="AH798" s="137"/>
      <c r="AI798" s="137"/>
      <c r="AJ798" s="137"/>
      <c r="AK798" s="137"/>
      <c r="AL798" s="137"/>
    </row>
    <row r="799" spans="1:38" ht="15.75" customHeight="1">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c r="AA799" s="137"/>
      <c r="AB799" s="137"/>
      <c r="AC799" s="137"/>
      <c r="AD799" s="137"/>
      <c r="AE799" s="137"/>
      <c r="AF799" s="137"/>
      <c r="AG799" s="137"/>
      <c r="AH799" s="137"/>
      <c r="AI799" s="137"/>
      <c r="AJ799" s="137"/>
      <c r="AK799" s="137"/>
      <c r="AL799" s="137"/>
    </row>
    <row r="800" spans="1:38" ht="15.75" customHeight="1">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c r="AA800" s="137"/>
      <c r="AB800" s="137"/>
      <c r="AC800" s="137"/>
      <c r="AD800" s="137"/>
      <c r="AE800" s="137"/>
      <c r="AF800" s="137"/>
      <c r="AG800" s="137"/>
      <c r="AH800" s="137"/>
      <c r="AI800" s="137"/>
      <c r="AJ800" s="137"/>
      <c r="AK800" s="137"/>
      <c r="AL800" s="137"/>
    </row>
    <row r="801" spans="1:38" ht="15.75" customHeight="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c r="AA801" s="137"/>
      <c r="AB801" s="137"/>
      <c r="AC801" s="137"/>
      <c r="AD801" s="137"/>
      <c r="AE801" s="137"/>
      <c r="AF801" s="137"/>
      <c r="AG801" s="137"/>
      <c r="AH801" s="137"/>
      <c r="AI801" s="137"/>
      <c r="AJ801" s="137"/>
      <c r="AK801" s="137"/>
      <c r="AL801" s="137"/>
    </row>
    <row r="802" spans="1:38" ht="15.75" customHeight="1">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c r="AA802" s="137"/>
      <c r="AB802" s="137"/>
      <c r="AC802" s="137"/>
      <c r="AD802" s="137"/>
      <c r="AE802" s="137"/>
      <c r="AF802" s="137"/>
      <c r="AG802" s="137"/>
      <c r="AH802" s="137"/>
      <c r="AI802" s="137"/>
      <c r="AJ802" s="137"/>
      <c r="AK802" s="137"/>
      <c r="AL802" s="137"/>
    </row>
    <row r="803" spans="1:38" ht="15.75" customHeight="1">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c r="AA803" s="137"/>
      <c r="AB803" s="137"/>
      <c r="AC803" s="137"/>
      <c r="AD803" s="137"/>
      <c r="AE803" s="137"/>
      <c r="AF803" s="137"/>
      <c r="AG803" s="137"/>
      <c r="AH803" s="137"/>
      <c r="AI803" s="137"/>
      <c r="AJ803" s="137"/>
      <c r="AK803" s="137"/>
      <c r="AL803" s="137"/>
    </row>
    <row r="804" spans="1:38" ht="15.75" customHeight="1">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c r="AA804" s="137"/>
      <c r="AB804" s="137"/>
      <c r="AC804" s="137"/>
      <c r="AD804" s="137"/>
      <c r="AE804" s="137"/>
      <c r="AF804" s="137"/>
      <c r="AG804" s="137"/>
      <c r="AH804" s="137"/>
      <c r="AI804" s="137"/>
      <c r="AJ804" s="137"/>
      <c r="AK804" s="137"/>
      <c r="AL804" s="137"/>
    </row>
    <row r="805" spans="1:38" ht="15.75" customHeight="1">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c r="AA805" s="137"/>
      <c r="AB805" s="137"/>
      <c r="AC805" s="137"/>
      <c r="AD805" s="137"/>
      <c r="AE805" s="137"/>
      <c r="AF805" s="137"/>
      <c r="AG805" s="137"/>
      <c r="AH805" s="137"/>
      <c r="AI805" s="137"/>
      <c r="AJ805" s="137"/>
      <c r="AK805" s="137"/>
      <c r="AL805" s="137"/>
    </row>
    <row r="806" spans="1:38" ht="15.75" customHeight="1">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c r="AA806" s="137"/>
      <c r="AB806" s="137"/>
      <c r="AC806" s="137"/>
      <c r="AD806" s="137"/>
      <c r="AE806" s="137"/>
      <c r="AF806" s="137"/>
      <c r="AG806" s="137"/>
      <c r="AH806" s="137"/>
      <c r="AI806" s="137"/>
      <c r="AJ806" s="137"/>
      <c r="AK806" s="137"/>
      <c r="AL806" s="137"/>
    </row>
    <row r="807" spans="1:38" ht="15.75" customHeight="1">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c r="AA807" s="137"/>
      <c r="AB807" s="137"/>
      <c r="AC807" s="137"/>
      <c r="AD807" s="137"/>
      <c r="AE807" s="137"/>
      <c r="AF807" s="137"/>
      <c r="AG807" s="137"/>
      <c r="AH807" s="137"/>
      <c r="AI807" s="137"/>
      <c r="AJ807" s="137"/>
      <c r="AK807" s="137"/>
      <c r="AL807" s="137"/>
    </row>
    <row r="808" spans="1:38" ht="15.75" customHeight="1">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c r="AA808" s="137"/>
      <c r="AB808" s="137"/>
      <c r="AC808" s="137"/>
      <c r="AD808" s="137"/>
      <c r="AE808" s="137"/>
      <c r="AF808" s="137"/>
      <c r="AG808" s="137"/>
      <c r="AH808" s="137"/>
      <c r="AI808" s="137"/>
      <c r="AJ808" s="137"/>
      <c r="AK808" s="137"/>
      <c r="AL808" s="137"/>
    </row>
    <row r="809" spans="1:38" ht="15.75" customHeight="1">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c r="AA809" s="137"/>
      <c r="AB809" s="137"/>
      <c r="AC809" s="137"/>
      <c r="AD809" s="137"/>
      <c r="AE809" s="137"/>
      <c r="AF809" s="137"/>
      <c r="AG809" s="137"/>
      <c r="AH809" s="137"/>
      <c r="AI809" s="137"/>
      <c r="AJ809" s="137"/>
      <c r="AK809" s="137"/>
      <c r="AL809" s="137"/>
    </row>
    <row r="810" spans="1:38" ht="15.75" customHeight="1">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c r="AA810" s="137"/>
      <c r="AB810" s="137"/>
      <c r="AC810" s="137"/>
      <c r="AD810" s="137"/>
      <c r="AE810" s="137"/>
      <c r="AF810" s="137"/>
      <c r="AG810" s="137"/>
      <c r="AH810" s="137"/>
      <c r="AI810" s="137"/>
      <c r="AJ810" s="137"/>
      <c r="AK810" s="137"/>
      <c r="AL810" s="137"/>
    </row>
    <row r="811" spans="1:38" ht="15.75" customHeight="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c r="AA811" s="137"/>
      <c r="AB811" s="137"/>
      <c r="AC811" s="137"/>
      <c r="AD811" s="137"/>
      <c r="AE811" s="137"/>
      <c r="AF811" s="137"/>
      <c r="AG811" s="137"/>
      <c r="AH811" s="137"/>
      <c r="AI811" s="137"/>
      <c r="AJ811" s="137"/>
      <c r="AK811" s="137"/>
      <c r="AL811" s="137"/>
    </row>
    <row r="812" spans="1:38" ht="15.75" customHeight="1">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c r="AA812" s="137"/>
      <c r="AB812" s="137"/>
      <c r="AC812" s="137"/>
      <c r="AD812" s="137"/>
      <c r="AE812" s="137"/>
      <c r="AF812" s="137"/>
      <c r="AG812" s="137"/>
      <c r="AH812" s="137"/>
      <c r="AI812" s="137"/>
      <c r="AJ812" s="137"/>
      <c r="AK812" s="137"/>
      <c r="AL812" s="137"/>
    </row>
    <row r="813" spans="1:38" ht="15.75" customHeight="1">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c r="AA813" s="137"/>
      <c r="AB813" s="137"/>
      <c r="AC813" s="137"/>
      <c r="AD813" s="137"/>
      <c r="AE813" s="137"/>
      <c r="AF813" s="137"/>
      <c r="AG813" s="137"/>
      <c r="AH813" s="137"/>
      <c r="AI813" s="137"/>
      <c r="AJ813" s="137"/>
      <c r="AK813" s="137"/>
      <c r="AL813" s="137"/>
    </row>
    <row r="814" spans="1:38" ht="15.75" customHeight="1">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c r="AA814" s="137"/>
      <c r="AB814" s="137"/>
      <c r="AC814" s="137"/>
      <c r="AD814" s="137"/>
      <c r="AE814" s="137"/>
      <c r="AF814" s="137"/>
      <c r="AG814" s="137"/>
      <c r="AH814" s="137"/>
      <c r="AI814" s="137"/>
      <c r="AJ814" s="137"/>
      <c r="AK814" s="137"/>
      <c r="AL814" s="137"/>
    </row>
    <row r="815" spans="1:38" ht="15.75" customHeight="1">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c r="AA815" s="137"/>
      <c r="AB815" s="137"/>
      <c r="AC815" s="137"/>
      <c r="AD815" s="137"/>
      <c r="AE815" s="137"/>
      <c r="AF815" s="137"/>
      <c r="AG815" s="137"/>
      <c r="AH815" s="137"/>
      <c r="AI815" s="137"/>
      <c r="AJ815" s="137"/>
      <c r="AK815" s="137"/>
      <c r="AL815" s="137"/>
    </row>
    <row r="816" spans="1:38" ht="15.75" customHeight="1">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c r="AA816" s="137"/>
      <c r="AB816" s="137"/>
      <c r="AC816" s="137"/>
      <c r="AD816" s="137"/>
      <c r="AE816" s="137"/>
      <c r="AF816" s="137"/>
      <c r="AG816" s="137"/>
      <c r="AH816" s="137"/>
      <c r="AI816" s="137"/>
      <c r="AJ816" s="137"/>
      <c r="AK816" s="137"/>
      <c r="AL816" s="137"/>
    </row>
    <row r="817" spans="1:38" ht="15.75" customHeight="1">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c r="AA817" s="137"/>
      <c r="AB817" s="137"/>
      <c r="AC817" s="137"/>
      <c r="AD817" s="137"/>
      <c r="AE817" s="137"/>
      <c r="AF817" s="137"/>
      <c r="AG817" s="137"/>
      <c r="AH817" s="137"/>
      <c r="AI817" s="137"/>
      <c r="AJ817" s="137"/>
      <c r="AK817" s="137"/>
      <c r="AL817" s="137"/>
    </row>
    <row r="818" spans="1:38" ht="15.75" customHeight="1">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c r="AA818" s="137"/>
      <c r="AB818" s="137"/>
      <c r="AC818" s="137"/>
      <c r="AD818" s="137"/>
      <c r="AE818" s="137"/>
      <c r="AF818" s="137"/>
      <c r="AG818" s="137"/>
      <c r="AH818" s="137"/>
      <c r="AI818" s="137"/>
      <c r="AJ818" s="137"/>
      <c r="AK818" s="137"/>
      <c r="AL818" s="137"/>
    </row>
    <row r="819" spans="1:38" ht="15.75" customHeight="1">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c r="AA819" s="137"/>
      <c r="AB819" s="137"/>
      <c r="AC819" s="137"/>
      <c r="AD819" s="137"/>
      <c r="AE819" s="137"/>
      <c r="AF819" s="137"/>
      <c r="AG819" s="137"/>
      <c r="AH819" s="137"/>
      <c r="AI819" s="137"/>
      <c r="AJ819" s="137"/>
      <c r="AK819" s="137"/>
      <c r="AL819" s="137"/>
    </row>
    <row r="820" spans="1:38" ht="15.75" customHeight="1">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c r="AA820" s="137"/>
      <c r="AB820" s="137"/>
      <c r="AC820" s="137"/>
      <c r="AD820" s="137"/>
      <c r="AE820" s="137"/>
      <c r="AF820" s="137"/>
      <c r="AG820" s="137"/>
      <c r="AH820" s="137"/>
      <c r="AI820" s="137"/>
      <c r="AJ820" s="137"/>
      <c r="AK820" s="137"/>
      <c r="AL820" s="137"/>
    </row>
    <row r="821" spans="1:38" ht="15.75" customHeight="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c r="AA821" s="137"/>
      <c r="AB821" s="137"/>
      <c r="AC821" s="137"/>
      <c r="AD821" s="137"/>
      <c r="AE821" s="137"/>
      <c r="AF821" s="137"/>
      <c r="AG821" s="137"/>
      <c r="AH821" s="137"/>
      <c r="AI821" s="137"/>
      <c r="AJ821" s="137"/>
      <c r="AK821" s="137"/>
      <c r="AL821" s="137"/>
    </row>
    <row r="822" spans="1:38" ht="15.75" customHeight="1">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c r="AA822" s="137"/>
      <c r="AB822" s="137"/>
      <c r="AC822" s="137"/>
      <c r="AD822" s="137"/>
      <c r="AE822" s="137"/>
      <c r="AF822" s="137"/>
      <c r="AG822" s="137"/>
      <c r="AH822" s="137"/>
      <c r="AI822" s="137"/>
      <c r="AJ822" s="137"/>
      <c r="AK822" s="137"/>
      <c r="AL822" s="137"/>
    </row>
    <row r="823" spans="1:38" ht="15.75" customHeight="1">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c r="AA823" s="137"/>
      <c r="AB823" s="137"/>
      <c r="AC823" s="137"/>
      <c r="AD823" s="137"/>
      <c r="AE823" s="137"/>
      <c r="AF823" s="137"/>
      <c r="AG823" s="137"/>
      <c r="AH823" s="137"/>
      <c r="AI823" s="137"/>
      <c r="AJ823" s="137"/>
      <c r="AK823" s="137"/>
      <c r="AL823" s="137"/>
    </row>
    <row r="824" spans="1:38" ht="15.75" customHeight="1">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c r="AA824" s="137"/>
      <c r="AB824" s="137"/>
      <c r="AC824" s="137"/>
      <c r="AD824" s="137"/>
      <c r="AE824" s="137"/>
      <c r="AF824" s="137"/>
      <c r="AG824" s="137"/>
      <c r="AH824" s="137"/>
      <c r="AI824" s="137"/>
      <c r="AJ824" s="137"/>
      <c r="AK824" s="137"/>
      <c r="AL824" s="137"/>
    </row>
    <row r="825" spans="1:38" ht="15.75" customHeight="1">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c r="AA825" s="137"/>
      <c r="AB825" s="137"/>
      <c r="AC825" s="137"/>
      <c r="AD825" s="137"/>
      <c r="AE825" s="137"/>
      <c r="AF825" s="137"/>
      <c r="AG825" s="137"/>
      <c r="AH825" s="137"/>
      <c r="AI825" s="137"/>
      <c r="AJ825" s="137"/>
      <c r="AK825" s="137"/>
      <c r="AL825" s="137"/>
    </row>
    <row r="826" spans="1:38" ht="15.75" customHeight="1">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c r="AA826" s="137"/>
      <c r="AB826" s="137"/>
      <c r="AC826" s="137"/>
      <c r="AD826" s="137"/>
      <c r="AE826" s="137"/>
      <c r="AF826" s="137"/>
      <c r="AG826" s="137"/>
      <c r="AH826" s="137"/>
      <c r="AI826" s="137"/>
      <c r="AJ826" s="137"/>
      <c r="AK826" s="137"/>
      <c r="AL826" s="137"/>
    </row>
    <row r="827" spans="1:38" ht="15.75" customHeight="1">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c r="AA827" s="137"/>
      <c r="AB827" s="137"/>
      <c r="AC827" s="137"/>
      <c r="AD827" s="137"/>
      <c r="AE827" s="137"/>
      <c r="AF827" s="137"/>
      <c r="AG827" s="137"/>
      <c r="AH827" s="137"/>
      <c r="AI827" s="137"/>
      <c r="AJ827" s="137"/>
      <c r="AK827" s="137"/>
      <c r="AL827" s="137"/>
    </row>
    <row r="828" spans="1:38" ht="15.75" customHeight="1">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c r="AA828" s="137"/>
      <c r="AB828" s="137"/>
      <c r="AC828" s="137"/>
      <c r="AD828" s="137"/>
      <c r="AE828" s="137"/>
      <c r="AF828" s="137"/>
      <c r="AG828" s="137"/>
      <c r="AH828" s="137"/>
      <c r="AI828" s="137"/>
      <c r="AJ828" s="137"/>
      <c r="AK828" s="137"/>
      <c r="AL828" s="137"/>
    </row>
    <row r="829" spans="1:38" ht="15.75" customHeight="1">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c r="AA829" s="137"/>
      <c r="AB829" s="137"/>
      <c r="AC829" s="137"/>
      <c r="AD829" s="137"/>
      <c r="AE829" s="137"/>
      <c r="AF829" s="137"/>
      <c r="AG829" s="137"/>
      <c r="AH829" s="137"/>
      <c r="AI829" s="137"/>
      <c r="AJ829" s="137"/>
      <c r="AK829" s="137"/>
      <c r="AL829" s="137"/>
    </row>
    <row r="830" spans="1:38" ht="15.75" customHeight="1">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c r="AA830" s="137"/>
      <c r="AB830" s="137"/>
      <c r="AC830" s="137"/>
      <c r="AD830" s="137"/>
      <c r="AE830" s="137"/>
      <c r="AF830" s="137"/>
      <c r="AG830" s="137"/>
      <c r="AH830" s="137"/>
      <c r="AI830" s="137"/>
      <c r="AJ830" s="137"/>
      <c r="AK830" s="137"/>
      <c r="AL830" s="137"/>
    </row>
    <row r="831" spans="1:38" ht="15.75" customHeight="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c r="AA831" s="137"/>
      <c r="AB831" s="137"/>
      <c r="AC831" s="137"/>
      <c r="AD831" s="137"/>
      <c r="AE831" s="137"/>
      <c r="AF831" s="137"/>
      <c r="AG831" s="137"/>
      <c r="AH831" s="137"/>
      <c r="AI831" s="137"/>
      <c r="AJ831" s="137"/>
      <c r="AK831" s="137"/>
      <c r="AL831" s="137"/>
    </row>
    <row r="832" spans="1:38" ht="15.75" customHeight="1">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c r="AA832" s="137"/>
      <c r="AB832" s="137"/>
      <c r="AC832" s="137"/>
      <c r="AD832" s="137"/>
      <c r="AE832" s="137"/>
      <c r="AF832" s="137"/>
      <c r="AG832" s="137"/>
      <c r="AH832" s="137"/>
      <c r="AI832" s="137"/>
      <c r="AJ832" s="137"/>
      <c r="AK832" s="137"/>
      <c r="AL832" s="137"/>
    </row>
    <row r="833" spans="1:38" ht="15.75" customHeight="1">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c r="AA833" s="137"/>
      <c r="AB833" s="137"/>
      <c r="AC833" s="137"/>
      <c r="AD833" s="137"/>
      <c r="AE833" s="137"/>
      <c r="AF833" s="137"/>
      <c r="AG833" s="137"/>
      <c r="AH833" s="137"/>
      <c r="AI833" s="137"/>
      <c r="AJ833" s="137"/>
      <c r="AK833" s="137"/>
      <c r="AL833" s="137"/>
    </row>
    <row r="834" spans="1:38" ht="15.75" customHeight="1">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c r="AA834" s="137"/>
      <c r="AB834" s="137"/>
      <c r="AC834" s="137"/>
      <c r="AD834" s="137"/>
      <c r="AE834" s="137"/>
      <c r="AF834" s="137"/>
      <c r="AG834" s="137"/>
      <c r="AH834" s="137"/>
      <c r="AI834" s="137"/>
      <c r="AJ834" s="137"/>
      <c r="AK834" s="137"/>
      <c r="AL834" s="137"/>
    </row>
    <row r="835" spans="1:38" ht="15.75" customHeight="1">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c r="AA835" s="137"/>
      <c r="AB835" s="137"/>
      <c r="AC835" s="137"/>
      <c r="AD835" s="137"/>
      <c r="AE835" s="137"/>
      <c r="AF835" s="137"/>
      <c r="AG835" s="137"/>
      <c r="AH835" s="137"/>
      <c r="AI835" s="137"/>
      <c r="AJ835" s="137"/>
      <c r="AK835" s="137"/>
      <c r="AL835" s="137"/>
    </row>
    <row r="836" spans="1:38" ht="15.75" customHeight="1">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c r="AA836" s="137"/>
      <c r="AB836" s="137"/>
      <c r="AC836" s="137"/>
      <c r="AD836" s="137"/>
      <c r="AE836" s="137"/>
      <c r="AF836" s="137"/>
      <c r="AG836" s="137"/>
      <c r="AH836" s="137"/>
      <c r="AI836" s="137"/>
      <c r="AJ836" s="137"/>
      <c r="AK836" s="137"/>
      <c r="AL836" s="137"/>
    </row>
    <row r="837" spans="1:38" ht="15.75" customHeight="1">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c r="AA837" s="137"/>
      <c r="AB837" s="137"/>
      <c r="AC837" s="137"/>
      <c r="AD837" s="137"/>
      <c r="AE837" s="137"/>
      <c r="AF837" s="137"/>
      <c r="AG837" s="137"/>
      <c r="AH837" s="137"/>
      <c r="AI837" s="137"/>
      <c r="AJ837" s="137"/>
      <c r="AK837" s="137"/>
      <c r="AL837" s="137"/>
    </row>
    <row r="838" spans="1:38" ht="15.75" customHeight="1">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c r="AA838" s="137"/>
      <c r="AB838" s="137"/>
      <c r="AC838" s="137"/>
      <c r="AD838" s="137"/>
      <c r="AE838" s="137"/>
      <c r="AF838" s="137"/>
      <c r="AG838" s="137"/>
      <c r="AH838" s="137"/>
      <c r="AI838" s="137"/>
      <c r="AJ838" s="137"/>
      <c r="AK838" s="137"/>
      <c r="AL838" s="137"/>
    </row>
    <row r="839" spans="1:38" ht="15.75" customHeight="1">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c r="AA839" s="137"/>
      <c r="AB839" s="137"/>
      <c r="AC839" s="137"/>
      <c r="AD839" s="137"/>
      <c r="AE839" s="137"/>
      <c r="AF839" s="137"/>
      <c r="AG839" s="137"/>
      <c r="AH839" s="137"/>
      <c r="AI839" s="137"/>
      <c r="AJ839" s="137"/>
      <c r="AK839" s="137"/>
      <c r="AL839" s="137"/>
    </row>
    <row r="840" spans="1:38" ht="15.75" customHeight="1">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c r="AA840" s="137"/>
      <c r="AB840" s="137"/>
      <c r="AC840" s="137"/>
      <c r="AD840" s="137"/>
      <c r="AE840" s="137"/>
      <c r="AF840" s="137"/>
      <c r="AG840" s="137"/>
      <c r="AH840" s="137"/>
      <c r="AI840" s="137"/>
      <c r="AJ840" s="137"/>
      <c r="AK840" s="137"/>
      <c r="AL840" s="137"/>
    </row>
    <row r="841" spans="1:38" ht="15.75" customHeight="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c r="AA841" s="137"/>
      <c r="AB841" s="137"/>
      <c r="AC841" s="137"/>
      <c r="AD841" s="137"/>
      <c r="AE841" s="137"/>
      <c r="AF841" s="137"/>
      <c r="AG841" s="137"/>
      <c r="AH841" s="137"/>
      <c r="AI841" s="137"/>
      <c r="AJ841" s="137"/>
      <c r="AK841" s="137"/>
      <c r="AL841" s="137"/>
    </row>
    <row r="842" spans="1:38" ht="15.75" customHeight="1">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c r="AA842" s="137"/>
      <c r="AB842" s="137"/>
      <c r="AC842" s="137"/>
      <c r="AD842" s="137"/>
      <c r="AE842" s="137"/>
      <c r="AF842" s="137"/>
      <c r="AG842" s="137"/>
      <c r="AH842" s="137"/>
      <c r="AI842" s="137"/>
      <c r="AJ842" s="137"/>
      <c r="AK842" s="137"/>
      <c r="AL842" s="137"/>
    </row>
    <row r="843" spans="1:38" ht="15.75" customHeight="1">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c r="AA843" s="137"/>
      <c r="AB843" s="137"/>
      <c r="AC843" s="137"/>
      <c r="AD843" s="137"/>
      <c r="AE843" s="137"/>
      <c r="AF843" s="137"/>
      <c r="AG843" s="137"/>
      <c r="AH843" s="137"/>
      <c r="AI843" s="137"/>
      <c r="AJ843" s="137"/>
      <c r="AK843" s="137"/>
      <c r="AL843" s="137"/>
    </row>
    <row r="844" spans="1:38" ht="15.75" customHeight="1">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c r="AA844" s="137"/>
      <c r="AB844" s="137"/>
      <c r="AC844" s="137"/>
      <c r="AD844" s="137"/>
      <c r="AE844" s="137"/>
      <c r="AF844" s="137"/>
      <c r="AG844" s="137"/>
      <c r="AH844" s="137"/>
      <c r="AI844" s="137"/>
      <c r="AJ844" s="137"/>
      <c r="AK844" s="137"/>
      <c r="AL844" s="137"/>
    </row>
    <row r="845" spans="1:38" ht="15.75" customHeight="1">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c r="AA845" s="137"/>
      <c r="AB845" s="137"/>
      <c r="AC845" s="137"/>
      <c r="AD845" s="137"/>
      <c r="AE845" s="137"/>
      <c r="AF845" s="137"/>
      <c r="AG845" s="137"/>
      <c r="AH845" s="137"/>
      <c r="AI845" s="137"/>
      <c r="AJ845" s="137"/>
      <c r="AK845" s="137"/>
      <c r="AL845" s="137"/>
    </row>
    <row r="846" spans="1:38" ht="15.75" customHeight="1">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c r="AA846" s="137"/>
      <c r="AB846" s="137"/>
      <c r="AC846" s="137"/>
      <c r="AD846" s="137"/>
      <c r="AE846" s="137"/>
      <c r="AF846" s="137"/>
      <c r="AG846" s="137"/>
      <c r="AH846" s="137"/>
      <c r="AI846" s="137"/>
      <c r="AJ846" s="137"/>
      <c r="AK846" s="137"/>
      <c r="AL846" s="137"/>
    </row>
    <row r="847" spans="1:38" ht="15.75" customHeight="1">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c r="AA847" s="137"/>
      <c r="AB847" s="137"/>
      <c r="AC847" s="137"/>
      <c r="AD847" s="137"/>
      <c r="AE847" s="137"/>
      <c r="AF847" s="137"/>
      <c r="AG847" s="137"/>
      <c r="AH847" s="137"/>
      <c r="AI847" s="137"/>
      <c r="AJ847" s="137"/>
      <c r="AK847" s="137"/>
      <c r="AL847" s="137"/>
    </row>
    <row r="848" spans="1:38" ht="15.75" customHeight="1">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c r="AA848" s="137"/>
      <c r="AB848" s="137"/>
      <c r="AC848" s="137"/>
      <c r="AD848" s="137"/>
      <c r="AE848" s="137"/>
      <c r="AF848" s="137"/>
      <c r="AG848" s="137"/>
      <c r="AH848" s="137"/>
      <c r="AI848" s="137"/>
      <c r="AJ848" s="137"/>
      <c r="AK848" s="137"/>
      <c r="AL848" s="137"/>
    </row>
    <row r="849" spans="1:38" ht="15.75" customHeight="1">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c r="AA849" s="137"/>
      <c r="AB849" s="137"/>
      <c r="AC849" s="137"/>
      <c r="AD849" s="137"/>
      <c r="AE849" s="137"/>
      <c r="AF849" s="137"/>
      <c r="AG849" s="137"/>
      <c r="AH849" s="137"/>
      <c r="AI849" s="137"/>
      <c r="AJ849" s="137"/>
      <c r="AK849" s="137"/>
      <c r="AL849" s="137"/>
    </row>
    <row r="850" spans="1:38" ht="15.75" customHeight="1">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c r="AA850" s="137"/>
      <c r="AB850" s="137"/>
      <c r="AC850" s="137"/>
      <c r="AD850" s="137"/>
      <c r="AE850" s="137"/>
      <c r="AF850" s="137"/>
      <c r="AG850" s="137"/>
      <c r="AH850" s="137"/>
      <c r="AI850" s="137"/>
      <c r="AJ850" s="137"/>
      <c r="AK850" s="137"/>
      <c r="AL850" s="137"/>
    </row>
    <row r="851" spans="1:38" ht="15.75" customHeight="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c r="AA851" s="137"/>
      <c r="AB851" s="137"/>
      <c r="AC851" s="137"/>
      <c r="AD851" s="137"/>
      <c r="AE851" s="137"/>
      <c r="AF851" s="137"/>
      <c r="AG851" s="137"/>
      <c r="AH851" s="137"/>
      <c r="AI851" s="137"/>
      <c r="AJ851" s="137"/>
      <c r="AK851" s="137"/>
      <c r="AL851" s="137"/>
    </row>
    <row r="852" spans="1:38" ht="15.75" customHeight="1">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c r="AA852" s="137"/>
      <c r="AB852" s="137"/>
      <c r="AC852" s="137"/>
      <c r="AD852" s="137"/>
      <c r="AE852" s="137"/>
      <c r="AF852" s="137"/>
      <c r="AG852" s="137"/>
      <c r="AH852" s="137"/>
      <c r="AI852" s="137"/>
      <c r="AJ852" s="137"/>
      <c r="AK852" s="137"/>
      <c r="AL852" s="137"/>
    </row>
    <row r="853" spans="1:38" ht="15.75" customHeight="1">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c r="AA853" s="137"/>
      <c r="AB853" s="137"/>
      <c r="AC853" s="137"/>
      <c r="AD853" s="137"/>
      <c r="AE853" s="137"/>
      <c r="AF853" s="137"/>
      <c r="AG853" s="137"/>
      <c r="AH853" s="137"/>
      <c r="AI853" s="137"/>
      <c r="AJ853" s="137"/>
      <c r="AK853" s="137"/>
      <c r="AL853" s="137"/>
    </row>
    <row r="854" spans="1:38" ht="15.75" customHeight="1">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c r="AA854" s="137"/>
      <c r="AB854" s="137"/>
      <c r="AC854" s="137"/>
      <c r="AD854" s="137"/>
      <c r="AE854" s="137"/>
      <c r="AF854" s="137"/>
      <c r="AG854" s="137"/>
      <c r="AH854" s="137"/>
      <c r="AI854" s="137"/>
      <c r="AJ854" s="137"/>
      <c r="AK854" s="137"/>
      <c r="AL854" s="137"/>
    </row>
    <row r="855" spans="1:38" ht="15.75" customHeight="1">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c r="AA855" s="137"/>
      <c r="AB855" s="137"/>
      <c r="AC855" s="137"/>
      <c r="AD855" s="137"/>
      <c r="AE855" s="137"/>
      <c r="AF855" s="137"/>
      <c r="AG855" s="137"/>
      <c r="AH855" s="137"/>
      <c r="AI855" s="137"/>
      <c r="AJ855" s="137"/>
      <c r="AK855" s="137"/>
      <c r="AL855" s="137"/>
    </row>
    <row r="856" spans="1:38" ht="15.75" customHeight="1">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c r="AA856" s="137"/>
      <c r="AB856" s="137"/>
      <c r="AC856" s="137"/>
      <c r="AD856" s="137"/>
      <c r="AE856" s="137"/>
      <c r="AF856" s="137"/>
      <c r="AG856" s="137"/>
      <c r="AH856" s="137"/>
      <c r="AI856" s="137"/>
      <c r="AJ856" s="137"/>
      <c r="AK856" s="137"/>
      <c r="AL856" s="137"/>
    </row>
    <row r="857" spans="1:38" ht="15.75" customHeight="1">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c r="AA857" s="137"/>
      <c r="AB857" s="137"/>
      <c r="AC857" s="137"/>
      <c r="AD857" s="137"/>
      <c r="AE857" s="137"/>
      <c r="AF857" s="137"/>
      <c r="AG857" s="137"/>
      <c r="AH857" s="137"/>
      <c r="AI857" s="137"/>
      <c r="AJ857" s="137"/>
      <c r="AK857" s="137"/>
      <c r="AL857" s="137"/>
    </row>
    <row r="858" spans="1:38" ht="15.75" customHeight="1">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c r="AA858" s="137"/>
      <c r="AB858" s="137"/>
      <c r="AC858" s="137"/>
      <c r="AD858" s="137"/>
      <c r="AE858" s="137"/>
      <c r="AF858" s="137"/>
      <c r="AG858" s="137"/>
      <c r="AH858" s="137"/>
      <c r="AI858" s="137"/>
      <c r="AJ858" s="137"/>
      <c r="AK858" s="137"/>
      <c r="AL858" s="137"/>
    </row>
    <row r="859" spans="1:38" ht="15.75" customHeight="1">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c r="AA859" s="137"/>
      <c r="AB859" s="137"/>
      <c r="AC859" s="137"/>
      <c r="AD859" s="137"/>
      <c r="AE859" s="137"/>
      <c r="AF859" s="137"/>
      <c r="AG859" s="137"/>
      <c r="AH859" s="137"/>
      <c r="AI859" s="137"/>
      <c r="AJ859" s="137"/>
      <c r="AK859" s="137"/>
      <c r="AL859" s="137"/>
    </row>
    <row r="860" spans="1:38" ht="15.75" customHeight="1">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c r="AA860" s="137"/>
      <c r="AB860" s="137"/>
      <c r="AC860" s="137"/>
      <c r="AD860" s="137"/>
      <c r="AE860" s="137"/>
      <c r="AF860" s="137"/>
      <c r="AG860" s="137"/>
      <c r="AH860" s="137"/>
      <c r="AI860" s="137"/>
      <c r="AJ860" s="137"/>
      <c r="AK860" s="137"/>
      <c r="AL860" s="137"/>
    </row>
    <row r="861" spans="1:38" ht="15.75" customHeight="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c r="AA861" s="137"/>
      <c r="AB861" s="137"/>
      <c r="AC861" s="137"/>
      <c r="AD861" s="137"/>
      <c r="AE861" s="137"/>
      <c r="AF861" s="137"/>
      <c r="AG861" s="137"/>
      <c r="AH861" s="137"/>
      <c r="AI861" s="137"/>
      <c r="AJ861" s="137"/>
      <c r="AK861" s="137"/>
      <c r="AL861" s="137"/>
    </row>
    <row r="862" spans="1:38" ht="15.75" customHeight="1">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c r="AA862" s="137"/>
      <c r="AB862" s="137"/>
      <c r="AC862" s="137"/>
      <c r="AD862" s="137"/>
      <c r="AE862" s="137"/>
      <c r="AF862" s="137"/>
      <c r="AG862" s="137"/>
      <c r="AH862" s="137"/>
      <c r="AI862" s="137"/>
      <c r="AJ862" s="137"/>
      <c r="AK862" s="137"/>
      <c r="AL862" s="137"/>
    </row>
    <row r="863" spans="1:38" ht="15.75" customHeight="1">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c r="AA863" s="137"/>
      <c r="AB863" s="137"/>
      <c r="AC863" s="137"/>
      <c r="AD863" s="137"/>
      <c r="AE863" s="137"/>
      <c r="AF863" s="137"/>
      <c r="AG863" s="137"/>
      <c r="AH863" s="137"/>
      <c r="AI863" s="137"/>
      <c r="AJ863" s="137"/>
      <c r="AK863" s="137"/>
      <c r="AL863" s="137"/>
    </row>
    <row r="864" spans="1:38" ht="15.75" customHeight="1">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c r="AA864" s="137"/>
      <c r="AB864" s="137"/>
      <c r="AC864" s="137"/>
      <c r="AD864" s="137"/>
      <c r="AE864" s="137"/>
      <c r="AF864" s="137"/>
      <c r="AG864" s="137"/>
      <c r="AH864" s="137"/>
      <c r="AI864" s="137"/>
      <c r="AJ864" s="137"/>
      <c r="AK864" s="137"/>
      <c r="AL864" s="137"/>
    </row>
    <row r="865" spans="1:38" ht="15.75" customHeight="1">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c r="AA865" s="137"/>
      <c r="AB865" s="137"/>
      <c r="AC865" s="137"/>
      <c r="AD865" s="137"/>
      <c r="AE865" s="137"/>
      <c r="AF865" s="137"/>
      <c r="AG865" s="137"/>
      <c r="AH865" s="137"/>
      <c r="AI865" s="137"/>
      <c r="AJ865" s="137"/>
      <c r="AK865" s="137"/>
      <c r="AL865" s="137"/>
    </row>
    <row r="866" spans="1:38" ht="15.75" customHeight="1">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c r="AA866" s="137"/>
      <c r="AB866" s="137"/>
      <c r="AC866" s="137"/>
      <c r="AD866" s="137"/>
      <c r="AE866" s="137"/>
      <c r="AF866" s="137"/>
      <c r="AG866" s="137"/>
      <c r="AH866" s="137"/>
      <c r="AI866" s="137"/>
      <c r="AJ866" s="137"/>
      <c r="AK866" s="137"/>
      <c r="AL866" s="137"/>
    </row>
    <row r="867" spans="1:38" ht="15.75" customHeight="1">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c r="AA867" s="137"/>
      <c r="AB867" s="137"/>
      <c r="AC867" s="137"/>
      <c r="AD867" s="137"/>
      <c r="AE867" s="137"/>
      <c r="AF867" s="137"/>
      <c r="AG867" s="137"/>
      <c r="AH867" s="137"/>
      <c r="AI867" s="137"/>
      <c r="AJ867" s="137"/>
      <c r="AK867" s="137"/>
      <c r="AL867" s="137"/>
    </row>
    <row r="868" spans="1:38" ht="15.75" customHeight="1">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c r="AA868" s="137"/>
      <c r="AB868" s="137"/>
      <c r="AC868" s="137"/>
      <c r="AD868" s="137"/>
      <c r="AE868" s="137"/>
      <c r="AF868" s="137"/>
      <c r="AG868" s="137"/>
      <c r="AH868" s="137"/>
      <c r="AI868" s="137"/>
      <c r="AJ868" s="137"/>
      <c r="AK868" s="137"/>
      <c r="AL868" s="137"/>
    </row>
    <row r="869" spans="1:38" ht="15.75" customHeight="1">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c r="AA869" s="137"/>
      <c r="AB869" s="137"/>
      <c r="AC869" s="137"/>
      <c r="AD869" s="137"/>
      <c r="AE869" s="137"/>
      <c r="AF869" s="137"/>
      <c r="AG869" s="137"/>
      <c r="AH869" s="137"/>
      <c r="AI869" s="137"/>
      <c r="AJ869" s="137"/>
      <c r="AK869" s="137"/>
      <c r="AL869" s="137"/>
    </row>
    <row r="870" spans="1:38" ht="15.75" customHeight="1">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c r="AA870" s="137"/>
      <c r="AB870" s="137"/>
      <c r="AC870" s="137"/>
      <c r="AD870" s="137"/>
      <c r="AE870" s="137"/>
      <c r="AF870" s="137"/>
      <c r="AG870" s="137"/>
      <c r="AH870" s="137"/>
      <c r="AI870" s="137"/>
      <c r="AJ870" s="137"/>
      <c r="AK870" s="137"/>
      <c r="AL870" s="137"/>
    </row>
    <row r="871" spans="1:38" ht="15.75" customHeight="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c r="AA871" s="137"/>
      <c r="AB871" s="137"/>
      <c r="AC871" s="137"/>
      <c r="AD871" s="137"/>
      <c r="AE871" s="137"/>
      <c r="AF871" s="137"/>
      <c r="AG871" s="137"/>
      <c r="AH871" s="137"/>
      <c r="AI871" s="137"/>
      <c r="AJ871" s="137"/>
      <c r="AK871" s="137"/>
      <c r="AL871" s="137"/>
    </row>
    <row r="872" spans="1:38" ht="15.75" customHeight="1">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c r="AA872" s="137"/>
      <c r="AB872" s="137"/>
      <c r="AC872" s="137"/>
      <c r="AD872" s="137"/>
      <c r="AE872" s="137"/>
      <c r="AF872" s="137"/>
      <c r="AG872" s="137"/>
      <c r="AH872" s="137"/>
      <c r="AI872" s="137"/>
      <c r="AJ872" s="137"/>
      <c r="AK872" s="137"/>
      <c r="AL872" s="137"/>
    </row>
    <row r="873" spans="1:38" ht="15.75" customHeight="1">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c r="AA873" s="137"/>
      <c r="AB873" s="137"/>
      <c r="AC873" s="137"/>
      <c r="AD873" s="137"/>
      <c r="AE873" s="137"/>
      <c r="AF873" s="137"/>
      <c r="AG873" s="137"/>
      <c r="AH873" s="137"/>
      <c r="AI873" s="137"/>
      <c r="AJ873" s="137"/>
      <c r="AK873" s="137"/>
      <c r="AL873" s="137"/>
    </row>
    <row r="874" spans="1:38" ht="15.75" customHeight="1">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c r="AA874" s="137"/>
      <c r="AB874" s="137"/>
      <c r="AC874" s="137"/>
      <c r="AD874" s="137"/>
      <c r="AE874" s="137"/>
      <c r="AF874" s="137"/>
      <c r="AG874" s="137"/>
      <c r="AH874" s="137"/>
      <c r="AI874" s="137"/>
      <c r="AJ874" s="137"/>
      <c r="AK874" s="137"/>
      <c r="AL874" s="137"/>
    </row>
    <row r="875" spans="1:38" ht="15.75" customHeight="1">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c r="AA875" s="137"/>
      <c r="AB875" s="137"/>
      <c r="AC875" s="137"/>
      <c r="AD875" s="137"/>
      <c r="AE875" s="137"/>
      <c r="AF875" s="137"/>
      <c r="AG875" s="137"/>
      <c r="AH875" s="137"/>
      <c r="AI875" s="137"/>
      <c r="AJ875" s="137"/>
      <c r="AK875" s="137"/>
      <c r="AL875" s="137"/>
    </row>
    <row r="876" spans="1:38" ht="15.75" customHeight="1">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c r="AA876" s="137"/>
      <c r="AB876" s="137"/>
      <c r="AC876" s="137"/>
      <c r="AD876" s="137"/>
      <c r="AE876" s="137"/>
      <c r="AF876" s="137"/>
      <c r="AG876" s="137"/>
      <c r="AH876" s="137"/>
      <c r="AI876" s="137"/>
      <c r="AJ876" s="137"/>
      <c r="AK876" s="137"/>
      <c r="AL876" s="137"/>
    </row>
    <row r="877" spans="1:38" ht="15.75" customHeight="1">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c r="AA877" s="137"/>
      <c r="AB877" s="137"/>
      <c r="AC877" s="137"/>
      <c r="AD877" s="137"/>
      <c r="AE877" s="137"/>
      <c r="AF877" s="137"/>
      <c r="AG877" s="137"/>
      <c r="AH877" s="137"/>
      <c r="AI877" s="137"/>
      <c r="AJ877" s="137"/>
      <c r="AK877" s="137"/>
      <c r="AL877" s="137"/>
    </row>
    <row r="878" spans="1:38" ht="15.75" customHeight="1">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c r="AA878" s="137"/>
      <c r="AB878" s="137"/>
      <c r="AC878" s="137"/>
      <c r="AD878" s="137"/>
      <c r="AE878" s="137"/>
      <c r="AF878" s="137"/>
      <c r="AG878" s="137"/>
      <c r="AH878" s="137"/>
      <c r="AI878" s="137"/>
      <c r="AJ878" s="137"/>
      <c r="AK878" s="137"/>
      <c r="AL878" s="137"/>
    </row>
    <row r="879" spans="1:38" ht="15.75" customHeight="1">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c r="AA879" s="137"/>
      <c r="AB879" s="137"/>
      <c r="AC879" s="137"/>
      <c r="AD879" s="137"/>
      <c r="AE879" s="137"/>
      <c r="AF879" s="137"/>
      <c r="AG879" s="137"/>
      <c r="AH879" s="137"/>
      <c r="AI879" s="137"/>
      <c r="AJ879" s="137"/>
      <c r="AK879" s="137"/>
      <c r="AL879" s="137"/>
    </row>
    <row r="880" spans="1:38" ht="15.75" customHeight="1">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c r="AA880" s="137"/>
      <c r="AB880" s="137"/>
      <c r="AC880" s="137"/>
      <c r="AD880" s="137"/>
      <c r="AE880" s="137"/>
      <c r="AF880" s="137"/>
      <c r="AG880" s="137"/>
      <c r="AH880" s="137"/>
      <c r="AI880" s="137"/>
      <c r="AJ880" s="137"/>
      <c r="AK880" s="137"/>
      <c r="AL880" s="137"/>
    </row>
    <row r="881" spans="1:38" ht="15.75" customHeight="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c r="AA881" s="137"/>
      <c r="AB881" s="137"/>
      <c r="AC881" s="137"/>
      <c r="AD881" s="137"/>
      <c r="AE881" s="137"/>
      <c r="AF881" s="137"/>
      <c r="AG881" s="137"/>
      <c r="AH881" s="137"/>
      <c r="AI881" s="137"/>
      <c r="AJ881" s="137"/>
      <c r="AK881" s="137"/>
      <c r="AL881" s="137"/>
    </row>
    <row r="882" spans="1:38" ht="15.75" customHeight="1">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c r="AA882" s="137"/>
      <c r="AB882" s="137"/>
      <c r="AC882" s="137"/>
      <c r="AD882" s="137"/>
      <c r="AE882" s="137"/>
      <c r="AF882" s="137"/>
      <c r="AG882" s="137"/>
      <c r="AH882" s="137"/>
      <c r="AI882" s="137"/>
      <c r="AJ882" s="137"/>
      <c r="AK882" s="137"/>
      <c r="AL882" s="137"/>
    </row>
    <row r="883" spans="1:38" ht="15.75" customHeight="1">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c r="AA883" s="137"/>
      <c r="AB883" s="137"/>
      <c r="AC883" s="137"/>
      <c r="AD883" s="137"/>
      <c r="AE883" s="137"/>
      <c r="AF883" s="137"/>
      <c r="AG883" s="137"/>
      <c r="AH883" s="137"/>
      <c r="AI883" s="137"/>
      <c r="AJ883" s="137"/>
      <c r="AK883" s="137"/>
      <c r="AL883" s="137"/>
    </row>
    <row r="884" spans="1:38" ht="15.75" customHeight="1">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c r="AA884" s="137"/>
      <c r="AB884" s="137"/>
      <c r="AC884" s="137"/>
      <c r="AD884" s="137"/>
      <c r="AE884" s="137"/>
      <c r="AF884" s="137"/>
      <c r="AG884" s="137"/>
      <c r="AH884" s="137"/>
      <c r="AI884" s="137"/>
      <c r="AJ884" s="137"/>
      <c r="AK884" s="137"/>
      <c r="AL884" s="137"/>
    </row>
    <row r="885" spans="1:38" ht="15.75" customHeight="1">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c r="AA885" s="137"/>
      <c r="AB885" s="137"/>
      <c r="AC885" s="137"/>
      <c r="AD885" s="137"/>
      <c r="AE885" s="137"/>
      <c r="AF885" s="137"/>
      <c r="AG885" s="137"/>
      <c r="AH885" s="137"/>
      <c r="AI885" s="137"/>
      <c r="AJ885" s="137"/>
      <c r="AK885" s="137"/>
      <c r="AL885" s="137"/>
    </row>
    <row r="886" spans="1:38" ht="15.75" customHeight="1">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c r="AA886" s="137"/>
      <c r="AB886" s="137"/>
      <c r="AC886" s="137"/>
      <c r="AD886" s="137"/>
      <c r="AE886" s="137"/>
      <c r="AF886" s="137"/>
      <c r="AG886" s="137"/>
      <c r="AH886" s="137"/>
      <c r="AI886" s="137"/>
      <c r="AJ886" s="137"/>
      <c r="AK886" s="137"/>
      <c r="AL886" s="137"/>
    </row>
    <row r="887" spans="1:38" ht="15.75" customHeight="1">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c r="AA887" s="137"/>
      <c r="AB887" s="137"/>
      <c r="AC887" s="137"/>
      <c r="AD887" s="137"/>
      <c r="AE887" s="137"/>
      <c r="AF887" s="137"/>
      <c r="AG887" s="137"/>
      <c r="AH887" s="137"/>
      <c r="AI887" s="137"/>
      <c r="AJ887" s="137"/>
      <c r="AK887" s="137"/>
      <c r="AL887" s="137"/>
    </row>
    <row r="888" spans="1:38" ht="15.75" customHeight="1">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c r="AA888" s="137"/>
      <c r="AB888" s="137"/>
      <c r="AC888" s="137"/>
      <c r="AD888" s="137"/>
      <c r="AE888" s="137"/>
      <c r="AF888" s="137"/>
      <c r="AG888" s="137"/>
      <c r="AH888" s="137"/>
      <c r="AI888" s="137"/>
      <c r="AJ888" s="137"/>
      <c r="AK888" s="137"/>
      <c r="AL888" s="137"/>
    </row>
    <row r="889" spans="1:38" ht="15.75" customHeight="1">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c r="AA889" s="137"/>
      <c r="AB889" s="137"/>
      <c r="AC889" s="137"/>
      <c r="AD889" s="137"/>
      <c r="AE889" s="137"/>
      <c r="AF889" s="137"/>
      <c r="AG889" s="137"/>
      <c r="AH889" s="137"/>
      <c r="AI889" s="137"/>
      <c r="AJ889" s="137"/>
      <c r="AK889" s="137"/>
      <c r="AL889" s="137"/>
    </row>
    <row r="890" spans="1:38" ht="15.75" customHeight="1">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c r="AA890" s="137"/>
      <c r="AB890" s="137"/>
      <c r="AC890" s="137"/>
      <c r="AD890" s="137"/>
      <c r="AE890" s="137"/>
      <c r="AF890" s="137"/>
      <c r="AG890" s="137"/>
      <c r="AH890" s="137"/>
      <c r="AI890" s="137"/>
      <c r="AJ890" s="137"/>
      <c r="AK890" s="137"/>
      <c r="AL890" s="137"/>
    </row>
    <row r="891" spans="1:38" ht="15.75" customHeight="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c r="AA891" s="137"/>
      <c r="AB891" s="137"/>
      <c r="AC891" s="137"/>
      <c r="AD891" s="137"/>
      <c r="AE891" s="137"/>
      <c r="AF891" s="137"/>
      <c r="AG891" s="137"/>
      <c r="AH891" s="137"/>
      <c r="AI891" s="137"/>
      <c r="AJ891" s="137"/>
      <c r="AK891" s="137"/>
      <c r="AL891" s="137"/>
    </row>
    <row r="892" spans="1:38" ht="15.75" customHeight="1">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c r="AA892" s="137"/>
      <c r="AB892" s="137"/>
      <c r="AC892" s="137"/>
      <c r="AD892" s="137"/>
      <c r="AE892" s="137"/>
      <c r="AF892" s="137"/>
      <c r="AG892" s="137"/>
      <c r="AH892" s="137"/>
      <c r="AI892" s="137"/>
      <c r="AJ892" s="137"/>
      <c r="AK892" s="137"/>
      <c r="AL892" s="137"/>
    </row>
    <row r="893" spans="1:38" ht="15.75" customHeight="1">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c r="AA893" s="137"/>
      <c r="AB893" s="137"/>
      <c r="AC893" s="137"/>
      <c r="AD893" s="137"/>
      <c r="AE893" s="137"/>
      <c r="AF893" s="137"/>
      <c r="AG893" s="137"/>
      <c r="AH893" s="137"/>
      <c r="AI893" s="137"/>
      <c r="AJ893" s="137"/>
      <c r="AK893" s="137"/>
      <c r="AL893" s="137"/>
    </row>
    <row r="894" spans="1:38" ht="15.75" customHeight="1">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c r="AA894" s="137"/>
      <c r="AB894" s="137"/>
      <c r="AC894" s="137"/>
      <c r="AD894" s="137"/>
      <c r="AE894" s="137"/>
      <c r="AF894" s="137"/>
      <c r="AG894" s="137"/>
      <c r="AH894" s="137"/>
      <c r="AI894" s="137"/>
      <c r="AJ894" s="137"/>
      <c r="AK894" s="137"/>
      <c r="AL894" s="137"/>
    </row>
    <row r="895" spans="1:38" ht="15.75" customHeight="1">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c r="AA895" s="137"/>
      <c r="AB895" s="137"/>
      <c r="AC895" s="137"/>
      <c r="AD895" s="137"/>
      <c r="AE895" s="137"/>
      <c r="AF895" s="137"/>
      <c r="AG895" s="137"/>
      <c r="AH895" s="137"/>
      <c r="AI895" s="137"/>
      <c r="AJ895" s="137"/>
      <c r="AK895" s="137"/>
      <c r="AL895" s="137"/>
    </row>
    <row r="896" spans="1:38" ht="15.75" customHeight="1">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c r="AA896" s="137"/>
      <c r="AB896" s="137"/>
      <c r="AC896" s="137"/>
      <c r="AD896" s="137"/>
      <c r="AE896" s="137"/>
      <c r="AF896" s="137"/>
      <c r="AG896" s="137"/>
      <c r="AH896" s="137"/>
      <c r="AI896" s="137"/>
      <c r="AJ896" s="137"/>
      <c r="AK896" s="137"/>
      <c r="AL896" s="137"/>
    </row>
    <row r="897" spans="1:38" ht="15.75" customHeight="1">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c r="AA897" s="137"/>
      <c r="AB897" s="137"/>
      <c r="AC897" s="137"/>
      <c r="AD897" s="137"/>
      <c r="AE897" s="137"/>
      <c r="AF897" s="137"/>
      <c r="AG897" s="137"/>
      <c r="AH897" s="137"/>
      <c r="AI897" s="137"/>
      <c r="AJ897" s="137"/>
      <c r="AK897" s="137"/>
      <c r="AL897" s="137"/>
    </row>
    <row r="898" spans="1:38" ht="15.75" customHeight="1">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c r="AA898" s="137"/>
      <c r="AB898" s="137"/>
      <c r="AC898" s="137"/>
      <c r="AD898" s="137"/>
      <c r="AE898" s="137"/>
      <c r="AF898" s="137"/>
      <c r="AG898" s="137"/>
      <c r="AH898" s="137"/>
      <c r="AI898" s="137"/>
      <c r="AJ898" s="137"/>
      <c r="AK898" s="137"/>
      <c r="AL898" s="137"/>
    </row>
    <row r="899" spans="1:38" ht="15.75" customHeight="1">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c r="AA899" s="137"/>
      <c r="AB899" s="137"/>
      <c r="AC899" s="137"/>
      <c r="AD899" s="137"/>
      <c r="AE899" s="137"/>
      <c r="AF899" s="137"/>
      <c r="AG899" s="137"/>
      <c r="AH899" s="137"/>
      <c r="AI899" s="137"/>
      <c r="AJ899" s="137"/>
      <c r="AK899" s="137"/>
      <c r="AL899" s="137"/>
    </row>
    <row r="900" spans="1:38" ht="15.75" customHeight="1">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c r="AA900" s="137"/>
      <c r="AB900" s="137"/>
      <c r="AC900" s="137"/>
      <c r="AD900" s="137"/>
      <c r="AE900" s="137"/>
      <c r="AF900" s="137"/>
      <c r="AG900" s="137"/>
      <c r="AH900" s="137"/>
      <c r="AI900" s="137"/>
      <c r="AJ900" s="137"/>
      <c r="AK900" s="137"/>
      <c r="AL900" s="137"/>
    </row>
    <row r="901" spans="1:38" ht="15.75" customHeight="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c r="AA901" s="137"/>
      <c r="AB901" s="137"/>
      <c r="AC901" s="137"/>
      <c r="AD901" s="137"/>
      <c r="AE901" s="137"/>
      <c r="AF901" s="137"/>
      <c r="AG901" s="137"/>
      <c r="AH901" s="137"/>
      <c r="AI901" s="137"/>
      <c r="AJ901" s="137"/>
      <c r="AK901" s="137"/>
      <c r="AL901" s="137"/>
    </row>
    <row r="902" spans="1:38" ht="15.75" customHeight="1">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c r="AA902" s="137"/>
      <c r="AB902" s="137"/>
      <c r="AC902" s="137"/>
      <c r="AD902" s="137"/>
      <c r="AE902" s="137"/>
      <c r="AF902" s="137"/>
      <c r="AG902" s="137"/>
      <c r="AH902" s="137"/>
      <c r="AI902" s="137"/>
      <c r="AJ902" s="137"/>
      <c r="AK902" s="137"/>
      <c r="AL902" s="137"/>
    </row>
    <row r="903" spans="1:38" ht="15.75" customHeight="1">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c r="AA903" s="137"/>
      <c r="AB903" s="137"/>
      <c r="AC903" s="137"/>
      <c r="AD903" s="137"/>
      <c r="AE903" s="137"/>
      <c r="AF903" s="137"/>
      <c r="AG903" s="137"/>
      <c r="AH903" s="137"/>
      <c r="AI903" s="137"/>
      <c r="AJ903" s="137"/>
      <c r="AK903" s="137"/>
      <c r="AL903" s="137"/>
    </row>
    <row r="904" spans="1:38" ht="15.75" customHeight="1">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c r="AA904" s="137"/>
      <c r="AB904" s="137"/>
      <c r="AC904" s="137"/>
      <c r="AD904" s="137"/>
      <c r="AE904" s="137"/>
      <c r="AF904" s="137"/>
      <c r="AG904" s="137"/>
      <c r="AH904" s="137"/>
      <c r="AI904" s="137"/>
      <c r="AJ904" s="137"/>
      <c r="AK904" s="137"/>
      <c r="AL904" s="137"/>
    </row>
    <row r="905" spans="1:38" ht="15.75" customHeight="1">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c r="AA905" s="137"/>
      <c r="AB905" s="137"/>
      <c r="AC905" s="137"/>
      <c r="AD905" s="137"/>
      <c r="AE905" s="137"/>
      <c r="AF905" s="137"/>
      <c r="AG905" s="137"/>
      <c r="AH905" s="137"/>
      <c r="AI905" s="137"/>
      <c r="AJ905" s="137"/>
      <c r="AK905" s="137"/>
      <c r="AL905" s="137"/>
    </row>
    <row r="906" spans="1:38" ht="15.75" customHeight="1">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c r="AA906" s="137"/>
      <c r="AB906" s="137"/>
      <c r="AC906" s="137"/>
      <c r="AD906" s="137"/>
      <c r="AE906" s="137"/>
      <c r="AF906" s="137"/>
      <c r="AG906" s="137"/>
      <c r="AH906" s="137"/>
      <c r="AI906" s="137"/>
      <c r="AJ906" s="137"/>
      <c r="AK906" s="137"/>
      <c r="AL906" s="137"/>
    </row>
    <row r="907" spans="1:38" ht="15.75" customHeight="1">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c r="AA907" s="137"/>
      <c r="AB907" s="137"/>
      <c r="AC907" s="137"/>
      <c r="AD907" s="137"/>
      <c r="AE907" s="137"/>
      <c r="AF907" s="137"/>
      <c r="AG907" s="137"/>
      <c r="AH907" s="137"/>
      <c r="AI907" s="137"/>
      <c r="AJ907" s="137"/>
      <c r="AK907" s="137"/>
      <c r="AL907" s="137"/>
    </row>
    <row r="908" spans="1:38" ht="15.75" customHeight="1">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c r="AA908" s="137"/>
      <c r="AB908" s="137"/>
      <c r="AC908" s="137"/>
      <c r="AD908" s="137"/>
      <c r="AE908" s="137"/>
      <c r="AF908" s="137"/>
      <c r="AG908" s="137"/>
      <c r="AH908" s="137"/>
      <c r="AI908" s="137"/>
      <c r="AJ908" s="137"/>
      <c r="AK908" s="137"/>
      <c r="AL908" s="137"/>
    </row>
    <row r="909" spans="1:38" ht="15.75" customHeight="1">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c r="AA909" s="137"/>
      <c r="AB909" s="137"/>
      <c r="AC909" s="137"/>
      <c r="AD909" s="137"/>
      <c r="AE909" s="137"/>
      <c r="AF909" s="137"/>
      <c r="AG909" s="137"/>
      <c r="AH909" s="137"/>
      <c r="AI909" s="137"/>
      <c r="AJ909" s="137"/>
      <c r="AK909" s="137"/>
      <c r="AL909" s="137"/>
    </row>
    <row r="910" spans="1:38" ht="15.75" customHeight="1">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c r="AA910" s="137"/>
      <c r="AB910" s="137"/>
      <c r="AC910" s="137"/>
      <c r="AD910" s="137"/>
      <c r="AE910" s="137"/>
      <c r="AF910" s="137"/>
      <c r="AG910" s="137"/>
      <c r="AH910" s="137"/>
      <c r="AI910" s="137"/>
      <c r="AJ910" s="137"/>
      <c r="AK910" s="137"/>
      <c r="AL910" s="137"/>
    </row>
    <row r="911" spans="1:38" ht="15.75" customHeight="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c r="AA911" s="137"/>
      <c r="AB911" s="137"/>
      <c r="AC911" s="137"/>
      <c r="AD911" s="137"/>
      <c r="AE911" s="137"/>
      <c r="AF911" s="137"/>
      <c r="AG911" s="137"/>
      <c r="AH911" s="137"/>
      <c r="AI911" s="137"/>
      <c r="AJ911" s="137"/>
      <c r="AK911" s="137"/>
      <c r="AL911" s="137"/>
    </row>
    <row r="912" spans="1:38" ht="15.75" customHeight="1">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c r="AA912" s="137"/>
      <c r="AB912" s="137"/>
      <c r="AC912" s="137"/>
      <c r="AD912" s="137"/>
      <c r="AE912" s="137"/>
      <c r="AF912" s="137"/>
      <c r="AG912" s="137"/>
      <c r="AH912" s="137"/>
      <c r="AI912" s="137"/>
      <c r="AJ912" s="137"/>
      <c r="AK912" s="137"/>
      <c r="AL912" s="137"/>
    </row>
    <row r="913" spans="1:38" ht="15.75" customHeight="1">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c r="AA913" s="137"/>
      <c r="AB913" s="137"/>
      <c r="AC913" s="137"/>
      <c r="AD913" s="137"/>
      <c r="AE913" s="137"/>
      <c r="AF913" s="137"/>
      <c r="AG913" s="137"/>
      <c r="AH913" s="137"/>
      <c r="AI913" s="137"/>
      <c r="AJ913" s="137"/>
      <c r="AK913" s="137"/>
      <c r="AL913" s="137"/>
    </row>
    <row r="914" spans="1:38" ht="15.75" customHeight="1">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c r="AA914" s="137"/>
      <c r="AB914" s="137"/>
      <c r="AC914" s="137"/>
      <c r="AD914" s="137"/>
      <c r="AE914" s="137"/>
      <c r="AF914" s="137"/>
      <c r="AG914" s="137"/>
      <c r="AH914" s="137"/>
      <c r="AI914" s="137"/>
      <c r="AJ914" s="137"/>
      <c r="AK914" s="137"/>
      <c r="AL914" s="137"/>
    </row>
    <row r="915" spans="1:38" ht="15.75" customHeight="1">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c r="AA915" s="137"/>
      <c r="AB915" s="137"/>
      <c r="AC915" s="137"/>
      <c r="AD915" s="137"/>
      <c r="AE915" s="137"/>
      <c r="AF915" s="137"/>
      <c r="AG915" s="137"/>
      <c r="AH915" s="137"/>
      <c r="AI915" s="137"/>
      <c r="AJ915" s="137"/>
      <c r="AK915" s="137"/>
      <c r="AL915" s="137"/>
    </row>
    <row r="916" spans="1:38" ht="15.75" customHeight="1">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c r="AA916" s="137"/>
      <c r="AB916" s="137"/>
      <c r="AC916" s="137"/>
      <c r="AD916" s="137"/>
      <c r="AE916" s="137"/>
      <c r="AF916" s="137"/>
      <c r="AG916" s="137"/>
      <c r="AH916" s="137"/>
      <c r="AI916" s="137"/>
      <c r="AJ916" s="137"/>
      <c r="AK916" s="137"/>
      <c r="AL916" s="137"/>
    </row>
    <row r="917" spans="1:38" ht="15.75" customHeight="1">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c r="AA917" s="137"/>
      <c r="AB917" s="137"/>
      <c r="AC917" s="137"/>
      <c r="AD917" s="137"/>
      <c r="AE917" s="137"/>
      <c r="AF917" s="137"/>
      <c r="AG917" s="137"/>
      <c r="AH917" s="137"/>
      <c r="AI917" s="137"/>
      <c r="AJ917" s="137"/>
      <c r="AK917" s="137"/>
      <c r="AL917" s="137"/>
    </row>
    <row r="918" spans="1:38" ht="15.75" customHeight="1">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c r="AA918" s="137"/>
      <c r="AB918" s="137"/>
      <c r="AC918" s="137"/>
      <c r="AD918" s="137"/>
      <c r="AE918" s="137"/>
      <c r="AF918" s="137"/>
      <c r="AG918" s="137"/>
      <c r="AH918" s="137"/>
      <c r="AI918" s="137"/>
      <c r="AJ918" s="137"/>
      <c r="AK918" s="137"/>
      <c r="AL918" s="137"/>
    </row>
    <row r="919" spans="1:38" ht="15.75" customHeight="1">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c r="AA919" s="137"/>
      <c r="AB919" s="137"/>
      <c r="AC919" s="137"/>
      <c r="AD919" s="137"/>
      <c r="AE919" s="137"/>
      <c r="AF919" s="137"/>
      <c r="AG919" s="137"/>
      <c r="AH919" s="137"/>
      <c r="AI919" s="137"/>
      <c r="AJ919" s="137"/>
      <c r="AK919" s="137"/>
      <c r="AL919" s="137"/>
    </row>
    <row r="920" spans="1:38" ht="15.75" customHeight="1">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c r="AA920" s="137"/>
      <c r="AB920" s="137"/>
      <c r="AC920" s="137"/>
      <c r="AD920" s="137"/>
      <c r="AE920" s="137"/>
      <c r="AF920" s="137"/>
      <c r="AG920" s="137"/>
      <c r="AH920" s="137"/>
      <c r="AI920" s="137"/>
      <c r="AJ920" s="137"/>
      <c r="AK920" s="137"/>
      <c r="AL920" s="137"/>
    </row>
    <row r="921" spans="1:38" ht="15.75" customHeight="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c r="AA921" s="137"/>
      <c r="AB921" s="137"/>
      <c r="AC921" s="137"/>
      <c r="AD921" s="137"/>
      <c r="AE921" s="137"/>
      <c r="AF921" s="137"/>
      <c r="AG921" s="137"/>
      <c r="AH921" s="137"/>
      <c r="AI921" s="137"/>
      <c r="AJ921" s="137"/>
      <c r="AK921" s="137"/>
      <c r="AL921" s="137"/>
    </row>
    <row r="922" spans="1:38" ht="15.75" customHeight="1">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c r="AA922" s="137"/>
      <c r="AB922" s="137"/>
      <c r="AC922" s="137"/>
      <c r="AD922" s="137"/>
      <c r="AE922" s="137"/>
      <c r="AF922" s="137"/>
      <c r="AG922" s="137"/>
      <c r="AH922" s="137"/>
      <c r="AI922" s="137"/>
      <c r="AJ922" s="137"/>
      <c r="AK922" s="137"/>
      <c r="AL922" s="137"/>
    </row>
    <row r="923" spans="1:38" ht="15.75" customHeight="1">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c r="AA923" s="137"/>
      <c r="AB923" s="137"/>
      <c r="AC923" s="137"/>
      <c r="AD923" s="137"/>
      <c r="AE923" s="137"/>
      <c r="AF923" s="137"/>
      <c r="AG923" s="137"/>
      <c r="AH923" s="137"/>
      <c r="AI923" s="137"/>
      <c r="AJ923" s="137"/>
      <c r="AK923" s="137"/>
      <c r="AL923" s="137"/>
    </row>
    <row r="924" spans="1:38" ht="15.75" customHeight="1">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c r="AA924" s="137"/>
      <c r="AB924" s="137"/>
      <c r="AC924" s="137"/>
      <c r="AD924" s="137"/>
      <c r="AE924" s="137"/>
      <c r="AF924" s="137"/>
      <c r="AG924" s="137"/>
      <c r="AH924" s="137"/>
      <c r="AI924" s="137"/>
      <c r="AJ924" s="137"/>
      <c r="AK924" s="137"/>
      <c r="AL924" s="137"/>
    </row>
    <row r="925" spans="1:38" ht="15.75" customHeight="1">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c r="AA925" s="137"/>
      <c r="AB925" s="137"/>
      <c r="AC925" s="137"/>
      <c r="AD925" s="137"/>
      <c r="AE925" s="137"/>
      <c r="AF925" s="137"/>
      <c r="AG925" s="137"/>
      <c r="AH925" s="137"/>
      <c r="AI925" s="137"/>
      <c r="AJ925" s="137"/>
      <c r="AK925" s="137"/>
      <c r="AL925" s="137"/>
    </row>
    <row r="926" spans="1:38" ht="15.75" customHeight="1">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c r="AA926" s="137"/>
      <c r="AB926" s="137"/>
      <c r="AC926" s="137"/>
      <c r="AD926" s="137"/>
      <c r="AE926" s="137"/>
      <c r="AF926" s="137"/>
      <c r="AG926" s="137"/>
      <c r="AH926" s="137"/>
      <c r="AI926" s="137"/>
      <c r="AJ926" s="137"/>
      <c r="AK926" s="137"/>
      <c r="AL926" s="137"/>
    </row>
    <row r="927" spans="1:38" ht="15.75" customHeight="1">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c r="AA927" s="137"/>
      <c r="AB927" s="137"/>
      <c r="AC927" s="137"/>
      <c r="AD927" s="137"/>
      <c r="AE927" s="137"/>
      <c r="AF927" s="137"/>
      <c r="AG927" s="137"/>
      <c r="AH927" s="137"/>
      <c r="AI927" s="137"/>
      <c r="AJ927" s="137"/>
      <c r="AK927" s="137"/>
      <c r="AL927" s="137"/>
    </row>
    <row r="928" spans="1:38" ht="15.75" customHeight="1">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c r="AA928" s="137"/>
      <c r="AB928" s="137"/>
      <c r="AC928" s="137"/>
      <c r="AD928" s="137"/>
      <c r="AE928" s="137"/>
      <c r="AF928" s="137"/>
      <c r="AG928" s="137"/>
      <c r="AH928" s="137"/>
      <c r="AI928" s="137"/>
      <c r="AJ928" s="137"/>
      <c r="AK928" s="137"/>
      <c r="AL928" s="137"/>
    </row>
    <row r="929" spans="1:38" ht="15.75" customHeight="1">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c r="AA929" s="137"/>
      <c r="AB929" s="137"/>
      <c r="AC929" s="137"/>
      <c r="AD929" s="137"/>
      <c r="AE929" s="137"/>
      <c r="AF929" s="137"/>
      <c r="AG929" s="137"/>
      <c r="AH929" s="137"/>
      <c r="AI929" s="137"/>
      <c r="AJ929" s="137"/>
      <c r="AK929" s="137"/>
      <c r="AL929" s="137"/>
    </row>
    <row r="930" spans="1:38" ht="15.75" customHeight="1">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c r="AA930" s="137"/>
      <c r="AB930" s="137"/>
      <c r="AC930" s="137"/>
      <c r="AD930" s="137"/>
      <c r="AE930" s="137"/>
      <c r="AF930" s="137"/>
      <c r="AG930" s="137"/>
      <c r="AH930" s="137"/>
      <c r="AI930" s="137"/>
      <c r="AJ930" s="137"/>
      <c r="AK930" s="137"/>
      <c r="AL930" s="137"/>
    </row>
    <row r="931" spans="1:38" ht="15.75" customHeight="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c r="AA931" s="137"/>
      <c r="AB931" s="137"/>
      <c r="AC931" s="137"/>
      <c r="AD931" s="137"/>
      <c r="AE931" s="137"/>
      <c r="AF931" s="137"/>
      <c r="AG931" s="137"/>
      <c r="AH931" s="137"/>
      <c r="AI931" s="137"/>
      <c r="AJ931" s="137"/>
      <c r="AK931" s="137"/>
      <c r="AL931" s="137"/>
    </row>
    <row r="932" spans="1:38" ht="15.75" customHeight="1">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c r="AA932" s="137"/>
      <c r="AB932" s="137"/>
      <c r="AC932" s="137"/>
      <c r="AD932" s="137"/>
      <c r="AE932" s="137"/>
      <c r="AF932" s="137"/>
      <c r="AG932" s="137"/>
      <c r="AH932" s="137"/>
      <c r="AI932" s="137"/>
      <c r="AJ932" s="137"/>
      <c r="AK932" s="137"/>
      <c r="AL932" s="137"/>
    </row>
    <row r="933" spans="1:38" ht="15.75" customHeight="1">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c r="AA933" s="137"/>
      <c r="AB933" s="137"/>
      <c r="AC933" s="137"/>
      <c r="AD933" s="137"/>
      <c r="AE933" s="137"/>
      <c r="AF933" s="137"/>
      <c r="AG933" s="137"/>
      <c r="AH933" s="137"/>
      <c r="AI933" s="137"/>
      <c r="AJ933" s="137"/>
      <c r="AK933" s="137"/>
      <c r="AL933" s="137"/>
    </row>
    <row r="934" spans="1:38" ht="15.75" customHeight="1">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c r="AA934" s="137"/>
      <c r="AB934" s="137"/>
      <c r="AC934" s="137"/>
      <c r="AD934" s="137"/>
      <c r="AE934" s="137"/>
      <c r="AF934" s="137"/>
      <c r="AG934" s="137"/>
      <c r="AH934" s="137"/>
      <c r="AI934" s="137"/>
      <c r="AJ934" s="137"/>
      <c r="AK934" s="137"/>
      <c r="AL934" s="137"/>
    </row>
    <row r="935" spans="1:38" ht="15.75" customHeight="1">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c r="AA935" s="137"/>
      <c r="AB935" s="137"/>
      <c r="AC935" s="137"/>
      <c r="AD935" s="137"/>
      <c r="AE935" s="137"/>
      <c r="AF935" s="137"/>
      <c r="AG935" s="137"/>
      <c r="AH935" s="137"/>
      <c r="AI935" s="137"/>
      <c r="AJ935" s="137"/>
      <c r="AK935" s="137"/>
      <c r="AL935" s="137"/>
    </row>
    <row r="936" spans="1:38" ht="15.75" customHeight="1">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c r="AA936" s="137"/>
      <c r="AB936" s="137"/>
      <c r="AC936" s="137"/>
      <c r="AD936" s="137"/>
      <c r="AE936" s="137"/>
      <c r="AF936" s="137"/>
      <c r="AG936" s="137"/>
      <c r="AH936" s="137"/>
      <c r="AI936" s="137"/>
      <c r="AJ936" s="137"/>
      <c r="AK936" s="137"/>
      <c r="AL936" s="137"/>
    </row>
    <row r="937" spans="1:38" ht="15.75" customHeight="1">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c r="AA937" s="137"/>
      <c r="AB937" s="137"/>
      <c r="AC937" s="137"/>
      <c r="AD937" s="137"/>
      <c r="AE937" s="137"/>
      <c r="AF937" s="137"/>
      <c r="AG937" s="137"/>
      <c r="AH937" s="137"/>
      <c r="AI937" s="137"/>
      <c r="AJ937" s="137"/>
      <c r="AK937" s="137"/>
      <c r="AL937" s="137"/>
    </row>
    <row r="938" spans="1:38" ht="15.75" customHeight="1">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c r="AA938" s="137"/>
      <c r="AB938" s="137"/>
      <c r="AC938" s="137"/>
      <c r="AD938" s="137"/>
      <c r="AE938" s="137"/>
      <c r="AF938" s="137"/>
      <c r="AG938" s="137"/>
      <c r="AH938" s="137"/>
      <c r="AI938" s="137"/>
      <c r="AJ938" s="137"/>
      <c r="AK938" s="137"/>
      <c r="AL938" s="137"/>
    </row>
    <row r="939" spans="1:38" ht="15.75" customHeight="1">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c r="AA939" s="137"/>
      <c r="AB939" s="137"/>
      <c r="AC939" s="137"/>
      <c r="AD939" s="137"/>
      <c r="AE939" s="137"/>
      <c r="AF939" s="137"/>
      <c r="AG939" s="137"/>
      <c r="AH939" s="137"/>
      <c r="AI939" s="137"/>
      <c r="AJ939" s="137"/>
      <c r="AK939" s="137"/>
      <c r="AL939" s="137"/>
    </row>
    <row r="940" spans="1:38" ht="15.75" customHeight="1">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c r="AA940" s="137"/>
      <c r="AB940" s="137"/>
      <c r="AC940" s="137"/>
      <c r="AD940" s="137"/>
      <c r="AE940" s="137"/>
      <c r="AF940" s="137"/>
      <c r="AG940" s="137"/>
      <c r="AH940" s="137"/>
      <c r="AI940" s="137"/>
      <c r="AJ940" s="137"/>
      <c r="AK940" s="137"/>
      <c r="AL940" s="137"/>
    </row>
    <row r="941" spans="1:38" ht="15.75" customHeight="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c r="AA941" s="137"/>
      <c r="AB941" s="137"/>
      <c r="AC941" s="137"/>
      <c r="AD941" s="137"/>
      <c r="AE941" s="137"/>
      <c r="AF941" s="137"/>
      <c r="AG941" s="137"/>
      <c r="AH941" s="137"/>
      <c r="AI941" s="137"/>
      <c r="AJ941" s="137"/>
      <c r="AK941" s="137"/>
      <c r="AL941" s="137"/>
    </row>
    <row r="942" spans="1:38" ht="15.75" customHeight="1">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c r="AA942" s="137"/>
      <c r="AB942" s="137"/>
      <c r="AC942" s="137"/>
      <c r="AD942" s="137"/>
      <c r="AE942" s="137"/>
      <c r="AF942" s="137"/>
      <c r="AG942" s="137"/>
      <c r="AH942" s="137"/>
      <c r="AI942" s="137"/>
      <c r="AJ942" s="137"/>
      <c r="AK942" s="137"/>
      <c r="AL942" s="137"/>
    </row>
    <row r="943" spans="1:38" ht="15.75" customHeight="1">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c r="AA943" s="137"/>
      <c r="AB943" s="137"/>
      <c r="AC943" s="137"/>
      <c r="AD943" s="137"/>
      <c r="AE943" s="137"/>
      <c r="AF943" s="137"/>
      <c r="AG943" s="137"/>
      <c r="AH943" s="137"/>
      <c r="AI943" s="137"/>
      <c r="AJ943" s="137"/>
      <c r="AK943" s="137"/>
      <c r="AL943" s="137"/>
    </row>
    <row r="944" spans="1:38" ht="15.75" customHeight="1">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c r="AA944" s="137"/>
      <c r="AB944" s="137"/>
      <c r="AC944" s="137"/>
      <c r="AD944" s="137"/>
      <c r="AE944" s="137"/>
      <c r="AF944" s="137"/>
      <c r="AG944" s="137"/>
      <c r="AH944" s="137"/>
      <c r="AI944" s="137"/>
      <c r="AJ944" s="137"/>
      <c r="AK944" s="137"/>
      <c r="AL944" s="137"/>
    </row>
    <row r="945" spans="1:38" ht="15.75" customHeight="1">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c r="AA945" s="137"/>
      <c r="AB945" s="137"/>
      <c r="AC945" s="137"/>
      <c r="AD945" s="137"/>
      <c r="AE945" s="137"/>
      <c r="AF945" s="137"/>
      <c r="AG945" s="137"/>
      <c r="AH945" s="137"/>
      <c r="AI945" s="137"/>
      <c r="AJ945" s="137"/>
      <c r="AK945" s="137"/>
      <c r="AL945" s="137"/>
    </row>
    <row r="946" spans="1:38" ht="15.75" customHeight="1">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c r="AA946" s="137"/>
      <c r="AB946" s="137"/>
      <c r="AC946" s="137"/>
      <c r="AD946" s="137"/>
      <c r="AE946" s="137"/>
      <c r="AF946" s="137"/>
      <c r="AG946" s="137"/>
      <c r="AH946" s="137"/>
      <c r="AI946" s="137"/>
      <c r="AJ946" s="137"/>
      <c r="AK946" s="137"/>
      <c r="AL946" s="137"/>
    </row>
    <row r="947" spans="1:38" ht="15.75" customHeight="1">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c r="AA947" s="137"/>
      <c r="AB947" s="137"/>
      <c r="AC947" s="137"/>
      <c r="AD947" s="137"/>
      <c r="AE947" s="137"/>
      <c r="AF947" s="137"/>
      <c r="AG947" s="137"/>
      <c r="AH947" s="137"/>
      <c r="AI947" s="137"/>
      <c r="AJ947" s="137"/>
      <c r="AK947" s="137"/>
      <c r="AL947" s="137"/>
    </row>
    <row r="948" spans="1:38" ht="15.75" customHeight="1">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c r="AA948" s="137"/>
      <c r="AB948" s="137"/>
      <c r="AC948" s="137"/>
      <c r="AD948" s="137"/>
      <c r="AE948" s="137"/>
      <c r="AF948" s="137"/>
      <c r="AG948" s="137"/>
      <c r="AH948" s="137"/>
      <c r="AI948" s="137"/>
      <c r="AJ948" s="137"/>
      <c r="AK948" s="137"/>
      <c r="AL948" s="137"/>
    </row>
    <row r="949" spans="1:38" ht="15.75" customHeight="1">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c r="AA949" s="137"/>
      <c r="AB949" s="137"/>
      <c r="AC949" s="137"/>
      <c r="AD949" s="137"/>
      <c r="AE949" s="137"/>
      <c r="AF949" s="137"/>
      <c r="AG949" s="137"/>
      <c r="AH949" s="137"/>
      <c r="AI949" s="137"/>
      <c r="AJ949" s="137"/>
      <c r="AK949" s="137"/>
      <c r="AL949" s="137"/>
    </row>
    <row r="950" spans="1:38" ht="15.75" customHeight="1">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c r="AA950" s="137"/>
      <c r="AB950" s="137"/>
      <c r="AC950" s="137"/>
      <c r="AD950" s="137"/>
      <c r="AE950" s="137"/>
      <c r="AF950" s="137"/>
      <c r="AG950" s="137"/>
      <c r="AH950" s="137"/>
      <c r="AI950" s="137"/>
      <c r="AJ950" s="137"/>
      <c r="AK950" s="137"/>
      <c r="AL950" s="137"/>
    </row>
    <row r="951" spans="1:38" ht="15.75" customHeight="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c r="AA951" s="137"/>
      <c r="AB951" s="137"/>
      <c r="AC951" s="137"/>
      <c r="AD951" s="137"/>
      <c r="AE951" s="137"/>
      <c r="AF951" s="137"/>
      <c r="AG951" s="137"/>
      <c r="AH951" s="137"/>
      <c r="AI951" s="137"/>
      <c r="AJ951" s="137"/>
      <c r="AK951" s="137"/>
      <c r="AL951" s="137"/>
    </row>
    <row r="952" spans="1:38" ht="15.75" customHeight="1">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c r="AA952" s="137"/>
      <c r="AB952" s="137"/>
      <c r="AC952" s="137"/>
      <c r="AD952" s="137"/>
      <c r="AE952" s="137"/>
      <c r="AF952" s="137"/>
      <c r="AG952" s="137"/>
      <c r="AH952" s="137"/>
      <c r="AI952" s="137"/>
      <c r="AJ952" s="137"/>
      <c r="AK952" s="137"/>
      <c r="AL952" s="137"/>
    </row>
    <row r="953" spans="1:38" ht="15.75" customHeight="1">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c r="AA953" s="137"/>
      <c r="AB953" s="137"/>
      <c r="AC953" s="137"/>
      <c r="AD953" s="137"/>
      <c r="AE953" s="137"/>
      <c r="AF953" s="137"/>
      <c r="AG953" s="137"/>
      <c r="AH953" s="137"/>
      <c r="AI953" s="137"/>
      <c r="AJ953" s="137"/>
      <c r="AK953" s="137"/>
      <c r="AL953" s="137"/>
    </row>
    <row r="954" spans="1:38" ht="15.75" customHeight="1">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c r="AA954" s="137"/>
      <c r="AB954" s="137"/>
      <c r="AC954" s="137"/>
      <c r="AD954" s="137"/>
      <c r="AE954" s="137"/>
      <c r="AF954" s="137"/>
      <c r="AG954" s="137"/>
      <c r="AH954" s="137"/>
      <c r="AI954" s="137"/>
      <c r="AJ954" s="137"/>
      <c r="AK954" s="137"/>
      <c r="AL954" s="137"/>
    </row>
    <row r="955" spans="1:38" ht="15.75" customHeight="1">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c r="AA955" s="137"/>
      <c r="AB955" s="137"/>
      <c r="AC955" s="137"/>
      <c r="AD955" s="137"/>
      <c r="AE955" s="137"/>
      <c r="AF955" s="137"/>
      <c r="AG955" s="137"/>
      <c r="AH955" s="137"/>
      <c r="AI955" s="137"/>
      <c r="AJ955" s="137"/>
      <c r="AK955" s="137"/>
      <c r="AL955" s="137"/>
    </row>
    <row r="956" spans="1:38" ht="15.75" customHeight="1">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c r="AA956" s="137"/>
      <c r="AB956" s="137"/>
      <c r="AC956" s="137"/>
      <c r="AD956" s="137"/>
      <c r="AE956" s="137"/>
      <c r="AF956" s="137"/>
      <c r="AG956" s="137"/>
      <c r="AH956" s="137"/>
      <c r="AI956" s="137"/>
      <c r="AJ956" s="137"/>
      <c r="AK956" s="137"/>
      <c r="AL956" s="137"/>
    </row>
    <row r="957" spans="1:38" ht="15.75" customHeight="1">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c r="AA957" s="137"/>
      <c r="AB957" s="137"/>
      <c r="AC957" s="137"/>
      <c r="AD957" s="137"/>
      <c r="AE957" s="137"/>
      <c r="AF957" s="137"/>
      <c r="AG957" s="137"/>
      <c r="AH957" s="137"/>
      <c r="AI957" s="137"/>
      <c r="AJ957" s="137"/>
      <c r="AK957" s="137"/>
      <c r="AL957" s="137"/>
    </row>
    <row r="958" spans="1:38" ht="15.75" customHeight="1">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c r="AA958" s="137"/>
      <c r="AB958" s="137"/>
      <c r="AC958" s="137"/>
      <c r="AD958" s="137"/>
      <c r="AE958" s="137"/>
      <c r="AF958" s="137"/>
      <c r="AG958" s="137"/>
      <c r="AH958" s="137"/>
      <c r="AI958" s="137"/>
      <c r="AJ958" s="137"/>
      <c r="AK958" s="137"/>
      <c r="AL958" s="137"/>
    </row>
    <row r="959" spans="1:38" ht="15.75" customHeight="1">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c r="AA959" s="137"/>
      <c r="AB959" s="137"/>
      <c r="AC959" s="137"/>
      <c r="AD959" s="137"/>
      <c r="AE959" s="137"/>
      <c r="AF959" s="137"/>
      <c r="AG959" s="137"/>
      <c r="AH959" s="137"/>
      <c r="AI959" s="137"/>
      <c r="AJ959" s="137"/>
      <c r="AK959" s="137"/>
      <c r="AL959" s="137"/>
    </row>
    <row r="960" spans="1:38" ht="15.75" customHeight="1">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c r="AA960" s="137"/>
      <c r="AB960" s="137"/>
      <c r="AC960" s="137"/>
      <c r="AD960" s="137"/>
      <c r="AE960" s="137"/>
      <c r="AF960" s="137"/>
      <c r="AG960" s="137"/>
      <c r="AH960" s="137"/>
      <c r="AI960" s="137"/>
      <c r="AJ960" s="137"/>
      <c r="AK960" s="137"/>
      <c r="AL960" s="137"/>
    </row>
    <row r="961" spans="1:38" ht="15.75" customHeight="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c r="AA961" s="137"/>
      <c r="AB961" s="137"/>
      <c r="AC961" s="137"/>
      <c r="AD961" s="137"/>
      <c r="AE961" s="137"/>
      <c r="AF961" s="137"/>
      <c r="AG961" s="137"/>
      <c r="AH961" s="137"/>
      <c r="AI961" s="137"/>
      <c r="AJ961" s="137"/>
      <c r="AK961" s="137"/>
      <c r="AL961" s="137"/>
    </row>
    <row r="962" spans="1:38" ht="15.75" customHeight="1">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c r="AA962" s="137"/>
      <c r="AB962" s="137"/>
      <c r="AC962" s="137"/>
      <c r="AD962" s="137"/>
      <c r="AE962" s="137"/>
      <c r="AF962" s="137"/>
      <c r="AG962" s="137"/>
      <c r="AH962" s="137"/>
      <c r="AI962" s="137"/>
      <c r="AJ962" s="137"/>
      <c r="AK962" s="137"/>
      <c r="AL962" s="137"/>
    </row>
    <row r="963" spans="1:38" ht="15.75" customHeight="1">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c r="AA963" s="137"/>
      <c r="AB963" s="137"/>
      <c r="AC963" s="137"/>
      <c r="AD963" s="137"/>
      <c r="AE963" s="137"/>
      <c r="AF963" s="137"/>
      <c r="AG963" s="137"/>
      <c r="AH963" s="137"/>
      <c r="AI963" s="137"/>
      <c r="AJ963" s="137"/>
      <c r="AK963" s="137"/>
      <c r="AL963" s="137"/>
    </row>
    <row r="964" spans="1:38" ht="15.75" customHeight="1">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c r="AA964" s="137"/>
      <c r="AB964" s="137"/>
      <c r="AC964" s="137"/>
      <c r="AD964" s="137"/>
      <c r="AE964" s="137"/>
      <c r="AF964" s="137"/>
      <c r="AG964" s="137"/>
      <c r="AH964" s="137"/>
      <c r="AI964" s="137"/>
      <c r="AJ964" s="137"/>
      <c r="AK964" s="137"/>
      <c r="AL964" s="137"/>
    </row>
    <row r="965" spans="1:38" ht="15.75" customHeight="1">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c r="AA965" s="137"/>
      <c r="AB965" s="137"/>
      <c r="AC965" s="137"/>
      <c r="AD965" s="137"/>
      <c r="AE965" s="137"/>
      <c r="AF965" s="137"/>
      <c r="AG965" s="137"/>
      <c r="AH965" s="137"/>
      <c r="AI965" s="137"/>
      <c r="AJ965" s="137"/>
      <c r="AK965" s="137"/>
      <c r="AL965" s="137"/>
    </row>
    <row r="966" spans="1:38" ht="15.75" customHeight="1">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c r="AA966" s="137"/>
      <c r="AB966" s="137"/>
      <c r="AC966" s="137"/>
      <c r="AD966" s="137"/>
      <c r="AE966" s="137"/>
      <c r="AF966" s="137"/>
      <c r="AG966" s="137"/>
      <c r="AH966" s="137"/>
      <c r="AI966" s="137"/>
      <c r="AJ966" s="137"/>
      <c r="AK966" s="137"/>
      <c r="AL966" s="137"/>
    </row>
    <row r="967" spans="1:38" ht="15.75" customHeight="1">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c r="AA967" s="137"/>
      <c r="AB967" s="137"/>
      <c r="AC967" s="137"/>
      <c r="AD967" s="137"/>
      <c r="AE967" s="137"/>
      <c r="AF967" s="137"/>
      <c r="AG967" s="137"/>
      <c r="AH967" s="137"/>
      <c r="AI967" s="137"/>
      <c r="AJ967" s="137"/>
      <c r="AK967" s="137"/>
      <c r="AL967" s="137"/>
    </row>
    <row r="968" spans="1:38" ht="15.75" customHeight="1">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c r="AA968" s="137"/>
      <c r="AB968" s="137"/>
      <c r="AC968" s="137"/>
      <c r="AD968" s="137"/>
      <c r="AE968" s="137"/>
      <c r="AF968" s="137"/>
      <c r="AG968" s="137"/>
      <c r="AH968" s="137"/>
      <c r="AI968" s="137"/>
      <c r="AJ968" s="137"/>
      <c r="AK968" s="137"/>
      <c r="AL968" s="137"/>
    </row>
    <row r="969" spans="1:38" ht="15.75" customHeight="1">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c r="AA969" s="137"/>
      <c r="AB969" s="137"/>
      <c r="AC969" s="137"/>
      <c r="AD969" s="137"/>
      <c r="AE969" s="137"/>
      <c r="AF969" s="137"/>
      <c r="AG969" s="137"/>
      <c r="AH969" s="137"/>
      <c r="AI969" s="137"/>
      <c r="AJ969" s="137"/>
      <c r="AK969" s="137"/>
      <c r="AL969" s="137"/>
    </row>
    <row r="970" spans="1:38" ht="15.75" customHeight="1">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c r="AA970" s="137"/>
      <c r="AB970" s="137"/>
      <c r="AC970" s="137"/>
      <c r="AD970" s="137"/>
      <c r="AE970" s="137"/>
      <c r="AF970" s="137"/>
      <c r="AG970" s="137"/>
      <c r="AH970" s="137"/>
      <c r="AI970" s="137"/>
      <c r="AJ970" s="137"/>
      <c r="AK970" s="137"/>
      <c r="AL970" s="137"/>
    </row>
    <row r="971" spans="1:38" ht="15.75" customHeight="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c r="AA971" s="137"/>
      <c r="AB971" s="137"/>
      <c r="AC971" s="137"/>
      <c r="AD971" s="137"/>
      <c r="AE971" s="137"/>
      <c r="AF971" s="137"/>
      <c r="AG971" s="137"/>
      <c r="AH971" s="137"/>
      <c r="AI971" s="137"/>
      <c r="AJ971" s="137"/>
      <c r="AK971" s="137"/>
      <c r="AL971" s="137"/>
    </row>
    <row r="972" spans="1:38" ht="15.75" customHeight="1">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c r="AA972" s="137"/>
      <c r="AB972" s="137"/>
      <c r="AC972" s="137"/>
      <c r="AD972" s="137"/>
      <c r="AE972" s="137"/>
      <c r="AF972" s="137"/>
      <c r="AG972" s="137"/>
      <c r="AH972" s="137"/>
      <c r="AI972" s="137"/>
      <c r="AJ972" s="137"/>
      <c r="AK972" s="137"/>
      <c r="AL972" s="137"/>
    </row>
    <row r="973" spans="1:38" ht="15.75" customHeight="1">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c r="AA973" s="137"/>
      <c r="AB973" s="137"/>
      <c r="AC973" s="137"/>
      <c r="AD973" s="137"/>
      <c r="AE973" s="137"/>
      <c r="AF973" s="137"/>
      <c r="AG973" s="137"/>
      <c r="AH973" s="137"/>
      <c r="AI973" s="137"/>
      <c r="AJ973" s="137"/>
      <c r="AK973" s="137"/>
      <c r="AL973" s="137"/>
    </row>
    <row r="974" spans="1:38" ht="15.75" customHeight="1">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c r="AA974" s="137"/>
      <c r="AB974" s="137"/>
      <c r="AC974" s="137"/>
      <c r="AD974" s="137"/>
      <c r="AE974" s="137"/>
      <c r="AF974" s="137"/>
      <c r="AG974" s="137"/>
      <c r="AH974" s="137"/>
      <c r="AI974" s="137"/>
      <c r="AJ974" s="137"/>
      <c r="AK974" s="137"/>
      <c r="AL974" s="137"/>
    </row>
    <row r="975" spans="1:38" ht="15.75" customHeight="1">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c r="AA975" s="137"/>
      <c r="AB975" s="137"/>
      <c r="AC975" s="137"/>
      <c r="AD975" s="137"/>
      <c r="AE975" s="137"/>
      <c r="AF975" s="137"/>
      <c r="AG975" s="137"/>
      <c r="AH975" s="137"/>
      <c r="AI975" s="137"/>
      <c r="AJ975" s="137"/>
      <c r="AK975" s="137"/>
      <c r="AL975" s="137"/>
    </row>
    <row r="976" spans="1:38" ht="15.75" customHeight="1">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c r="AA976" s="137"/>
      <c r="AB976" s="137"/>
      <c r="AC976" s="137"/>
      <c r="AD976" s="137"/>
      <c r="AE976" s="137"/>
      <c r="AF976" s="137"/>
      <c r="AG976" s="137"/>
      <c r="AH976" s="137"/>
      <c r="AI976" s="137"/>
      <c r="AJ976" s="137"/>
      <c r="AK976" s="137"/>
      <c r="AL976" s="137"/>
    </row>
    <row r="977" spans="1:38" ht="15.75" customHeight="1">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c r="AA977" s="137"/>
      <c r="AB977" s="137"/>
      <c r="AC977" s="137"/>
      <c r="AD977" s="137"/>
      <c r="AE977" s="137"/>
      <c r="AF977" s="137"/>
      <c r="AG977" s="137"/>
      <c r="AH977" s="137"/>
      <c r="AI977" s="137"/>
      <c r="AJ977" s="137"/>
      <c r="AK977" s="137"/>
      <c r="AL977" s="137"/>
    </row>
    <row r="978" spans="1:38" ht="15.75" customHeight="1">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c r="AA978" s="137"/>
      <c r="AB978" s="137"/>
      <c r="AC978" s="137"/>
      <c r="AD978" s="137"/>
      <c r="AE978" s="137"/>
      <c r="AF978" s="137"/>
      <c r="AG978" s="137"/>
      <c r="AH978" s="137"/>
      <c r="AI978" s="137"/>
      <c r="AJ978" s="137"/>
      <c r="AK978" s="137"/>
      <c r="AL978" s="137"/>
    </row>
    <row r="979" spans="1:38" ht="15.75" customHeight="1">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c r="AA979" s="137"/>
      <c r="AB979" s="137"/>
      <c r="AC979" s="137"/>
      <c r="AD979" s="137"/>
      <c r="AE979" s="137"/>
      <c r="AF979" s="137"/>
      <c r="AG979" s="137"/>
      <c r="AH979" s="137"/>
      <c r="AI979" s="137"/>
      <c r="AJ979" s="137"/>
      <c r="AK979" s="137"/>
      <c r="AL979" s="137"/>
    </row>
    <row r="980" spans="1:38" ht="15.75" customHeight="1">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c r="AA980" s="137"/>
      <c r="AB980" s="137"/>
      <c r="AC980" s="137"/>
      <c r="AD980" s="137"/>
      <c r="AE980" s="137"/>
      <c r="AF980" s="137"/>
      <c r="AG980" s="137"/>
      <c r="AH980" s="137"/>
      <c r="AI980" s="137"/>
      <c r="AJ980" s="137"/>
      <c r="AK980" s="137"/>
      <c r="AL980" s="137"/>
    </row>
    <row r="981" spans="1:38" ht="15.75" customHeight="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c r="AA981" s="137"/>
      <c r="AB981" s="137"/>
      <c r="AC981" s="137"/>
      <c r="AD981" s="137"/>
      <c r="AE981" s="137"/>
      <c r="AF981" s="137"/>
      <c r="AG981" s="137"/>
      <c r="AH981" s="137"/>
      <c r="AI981" s="137"/>
      <c r="AJ981" s="137"/>
      <c r="AK981" s="137"/>
      <c r="AL981" s="137"/>
    </row>
    <row r="982" spans="1:38" ht="15.75" customHeight="1">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c r="AA982" s="137"/>
      <c r="AB982" s="137"/>
      <c r="AC982" s="137"/>
      <c r="AD982" s="137"/>
      <c r="AE982" s="137"/>
      <c r="AF982" s="137"/>
      <c r="AG982" s="137"/>
      <c r="AH982" s="137"/>
      <c r="AI982" s="137"/>
      <c r="AJ982" s="137"/>
      <c r="AK982" s="137"/>
      <c r="AL982" s="137"/>
    </row>
    <row r="983" spans="1:38" ht="15.75" customHeight="1">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c r="AA983" s="137"/>
      <c r="AB983" s="137"/>
      <c r="AC983" s="137"/>
      <c r="AD983" s="137"/>
      <c r="AE983" s="137"/>
      <c r="AF983" s="137"/>
      <c r="AG983" s="137"/>
      <c r="AH983" s="137"/>
      <c r="AI983" s="137"/>
      <c r="AJ983" s="137"/>
      <c r="AK983" s="137"/>
      <c r="AL983" s="137"/>
    </row>
    <row r="984" spans="1:38" ht="15.75" customHeight="1">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c r="AA984" s="137"/>
      <c r="AB984" s="137"/>
      <c r="AC984" s="137"/>
      <c r="AD984" s="137"/>
      <c r="AE984" s="137"/>
      <c r="AF984" s="137"/>
      <c r="AG984" s="137"/>
      <c r="AH984" s="137"/>
      <c r="AI984" s="137"/>
      <c r="AJ984" s="137"/>
      <c r="AK984" s="137"/>
      <c r="AL984" s="137"/>
    </row>
    <row r="985" spans="1:38" ht="15.75" customHeight="1">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c r="AA985" s="137"/>
      <c r="AB985" s="137"/>
      <c r="AC985" s="137"/>
      <c r="AD985" s="137"/>
      <c r="AE985" s="137"/>
      <c r="AF985" s="137"/>
      <c r="AG985" s="137"/>
      <c r="AH985" s="137"/>
      <c r="AI985" s="137"/>
      <c r="AJ985" s="137"/>
      <c r="AK985" s="137"/>
      <c r="AL985" s="137"/>
    </row>
    <row r="986" spans="1:38" ht="15.75" customHeight="1">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c r="AA986" s="137"/>
      <c r="AB986" s="137"/>
      <c r="AC986" s="137"/>
      <c r="AD986" s="137"/>
      <c r="AE986" s="137"/>
      <c r="AF986" s="137"/>
      <c r="AG986" s="137"/>
      <c r="AH986" s="137"/>
      <c r="AI986" s="137"/>
      <c r="AJ986" s="137"/>
      <c r="AK986" s="137"/>
      <c r="AL986" s="137"/>
    </row>
    <row r="987" spans="1:38" ht="15.75" customHeight="1">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c r="AA987" s="137"/>
      <c r="AB987" s="137"/>
      <c r="AC987" s="137"/>
      <c r="AD987" s="137"/>
      <c r="AE987" s="137"/>
      <c r="AF987" s="137"/>
      <c r="AG987" s="137"/>
      <c r="AH987" s="137"/>
      <c r="AI987" s="137"/>
      <c r="AJ987" s="137"/>
      <c r="AK987" s="137"/>
      <c r="AL987" s="137"/>
    </row>
    <row r="988" spans="1:38" ht="15.75" customHeight="1">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c r="AA988" s="137"/>
      <c r="AB988" s="137"/>
      <c r="AC988" s="137"/>
      <c r="AD988" s="137"/>
      <c r="AE988" s="137"/>
      <c r="AF988" s="137"/>
      <c r="AG988" s="137"/>
      <c r="AH988" s="137"/>
      <c r="AI988" s="137"/>
      <c r="AJ988" s="137"/>
      <c r="AK988" s="137"/>
      <c r="AL988" s="137"/>
    </row>
    <row r="989" spans="1:38" ht="15.75" customHeight="1">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c r="AA989" s="137"/>
      <c r="AB989" s="137"/>
      <c r="AC989" s="137"/>
      <c r="AD989" s="137"/>
      <c r="AE989" s="137"/>
      <c r="AF989" s="137"/>
      <c r="AG989" s="137"/>
      <c r="AH989" s="137"/>
      <c r="AI989" s="137"/>
      <c r="AJ989" s="137"/>
      <c r="AK989" s="137"/>
      <c r="AL989" s="137"/>
    </row>
    <row r="990" spans="1:38" ht="15.75" customHeight="1">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c r="AA990" s="137"/>
      <c r="AB990" s="137"/>
      <c r="AC990" s="137"/>
      <c r="AD990" s="137"/>
      <c r="AE990" s="137"/>
      <c r="AF990" s="137"/>
      <c r="AG990" s="137"/>
      <c r="AH990" s="137"/>
      <c r="AI990" s="137"/>
      <c r="AJ990" s="137"/>
      <c r="AK990" s="137"/>
      <c r="AL990" s="137"/>
    </row>
    <row r="991" spans="1:38" ht="15.75" customHeight="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c r="AA991" s="137"/>
      <c r="AB991" s="137"/>
      <c r="AC991" s="137"/>
      <c r="AD991" s="137"/>
      <c r="AE991" s="137"/>
      <c r="AF991" s="137"/>
      <c r="AG991" s="137"/>
      <c r="AH991" s="137"/>
      <c r="AI991" s="137"/>
      <c r="AJ991" s="137"/>
      <c r="AK991" s="137"/>
      <c r="AL991" s="137"/>
    </row>
    <row r="992" spans="1:38" ht="15.75" customHeight="1">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c r="AA992" s="137"/>
      <c r="AB992" s="137"/>
      <c r="AC992" s="137"/>
      <c r="AD992" s="137"/>
      <c r="AE992" s="137"/>
      <c r="AF992" s="137"/>
      <c r="AG992" s="137"/>
      <c r="AH992" s="137"/>
      <c r="AI992" s="137"/>
      <c r="AJ992" s="137"/>
      <c r="AK992" s="137"/>
      <c r="AL992" s="137"/>
    </row>
    <row r="993" spans="1:38" ht="15.75" customHeight="1">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c r="AA993" s="137"/>
      <c r="AB993" s="137"/>
      <c r="AC993" s="137"/>
      <c r="AD993" s="137"/>
      <c r="AE993" s="137"/>
      <c r="AF993" s="137"/>
      <c r="AG993" s="137"/>
      <c r="AH993" s="137"/>
      <c r="AI993" s="137"/>
      <c r="AJ993" s="137"/>
      <c r="AK993" s="137"/>
      <c r="AL993" s="137"/>
    </row>
    <row r="994" spans="1:38" ht="15.75" customHeight="1">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c r="AA994" s="137"/>
      <c r="AB994" s="137"/>
      <c r="AC994" s="137"/>
      <c r="AD994" s="137"/>
      <c r="AE994" s="137"/>
      <c r="AF994" s="137"/>
      <c r="AG994" s="137"/>
      <c r="AH994" s="137"/>
      <c r="AI994" s="137"/>
      <c r="AJ994" s="137"/>
      <c r="AK994" s="137"/>
      <c r="AL994" s="137"/>
    </row>
    <row r="995" spans="1:38" ht="15.75" customHeight="1">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c r="AA995" s="137"/>
      <c r="AB995" s="137"/>
      <c r="AC995" s="137"/>
      <c r="AD995" s="137"/>
      <c r="AE995" s="137"/>
      <c r="AF995" s="137"/>
      <c r="AG995" s="137"/>
      <c r="AH995" s="137"/>
      <c r="AI995" s="137"/>
      <c r="AJ995" s="137"/>
      <c r="AK995" s="137"/>
      <c r="AL995" s="137"/>
    </row>
    <row r="996" spans="1:38" ht="15.75" customHeight="1">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c r="AA996" s="137"/>
      <c r="AB996" s="137"/>
      <c r="AC996" s="137"/>
      <c r="AD996" s="137"/>
      <c r="AE996" s="137"/>
      <c r="AF996" s="137"/>
      <c r="AG996" s="137"/>
      <c r="AH996" s="137"/>
      <c r="AI996" s="137"/>
      <c r="AJ996" s="137"/>
      <c r="AK996" s="137"/>
      <c r="AL996" s="137"/>
    </row>
    <row r="997" spans="1:38" ht="15.75" customHeight="1">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c r="AA997" s="137"/>
      <c r="AB997" s="137"/>
      <c r="AC997" s="137"/>
      <c r="AD997" s="137"/>
      <c r="AE997" s="137"/>
      <c r="AF997" s="137"/>
      <c r="AG997" s="137"/>
      <c r="AH997" s="137"/>
      <c r="AI997" s="137"/>
      <c r="AJ997" s="137"/>
      <c r="AK997" s="137"/>
      <c r="AL997" s="137"/>
    </row>
    <row r="998" spans="1:38" ht="15.75" customHeight="1">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c r="AA998" s="137"/>
      <c r="AB998" s="137"/>
      <c r="AC998" s="137"/>
      <c r="AD998" s="137"/>
      <c r="AE998" s="137"/>
      <c r="AF998" s="137"/>
      <c r="AG998" s="137"/>
      <c r="AH998" s="137"/>
      <c r="AI998" s="137"/>
      <c r="AJ998" s="137"/>
      <c r="AK998" s="137"/>
      <c r="AL998" s="137"/>
    </row>
    <row r="999" spans="1:38" ht="15.75" customHeight="1">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c r="AA999" s="137"/>
      <c r="AB999" s="137"/>
      <c r="AC999" s="137"/>
      <c r="AD999" s="137"/>
      <c r="AE999" s="137"/>
      <c r="AF999" s="137"/>
      <c r="AG999" s="137"/>
      <c r="AH999" s="137"/>
      <c r="AI999" s="137"/>
      <c r="AJ999" s="137"/>
      <c r="AK999" s="137"/>
      <c r="AL999" s="137"/>
    </row>
    <row r="1000" spans="1:38" ht="15.75" customHeight="1">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c r="AA1000" s="137"/>
      <c r="AB1000" s="137"/>
      <c r="AC1000" s="137"/>
      <c r="AD1000" s="137"/>
      <c r="AE1000" s="137"/>
      <c r="AF1000" s="137"/>
      <c r="AG1000" s="137"/>
      <c r="AH1000" s="137"/>
      <c r="AI1000" s="137"/>
      <c r="AJ1000" s="137"/>
      <c r="AK1000" s="137"/>
      <c r="AL1000" s="137"/>
    </row>
    <row r="1001" spans="1:38" ht="15.75" customHeight="1">
      <c r="A1001" s="137"/>
      <c r="B1001" s="137"/>
      <c r="C1001" s="137"/>
      <c r="D1001" s="137"/>
      <c r="E1001" s="137"/>
      <c r="F1001" s="137"/>
      <c r="G1001" s="137"/>
      <c r="H1001" s="137"/>
      <c r="I1001" s="137"/>
      <c r="J1001" s="137"/>
      <c r="K1001" s="137"/>
      <c r="L1001" s="137"/>
      <c r="M1001" s="137"/>
      <c r="N1001" s="137"/>
      <c r="O1001" s="137"/>
      <c r="P1001" s="137"/>
      <c r="Q1001" s="137"/>
      <c r="R1001" s="137"/>
      <c r="S1001" s="137"/>
      <c r="T1001" s="137"/>
      <c r="U1001" s="137"/>
      <c r="V1001" s="137"/>
      <c r="W1001" s="137"/>
      <c r="X1001" s="137"/>
      <c r="Y1001" s="137"/>
      <c r="Z1001" s="137"/>
      <c r="AA1001" s="137"/>
      <c r="AB1001" s="137"/>
      <c r="AC1001" s="137"/>
      <c r="AD1001" s="137"/>
      <c r="AE1001" s="137"/>
      <c r="AF1001" s="137"/>
      <c r="AG1001" s="137"/>
      <c r="AH1001" s="137"/>
      <c r="AI1001" s="137"/>
      <c r="AJ1001" s="137"/>
      <c r="AK1001" s="137"/>
      <c r="AL1001" s="137"/>
    </row>
    <row r="1002" spans="1:38" ht="15.75" customHeight="1">
      <c r="A1002" s="137"/>
      <c r="B1002" s="137"/>
      <c r="C1002" s="137"/>
      <c r="D1002" s="137"/>
      <c r="E1002" s="137"/>
      <c r="F1002" s="137"/>
      <c r="G1002" s="137"/>
      <c r="H1002" s="137"/>
      <c r="I1002" s="137"/>
      <c r="J1002" s="137"/>
      <c r="K1002" s="137"/>
      <c r="L1002" s="137"/>
      <c r="M1002" s="137"/>
      <c r="N1002" s="137"/>
      <c r="O1002" s="137"/>
      <c r="P1002" s="137"/>
      <c r="Q1002" s="137"/>
      <c r="R1002" s="137"/>
      <c r="S1002" s="137"/>
      <c r="T1002" s="137"/>
      <c r="U1002" s="137"/>
      <c r="V1002" s="137"/>
      <c r="W1002" s="137"/>
      <c r="X1002" s="137"/>
      <c r="Y1002" s="137"/>
      <c r="Z1002" s="137"/>
      <c r="AA1002" s="137"/>
      <c r="AB1002" s="137"/>
      <c r="AC1002" s="137"/>
      <c r="AD1002" s="137"/>
      <c r="AE1002" s="137"/>
      <c r="AF1002" s="137"/>
      <c r="AG1002" s="137"/>
      <c r="AH1002" s="137"/>
      <c r="AI1002" s="137"/>
      <c r="AJ1002" s="137"/>
      <c r="AK1002" s="137"/>
      <c r="AL1002" s="137"/>
    </row>
    <row r="1003" spans="1:38" ht="15.75" customHeight="1">
      <c r="A1003" s="137"/>
      <c r="B1003" s="137"/>
      <c r="C1003" s="137"/>
      <c r="D1003" s="137"/>
      <c r="E1003" s="137"/>
      <c r="F1003" s="137"/>
      <c r="G1003" s="137"/>
      <c r="H1003" s="137"/>
      <c r="I1003" s="137"/>
      <c r="J1003" s="137"/>
      <c r="K1003" s="137"/>
      <c r="L1003" s="137"/>
      <c r="M1003" s="137"/>
      <c r="N1003" s="137"/>
      <c r="O1003" s="137"/>
      <c r="P1003" s="137"/>
      <c r="Q1003" s="137"/>
      <c r="R1003" s="137"/>
      <c r="S1003" s="137"/>
      <c r="T1003" s="137"/>
      <c r="U1003" s="137"/>
      <c r="V1003" s="137"/>
      <c r="W1003" s="137"/>
      <c r="X1003" s="137"/>
      <c r="Y1003" s="137"/>
      <c r="Z1003" s="137"/>
      <c r="AA1003" s="137"/>
      <c r="AB1003" s="137"/>
      <c r="AC1003" s="137"/>
      <c r="AD1003" s="137"/>
      <c r="AE1003" s="137"/>
      <c r="AF1003" s="137"/>
      <c r="AG1003" s="137"/>
      <c r="AH1003" s="137"/>
      <c r="AI1003" s="137"/>
      <c r="AJ1003" s="137"/>
      <c r="AK1003" s="137"/>
      <c r="AL1003" s="137"/>
    </row>
    <row r="1004" spans="1:38" ht="15.75" customHeight="1">
      <c r="A1004" s="137"/>
      <c r="B1004" s="137"/>
      <c r="C1004" s="137"/>
      <c r="D1004" s="137"/>
      <c r="E1004" s="137"/>
      <c r="F1004" s="137"/>
      <c r="G1004" s="137"/>
      <c r="H1004" s="137"/>
      <c r="I1004" s="137"/>
      <c r="J1004" s="137"/>
      <c r="K1004" s="137"/>
      <c r="L1004" s="137"/>
      <c r="M1004" s="137"/>
      <c r="N1004" s="137"/>
      <c r="O1004" s="137"/>
      <c r="P1004" s="137"/>
      <c r="Q1004" s="137"/>
      <c r="R1004" s="137"/>
      <c r="S1004" s="137"/>
      <c r="T1004" s="137"/>
      <c r="U1004" s="137"/>
      <c r="V1004" s="137"/>
      <c r="W1004" s="137"/>
      <c r="X1004" s="137"/>
      <c r="Y1004" s="137"/>
      <c r="Z1004" s="137"/>
      <c r="AA1004" s="137"/>
      <c r="AB1004" s="137"/>
      <c r="AC1004" s="137"/>
      <c r="AD1004" s="137"/>
      <c r="AE1004" s="137"/>
      <c r="AF1004" s="137"/>
      <c r="AG1004" s="137"/>
      <c r="AH1004" s="137"/>
      <c r="AI1004" s="137"/>
      <c r="AJ1004" s="137"/>
      <c r="AK1004" s="137"/>
      <c r="AL1004" s="137"/>
    </row>
    <row r="1005" spans="1:38" ht="15.75" customHeight="1">
      <c r="A1005" s="137"/>
      <c r="B1005" s="137"/>
      <c r="C1005" s="137"/>
      <c r="D1005" s="137"/>
      <c r="E1005" s="137"/>
      <c r="F1005" s="137"/>
      <c r="G1005" s="137"/>
      <c r="H1005" s="137"/>
      <c r="I1005" s="137"/>
      <c r="J1005" s="137"/>
      <c r="K1005" s="137"/>
      <c r="L1005" s="137"/>
      <c r="M1005" s="137"/>
      <c r="N1005" s="137"/>
      <c r="O1005" s="137"/>
      <c r="P1005" s="137"/>
      <c r="Q1005" s="137"/>
      <c r="R1005" s="137"/>
      <c r="S1005" s="137"/>
      <c r="T1005" s="137"/>
      <c r="U1005" s="137"/>
      <c r="V1005" s="137"/>
      <c r="W1005" s="137"/>
      <c r="X1005" s="137"/>
      <c r="Y1005" s="137"/>
      <c r="Z1005" s="137"/>
      <c r="AA1005" s="137"/>
      <c r="AB1005" s="137"/>
      <c r="AC1005" s="137"/>
      <c r="AD1005" s="137"/>
      <c r="AE1005" s="137"/>
      <c r="AF1005" s="137"/>
      <c r="AG1005" s="137"/>
      <c r="AH1005" s="137"/>
      <c r="AI1005" s="137"/>
      <c r="AJ1005" s="137"/>
      <c r="AK1005" s="137"/>
      <c r="AL1005" s="137"/>
    </row>
  </sheetData>
  <autoFilter ref="L3:L22" xr:uid="{00000000-0009-0000-0000-000006000000}">
    <sortState xmlns:xlrd2="http://schemas.microsoft.com/office/spreadsheetml/2017/richdata2" ref="L3:L22">
      <sortCondition ref="L3:L22"/>
    </sortState>
  </autoFilter>
  <mergeCells count="1">
    <mergeCell ref="E1:J1"/>
  </mergeCells>
  <dataValidations count="1">
    <dataValidation type="list" allowBlank="1" sqref="E3:J279" xr:uid="{00000000-0002-0000-0600-000000000000}">
      <formula1>$L$4:$L$21</formula1>
    </dataValidation>
  </dataValidations>
  <hyperlinks>
    <hyperlink ref="D3" r:id="rId1" xr:uid="{00000000-0004-0000-0600-000000000000}"/>
    <hyperlink ref="D4" r:id="rId2" xr:uid="{00000000-0004-0000-0600-000001000000}"/>
    <hyperlink ref="D6" r:id="rId3" xr:uid="{00000000-0004-0000-0600-000002000000}"/>
    <hyperlink ref="D7" r:id="rId4" xr:uid="{00000000-0004-0000-0600-000003000000}"/>
    <hyperlink ref="D8" r:id="rId5" xr:uid="{00000000-0004-0000-0600-000004000000}"/>
    <hyperlink ref="D9" r:id="rId6" xr:uid="{00000000-0004-0000-0600-000005000000}"/>
    <hyperlink ref="D10" r:id="rId7" xr:uid="{00000000-0004-0000-0600-000006000000}"/>
    <hyperlink ref="D11" r:id="rId8" xr:uid="{00000000-0004-0000-0600-000007000000}"/>
    <hyperlink ref="D12" r:id="rId9" xr:uid="{00000000-0004-0000-0600-000008000000}"/>
    <hyperlink ref="D14" r:id="rId10" xr:uid="{00000000-0004-0000-0600-000009000000}"/>
    <hyperlink ref="D15" r:id="rId11" xr:uid="{00000000-0004-0000-0600-00000A000000}"/>
    <hyperlink ref="D16" r:id="rId12" xr:uid="{00000000-0004-0000-0600-00000B000000}"/>
    <hyperlink ref="D17" r:id="rId13" xr:uid="{00000000-0004-0000-0600-00000C000000}"/>
    <hyperlink ref="D18" r:id="rId14" xr:uid="{00000000-0004-0000-0600-00000D000000}"/>
    <hyperlink ref="D19" r:id="rId15" xr:uid="{00000000-0004-0000-0600-00000E000000}"/>
    <hyperlink ref="D20" r:id="rId16" xr:uid="{00000000-0004-0000-0600-00000F000000}"/>
    <hyperlink ref="D21" r:id="rId17" xr:uid="{00000000-0004-0000-0600-000010000000}"/>
    <hyperlink ref="D22" r:id="rId18" xr:uid="{00000000-0004-0000-0600-000011000000}"/>
    <hyperlink ref="D23" r:id="rId19" xr:uid="{00000000-0004-0000-0600-000012000000}"/>
    <hyperlink ref="D24" r:id="rId20" xr:uid="{00000000-0004-0000-0600-000013000000}"/>
    <hyperlink ref="D26" r:id="rId21" xr:uid="{00000000-0004-0000-0600-000014000000}"/>
    <hyperlink ref="D27" r:id="rId22" xr:uid="{00000000-0004-0000-0600-000015000000}"/>
    <hyperlink ref="D28" r:id="rId23" xr:uid="{00000000-0004-0000-0600-000016000000}"/>
    <hyperlink ref="D29" r:id="rId24" xr:uid="{00000000-0004-0000-0600-000017000000}"/>
    <hyperlink ref="D30" r:id="rId25" xr:uid="{00000000-0004-0000-0600-000018000000}"/>
    <hyperlink ref="D31" r:id="rId26" xr:uid="{00000000-0004-0000-0600-000019000000}"/>
    <hyperlink ref="D33" r:id="rId27" xr:uid="{00000000-0004-0000-0600-00001A000000}"/>
    <hyperlink ref="D34" r:id="rId28" xr:uid="{00000000-0004-0000-0600-00001B000000}"/>
    <hyperlink ref="D35" r:id="rId29" xr:uid="{00000000-0004-0000-0600-00001C000000}"/>
    <hyperlink ref="D36" r:id="rId30" xr:uid="{00000000-0004-0000-0600-00001D000000}"/>
    <hyperlink ref="D37" r:id="rId31" xr:uid="{00000000-0004-0000-0600-00001E000000}"/>
    <hyperlink ref="D38" r:id="rId32" xr:uid="{00000000-0004-0000-0600-00001F000000}"/>
    <hyperlink ref="D39" r:id="rId33" xr:uid="{00000000-0004-0000-0600-000020000000}"/>
    <hyperlink ref="D40" r:id="rId34" xr:uid="{00000000-0004-0000-0600-000021000000}"/>
    <hyperlink ref="D41" r:id="rId35" xr:uid="{00000000-0004-0000-0600-000022000000}"/>
    <hyperlink ref="D42" r:id="rId36" xr:uid="{00000000-0004-0000-0600-000023000000}"/>
    <hyperlink ref="D43" r:id="rId37" xr:uid="{00000000-0004-0000-0600-000024000000}"/>
    <hyperlink ref="D44" r:id="rId38" xr:uid="{00000000-0004-0000-0600-000025000000}"/>
    <hyperlink ref="D45" r:id="rId39" xr:uid="{00000000-0004-0000-0600-000026000000}"/>
    <hyperlink ref="D46" r:id="rId40" xr:uid="{00000000-0004-0000-0600-000027000000}"/>
    <hyperlink ref="D49" r:id="rId41" xr:uid="{00000000-0004-0000-0600-000028000000}"/>
    <hyperlink ref="D50" r:id="rId42" xr:uid="{00000000-0004-0000-0600-000029000000}"/>
    <hyperlink ref="D51" r:id="rId43" xr:uid="{00000000-0004-0000-0600-00002A000000}"/>
    <hyperlink ref="D52" r:id="rId44" xr:uid="{00000000-0004-0000-0600-00002B000000}"/>
    <hyperlink ref="D53" r:id="rId45" xr:uid="{00000000-0004-0000-0600-00002C000000}"/>
    <hyperlink ref="D54" r:id="rId46" xr:uid="{00000000-0004-0000-0600-00002D000000}"/>
    <hyperlink ref="D55" r:id="rId47" xr:uid="{00000000-0004-0000-0600-00002E000000}"/>
    <hyperlink ref="D56" r:id="rId48" xr:uid="{00000000-0004-0000-0600-00002F000000}"/>
    <hyperlink ref="D57" r:id="rId49" xr:uid="{00000000-0004-0000-0600-000030000000}"/>
    <hyperlink ref="D58" r:id="rId50" xr:uid="{00000000-0004-0000-0600-000031000000}"/>
    <hyperlink ref="D59" r:id="rId51" xr:uid="{00000000-0004-0000-0600-000032000000}"/>
    <hyperlink ref="D60" r:id="rId52" xr:uid="{00000000-0004-0000-0600-000033000000}"/>
    <hyperlink ref="D61" r:id="rId53" xr:uid="{00000000-0004-0000-0600-000034000000}"/>
    <hyperlink ref="D62" r:id="rId54" xr:uid="{00000000-0004-0000-0600-000035000000}"/>
    <hyperlink ref="D63" r:id="rId55" xr:uid="{00000000-0004-0000-0600-000036000000}"/>
    <hyperlink ref="D64" r:id="rId56" xr:uid="{00000000-0004-0000-0600-000037000000}"/>
    <hyperlink ref="D65" r:id="rId57" xr:uid="{00000000-0004-0000-0600-000038000000}"/>
    <hyperlink ref="D66" r:id="rId58" xr:uid="{00000000-0004-0000-0600-000039000000}"/>
    <hyperlink ref="D67" r:id="rId59" xr:uid="{00000000-0004-0000-0600-00003A000000}"/>
    <hyperlink ref="D69" r:id="rId60" xr:uid="{00000000-0004-0000-0600-00003B000000}"/>
    <hyperlink ref="D70" r:id="rId61" xr:uid="{00000000-0004-0000-0600-00003C000000}"/>
    <hyperlink ref="D71" r:id="rId62" xr:uid="{00000000-0004-0000-0600-00003D000000}"/>
    <hyperlink ref="D72" r:id="rId63" xr:uid="{00000000-0004-0000-0600-00003E000000}"/>
    <hyperlink ref="D77" r:id="rId64" xr:uid="{00000000-0004-0000-0600-00003F000000}"/>
    <hyperlink ref="D79" r:id="rId65" xr:uid="{00000000-0004-0000-0600-000040000000}"/>
    <hyperlink ref="D80" r:id="rId66" xr:uid="{00000000-0004-0000-0600-000041000000}"/>
    <hyperlink ref="D81" r:id="rId67" xr:uid="{00000000-0004-0000-0600-000042000000}"/>
    <hyperlink ref="D82" r:id="rId68" xr:uid="{00000000-0004-0000-0600-000043000000}"/>
    <hyperlink ref="D83" r:id="rId69" xr:uid="{00000000-0004-0000-0600-000044000000}"/>
    <hyperlink ref="D84" r:id="rId70" xr:uid="{00000000-0004-0000-0600-000045000000}"/>
    <hyperlink ref="D86" r:id="rId71" xr:uid="{00000000-0004-0000-0600-000046000000}"/>
    <hyperlink ref="D89" r:id="rId72" xr:uid="{00000000-0004-0000-0600-000047000000}"/>
    <hyperlink ref="D90" r:id="rId73" xr:uid="{00000000-0004-0000-0600-000048000000}"/>
    <hyperlink ref="D91" r:id="rId74" xr:uid="{00000000-0004-0000-0600-000049000000}"/>
    <hyperlink ref="D92" r:id="rId75" xr:uid="{00000000-0004-0000-0600-00004A000000}"/>
    <hyperlink ref="D93" r:id="rId76" xr:uid="{00000000-0004-0000-0600-00004B000000}"/>
    <hyperlink ref="D94" r:id="rId77" xr:uid="{00000000-0004-0000-0600-00004C000000}"/>
    <hyperlink ref="D95" r:id="rId78" xr:uid="{00000000-0004-0000-0600-00004D000000}"/>
    <hyperlink ref="D96" r:id="rId79" xr:uid="{00000000-0004-0000-0600-00004E000000}"/>
    <hyperlink ref="D97" r:id="rId80" xr:uid="{00000000-0004-0000-0600-00004F000000}"/>
    <hyperlink ref="D99" r:id="rId81" xr:uid="{00000000-0004-0000-0600-000050000000}"/>
    <hyperlink ref="D100" r:id="rId82" xr:uid="{00000000-0004-0000-0600-000051000000}"/>
    <hyperlink ref="D102" r:id="rId83" xr:uid="{00000000-0004-0000-0600-000052000000}"/>
    <hyperlink ref="D104" r:id="rId84" xr:uid="{00000000-0004-0000-0600-000053000000}"/>
    <hyperlink ref="D105" r:id="rId85" xr:uid="{00000000-0004-0000-0600-000054000000}"/>
    <hyperlink ref="D106" r:id="rId86" xr:uid="{00000000-0004-0000-0600-000055000000}"/>
    <hyperlink ref="D107" r:id="rId87" xr:uid="{00000000-0004-0000-0600-000056000000}"/>
    <hyperlink ref="D108" r:id="rId88" xr:uid="{00000000-0004-0000-0600-000057000000}"/>
    <hyperlink ref="D109" r:id="rId89" xr:uid="{00000000-0004-0000-0600-000058000000}"/>
    <hyperlink ref="D110" r:id="rId90" xr:uid="{00000000-0004-0000-0600-000059000000}"/>
    <hyperlink ref="D111" r:id="rId91" xr:uid="{00000000-0004-0000-0600-00005A000000}"/>
    <hyperlink ref="D112" r:id="rId92" xr:uid="{00000000-0004-0000-0600-00005B000000}"/>
    <hyperlink ref="D113" r:id="rId93" xr:uid="{00000000-0004-0000-0600-00005C000000}"/>
    <hyperlink ref="D114" r:id="rId94" xr:uid="{00000000-0004-0000-0600-00005D000000}"/>
    <hyperlink ref="D115" r:id="rId95" xr:uid="{00000000-0004-0000-0600-00005E000000}"/>
    <hyperlink ref="D116" r:id="rId96" xr:uid="{00000000-0004-0000-0600-00005F000000}"/>
    <hyperlink ref="D118" r:id="rId97" xr:uid="{00000000-0004-0000-0600-000060000000}"/>
    <hyperlink ref="D119" r:id="rId98" xr:uid="{00000000-0004-0000-0600-000061000000}"/>
    <hyperlink ref="D120" r:id="rId99" xr:uid="{00000000-0004-0000-0600-000062000000}"/>
    <hyperlink ref="D121" r:id="rId100" xr:uid="{00000000-0004-0000-0600-000063000000}"/>
    <hyperlink ref="D122" r:id="rId101" xr:uid="{00000000-0004-0000-0600-000064000000}"/>
    <hyperlink ref="D123" r:id="rId102" xr:uid="{00000000-0004-0000-0600-000065000000}"/>
    <hyperlink ref="D124" r:id="rId103" xr:uid="{00000000-0004-0000-0600-000066000000}"/>
    <hyperlink ref="D125" r:id="rId104" xr:uid="{00000000-0004-0000-0600-000067000000}"/>
    <hyperlink ref="D126" r:id="rId105" xr:uid="{00000000-0004-0000-0600-000068000000}"/>
    <hyperlink ref="D127" r:id="rId106" xr:uid="{00000000-0004-0000-0600-000069000000}"/>
    <hyperlink ref="D128" r:id="rId107" xr:uid="{00000000-0004-0000-0600-00006A000000}"/>
    <hyperlink ref="D129" r:id="rId108" xr:uid="{00000000-0004-0000-0600-00006B000000}"/>
    <hyperlink ref="D130" r:id="rId109" xr:uid="{00000000-0004-0000-0600-00006C000000}"/>
    <hyperlink ref="D131" r:id="rId110" xr:uid="{00000000-0004-0000-0600-00006D000000}"/>
    <hyperlink ref="D132" r:id="rId111" xr:uid="{00000000-0004-0000-0600-00006E000000}"/>
    <hyperlink ref="D133" r:id="rId112" xr:uid="{00000000-0004-0000-0600-00006F000000}"/>
    <hyperlink ref="D134" r:id="rId113" xr:uid="{00000000-0004-0000-0600-000070000000}"/>
    <hyperlink ref="D136" r:id="rId114" xr:uid="{00000000-0004-0000-0600-000071000000}"/>
    <hyperlink ref="D137" r:id="rId115" xr:uid="{00000000-0004-0000-0600-000072000000}"/>
    <hyperlink ref="D138" r:id="rId116" xr:uid="{00000000-0004-0000-0600-000073000000}"/>
    <hyperlink ref="D139" r:id="rId117" xr:uid="{00000000-0004-0000-0600-000074000000}"/>
    <hyperlink ref="D140" r:id="rId118" xr:uid="{00000000-0004-0000-0600-000075000000}"/>
    <hyperlink ref="D141" r:id="rId119" xr:uid="{00000000-0004-0000-0600-000076000000}"/>
    <hyperlink ref="D143" r:id="rId120" xr:uid="{00000000-0004-0000-0600-000077000000}"/>
    <hyperlink ref="D145" r:id="rId121" xr:uid="{00000000-0004-0000-0600-000078000000}"/>
    <hyperlink ref="D146" r:id="rId122" xr:uid="{00000000-0004-0000-0600-000079000000}"/>
    <hyperlink ref="D147" r:id="rId123" xr:uid="{00000000-0004-0000-0600-00007A000000}"/>
    <hyperlink ref="D148" r:id="rId124" xr:uid="{00000000-0004-0000-0600-00007B000000}"/>
    <hyperlink ref="D149" r:id="rId125" xr:uid="{00000000-0004-0000-0600-00007C000000}"/>
    <hyperlink ref="D150" r:id="rId126" xr:uid="{00000000-0004-0000-0600-00007D000000}"/>
    <hyperlink ref="D151" r:id="rId127" xr:uid="{00000000-0004-0000-0600-00007E000000}"/>
    <hyperlink ref="D152" r:id="rId128" xr:uid="{00000000-0004-0000-0600-00007F000000}"/>
    <hyperlink ref="D153" r:id="rId129" xr:uid="{00000000-0004-0000-0600-000080000000}"/>
    <hyperlink ref="D154" r:id="rId130" xr:uid="{00000000-0004-0000-0600-000081000000}"/>
    <hyperlink ref="D155" r:id="rId131" xr:uid="{00000000-0004-0000-0600-000082000000}"/>
    <hyperlink ref="D156" r:id="rId132" xr:uid="{00000000-0004-0000-0600-000083000000}"/>
    <hyperlink ref="D157" r:id="rId133" xr:uid="{00000000-0004-0000-0600-000084000000}"/>
    <hyperlink ref="D158" r:id="rId134" xr:uid="{00000000-0004-0000-0600-000085000000}"/>
    <hyperlink ref="D159" r:id="rId135" xr:uid="{00000000-0004-0000-0600-000086000000}"/>
    <hyperlink ref="D160" r:id="rId136" xr:uid="{00000000-0004-0000-0600-000087000000}"/>
    <hyperlink ref="D161" r:id="rId137" xr:uid="{00000000-0004-0000-0600-000088000000}"/>
    <hyperlink ref="D162" r:id="rId138" xr:uid="{00000000-0004-0000-0600-000089000000}"/>
    <hyperlink ref="D163" r:id="rId139" xr:uid="{00000000-0004-0000-0600-00008A000000}"/>
    <hyperlink ref="D164" r:id="rId140" xr:uid="{00000000-0004-0000-0600-00008B000000}"/>
    <hyperlink ref="D165" r:id="rId141" xr:uid="{00000000-0004-0000-0600-00008C000000}"/>
    <hyperlink ref="D166" r:id="rId142" xr:uid="{00000000-0004-0000-0600-00008D000000}"/>
    <hyperlink ref="D167" r:id="rId143" xr:uid="{00000000-0004-0000-0600-00008E000000}"/>
    <hyperlink ref="D168" r:id="rId144" xr:uid="{00000000-0004-0000-0600-00008F000000}"/>
    <hyperlink ref="D170" r:id="rId145" xr:uid="{00000000-0004-0000-0600-000090000000}"/>
    <hyperlink ref="D171" r:id="rId146" xr:uid="{00000000-0004-0000-0600-000091000000}"/>
    <hyperlink ref="D173" r:id="rId147" xr:uid="{00000000-0004-0000-0600-000092000000}"/>
    <hyperlink ref="D175" r:id="rId148" xr:uid="{00000000-0004-0000-0600-000093000000}"/>
    <hyperlink ref="D176" r:id="rId149" xr:uid="{00000000-0004-0000-0600-000094000000}"/>
    <hyperlink ref="D179" r:id="rId150" xr:uid="{00000000-0004-0000-0600-000095000000}"/>
    <hyperlink ref="D180" r:id="rId151" xr:uid="{00000000-0004-0000-0600-000096000000}"/>
    <hyperlink ref="D181" r:id="rId152" xr:uid="{00000000-0004-0000-0600-000097000000}"/>
    <hyperlink ref="D182" r:id="rId153" xr:uid="{00000000-0004-0000-0600-000098000000}"/>
    <hyperlink ref="D183" r:id="rId154" xr:uid="{00000000-0004-0000-0600-000099000000}"/>
    <hyperlink ref="D186" r:id="rId155" xr:uid="{00000000-0004-0000-0600-00009A000000}"/>
    <hyperlink ref="D187" r:id="rId156" xr:uid="{00000000-0004-0000-0600-00009B000000}"/>
    <hyperlink ref="D188" r:id="rId157" xr:uid="{00000000-0004-0000-0600-00009C000000}"/>
    <hyperlink ref="D189" r:id="rId158" xr:uid="{00000000-0004-0000-0600-00009D000000}"/>
    <hyperlink ref="D190" r:id="rId159" xr:uid="{00000000-0004-0000-0600-00009E000000}"/>
    <hyperlink ref="D191" r:id="rId160" xr:uid="{00000000-0004-0000-0600-00009F000000}"/>
    <hyperlink ref="D192" r:id="rId161" xr:uid="{00000000-0004-0000-0600-0000A0000000}"/>
    <hyperlink ref="D193" r:id="rId162" xr:uid="{00000000-0004-0000-0600-0000A1000000}"/>
    <hyperlink ref="D194" r:id="rId163" xr:uid="{00000000-0004-0000-0600-0000A2000000}"/>
    <hyperlink ref="D195" r:id="rId164" xr:uid="{00000000-0004-0000-0600-0000A3000000}"/>
    <hyperlink ref="D196" r:id="rId165" xr:uid="{00000000-0004-0000-0600-0000A4000000}"/>
    <hyperlink ref="D197" r:id="rId166" xr:uid="{00000000-0004-0000-0600-0000A5000000}"/>
    <hyperlink ref="D198" r:id="rId167" xr:uid="{00000000-0004-0000-0600-0000A6000000}"/>
    <hyperlink ref="D199" r:id="rId168" xr:uid="{00000000-0004-0000-0600-0000A7000000}"/>
    <hyperlink ref="D200" r:id="rId169" xr:uid="{00000000-0004-0000-0600-0000A8000000}"/>
    <hyperlink ref="D201" r:id="rId170" xr:uid="{00000000-0004-0000-0600-0000A9000000}"/>
    <hyperlink ref="D202" r:id="rId171" xr:uid="{00000000-0004-0000-0600-0000AA000000}"/>
    <hyperlink ref="D203" r:id="rId172" xr:uid="{00000000-0004-0000-0600-0000AB000000}"/>
    <hyperlink ref="D204" r:id="rId173" xr:uid="{00000000-0004-0000-0600-0000AC000000}"/>
    <hyperlink ref="D205" r:id="rId174" xr:uid="{00000000-0004-0000-0600-0000AD000000}"/>
    <hyperlink ref="D206" r:id="rId175" xr:uid="{00000000-0004-0000-0600-0000AE000000}"/>
    <hyperlink ref="D208" r:id="rId176" xr:uid="{00000000-0004-0000-0600-0000AF000000}"/>
    <hyperlink ref="D209" r:id="rId177" xr:uid="{00000000-0004-0000-0600-0000B0000000}"/>
    <hyperlink ref="D210" r:id="rId178" xr:uid="{00000000-0004-0000-0600-0000B1000000}"/>
    <hyperlink ref="D211" r:id="rId179" xr:uid="{00000000-0004-0000-0600-0000B2000000}"/>
    <hyperlink ref="D212" r:id="rId180" xr:uid="{00000000-0004-0000-0600-0000B3000000}"/>
    <hyperlink ref="D213" r:id="rId181" xr:uid="{00000000-0004-0000-0600-0000B4000000}"/>
    <hyperlink ref="D214" r:id="rId182" xr:uid="{00000000-0004-0000-0600-0000B5000000}"/>
    <hyperlink ref="D215" r:id="rId183" xr:uid="{00000000-0004-0000-0600-0000B6000000}"/>
    <hyperlink ref="D216" r:id="rId184" xr:uid="{00000000-0004-0000-0600-0000B7000000}"/>
    <hyperlink ref="D217" r:id="rId185" xr:uid="{00000000-0004-0000-0600-0000B8000000}"/>
    <hyperlink ref="D218" r:id="rId186" xr:uid="{00000000-0004-0000-0600-0000B9000000}"/>
    <hyperlink ref="D219" r:id="rId187" xr:uid="{00000000-0004-0000-0600-0000BA000000}"/>
    <hyperlink ref="D220" r:id="rId188" xr:uid="{00000000-0004-0000-0600-0000BB000000}"/>
    <hyperlink ref="D221" r:id="rId189" xr:uid="{00000000-0004-0000-0600-0000BC000000}"/>
    <hyperlink ref="D224" r:id="rId190" xr:uid="{00000000-0004-0000-0600-0000BD000000}"/>
    <hyperlink ref="D225" r:id="rId191" xr:uid="{00000000-0004-0000-0600-0000BE000000}"/>
    <hyperlink ref="D226" r:id="rId192" xr:uid="{00000000-0004-0000-0600-0000BF000000}"/>
    <hyperlink ref="D227" r:id="rId193" xr:uid="{00000000-0004-0000-0600-0000C0000000}"/>
    <hyperlink ref="D228" r:id="rId194" xr:uid="{00000000-0004-0000-0600-0000C1000000}"/>
    <hyperlink ref="D229" r:id="rId195" xr:uid="{00000000-0004-0000-0600-0000C2000000}"/>
    <hyperlink ref="D230" r:id="rId196" xr:uid="{00000000-0004-0000-0600-0000C3000000}"/>
    <hyperlink ref="D231" r:id="rId197" xr:uid="{00000000-0004-0000-0600-0000C4000000}"/>
    <hyperlink ref="D232" r:id="rId198" xr:uid="{00000000-0004-0000-0600-0000C5000000}"/>
    <hyperlink ref="D235" r:id="rId199" xr:uid="{00000000-0004-0000-0600-0000C6000000}"/>
    <hyperlink ref="D236" r:id="rId200" xr:uid="{00000000-0004-0000-0600-0000C7000000}"/>
    <hyperlink ref="D237" r:id="rId201" xr:uid="{00000000-0004-0000-0600-0000C8000000}"/>
    <hyperlink ref="D238" r:id="rId202" xr:uid="{00000000-0004-0000-0600-0000C9000000}"/>
    <hyperlink ref="D239" r:id="rId203" xr:uid="{00000000-0004-0000-0600-0000CA000000}"/>
    <hyperlink ref="D240" r:id="rId204" xr:uid="{00000000-0004-0000-0600-0000CB000000}"/>
    <hyperlink ref="D241" r:id="rId205" xr:uid="{00000000-0004-0000-0600-0000CC000000}"/>
    <hyperlink ref="D243" r:id="rId206" xr:uid="{00000000-0004-0000-0600-0000CD000000}"/>
    <hyperlink ref="D244" r:id="rId207" xr:uid="{00000000-0004-0000-0600-0000CE000000}"/>
    <hyperlink ref="D245" r:id="rId208" xr:uid="{00000000-0004-0000-0600-0000CF000000}"/>
    <hyperlink ref="D246" r:id="rId209" xr:uid="{00000000-0004-0000-0600-0000D0000000}"/>
    <hyperlink ref="D247" r:id="rId210" xr:uid="{00000000-0004-0000-0600-0000D1000000}"/>
    <hyperlink ref="D248" r:id="rId211" xr:uid="{00000000-0004-0000-0600-0000D2000000}"/>
    <hyperlink ref="D249" r:id="rId212" xr:uid="{00000000-0004-0000-0600-0000D3000000}"/>
    <hyperlink ref="D250" r:id="rId213" xr:uid="{00000000-0004-0000-0600-0000D4000000}"/>
    <hyperlink ref="D251" r:id="rId214" xr:uid="{00000000-0004-0000-0600-0000D5000000}"/>
    <hyperlink ref="D252" r:id="rId215" xr:uid="{00000000-0004-0000-0600-0000D6000000}"/>
    <hyperlink ref="D253" r:id="rId216" xr:uid="{00000000-0004-0000-0600-0000D7000000}"/>
    <hyperlink ref="D254" r:id="rId217" xr:uid="{00000000-0004-0000-0600-0000D8000000}"/>
    <hyperlink ref="D255" r:id="rId218" xr:uid="{00000000-0004-0000-0600-0000D9000000}"/>
    <hyperlink ref="D256" r:id="rId219" xr:uid="{00000000-0004-0000-0600-0000DA000000}"/>
    <hyperlink ref="D257" r:id="rId220" xr:uid="{00000000-0004-0000-0600-0000DB000000}"/>
    <hyperlink ref="D258" r:id="rId221" xr:uid="{00000000-0004-0000-0600-0000DC000000}"/>
    <hyperlink ref="D260" r:id="rId222" xr:uid="{00000000-0004-0000-0600-0000DD000000}"/>
    <hyperlink ref="D261" r:id="rId223" xr:uid="{00000000-0004-0000-0600-0000DE000000}"/>
    <hyperlink ref="D262" r:id="rId224" xr:uid="{00000000-0004-0000-0600-0000DF000000}"/>
    <hyperlink ref="D263" r:id="rId225" xr:uid="{00000000-0004-0000-0600-0000E0000000}"/>
    <hyperlink ref="D264" r:id="rId226" xr:uid="{00000000-0004-0000-0600-0000E1000000}"/>
    <hyperlink ref="D266" r:id="rId227" xr:uid="{00000000-0004-0000-0600-0000E2000000}"/>
    <hyperlink ref="D267" r:id="rId228" xr:uid="{00000000-0004-0000-0600-0000E3000000}"/>
    <hyperlink ref="D270" r:id="rId229" xr:uid="{00000000-0004-0000-0600-0000E4000000}"/>
    <hyperlink ref="D272" r:id="rId230" xr:uid="{00000000-0004-0000-0600-0000E5000000}"/>
    <hyperlink ref="D273" r:id="rId231" xr:uid="{00000000-0004-0000-0600-0000E6000000}"/>
    <hyperlink ref="D274" r:id="rId232" xr:uid="{00000000-0004-0000-0600-0000E7000000}"/>
    <hyperlink ref="D275" r:id="rId233" xr:uid="{00000000-0004-0000-0600-0000E8000000}"/>
    <hyperlink ref="D277" r:id="rId234" xr:uid="{00000000-0004-0000-0600-0000E9000000}"/>
    <hyperlink ref="D278" r:id="rId235" xr:uid="{00000000-0004-0000-0600-0000EA000000}"/>
    <hyperlink ref="D279" r:id="rId236" xr:uid="{00000000-0004-0000-0600-0000EB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999"/>
  <sheetViews>
    <sheetView showGridLines="0" tabSelected="1" workbookViewId="0">
      <pane ySplit="8" topLeftCell="A9" activePane="bottomLeft" state="frozen"/>
      <selection pane="bottomLeft" activeCell="B10" sqref="B10"/>
    </sheetView>
  </sheetViews>
  <sheetFormatPr defaultColWidth="12.6328125" defaultRowHeight="15" customHeight="1"/>
  <cols>
    <col min="1" max="1" width="3.36328125" customWidth="1"/>
    <col min="2" max="2" width="22.36328125" customWidth="1"/>
    <col min="3" max="3" width="10.36328125" customWidth="1"/>
    <col min="4" max="4" width="6.90625" customWidth="1"/>
    <col min="5" max="5" width="7.26953125" customWidth="1"/>
    <col min="6" max="6" width="7.453125" customWidth="1"/>
    <col min="7" max="7" width="6.26953125" customWidth="1"/>
    <col min="8" max="8" width="3.6328125" customWidth="1"/>
    <col min="9" max="9" width="3.36328125" customWidth="1"/>
    <col min="10" max="10" width="26.453125" customWidth="1"/>
    <col min="11" max="11" width="9.90625" customWidth="1"/>
    <col min="12" max="15" width="7.6328125" customWidth="1"/>
    <col min="16" max="16" width="4.36328125" customWidth="1"/>
    <col min="17" max="29" width="9.6328125" customWidth="1"/>
  </cols>
  <sheetData>
    <row r="1" spans="1:16" ht="27" customHeight="1">
      <c r="A1" s="460" t="s">
        <v>897</v>
      </c>
      <c r="B1" s="371"/>
      <c r="C1" s="371"/>
      <c r="D1" s="371"/>
      <c r="E1" s="371"/>
      <c r="F1" s="371"/>
      <c r="G1" s="371"/>
      <c r="H1" s="371"/>
      <c r="I1" s="371"/>
      <c r="J1" s="371"/>
      <c r="K1" s="371"/>
      <c r="L1" s="371"/>
      <c r="M1" s="371"/>
      <c r="N1" s="371"/>
      <c r="O1" s="371"/>
      <c r="P1" s="371"/>
    </row>
    <row r="2" spans="1:16" ht="4.5" customHeight="1">
      <c r="D2" s="291"/>
      <c r="E2" s="291"/>
      <c r="F2" s="291"/>
      <c r="G2" s="291"/>
      <c r="J2" s="137" t="s">
        <v>898</v>
      </c>
    </row>
    <row r="3" spans="1:16" ht="13.5" customHeight="1">
      <c r="D3" s="292" t="s">
        <v>18</v>
      </c>
      <c r="E3" s="293" t="s">
        <v>21</v>
      </c>
      <c r="F3" s="293" t="s">
        <v>20</v>
      </c>
      <c r="G3" s="294" t="s">
        <v>15</v>
      </c>
      <c r="L3" s="292" t="s">
        <v>18</v>
      </c>
      <c r="M3" s="293" t="s">
        <v>21</v>
      </c>
      <c r="N3" s="293" t="s">
        <v>20</v>
      </c>
      <c r="O3" s="294" t="s">
        <v>15</v>
      </c>
    </row>
    <row r="4" spans="1:16" ht="15.75" customHeight="1">
      <c r="B4" s="461" t="s">
        <v>899</v>
      </c>
      <c r="C4" s="397"/>
      <c r="D4" s="295"/>
      <c r="E4" s="296"/>
      <c r="F4" s="296"/>
      <c r="G4" s="297">
        <f>D4*4+E4*9+F4*4</f>
        <v>0</v>
      </c>
      <c r="J4" s="461" t="s">
        <v>899</v>
      </c>
      <c r="K4" s="397"/>
      <c r="L4" s="295">
        <f t="shared" ref="L4:N4" si="0">D4</f>
        <v>0</v>
      </c>
      <c r="M4" s="296">
        <f t="shared" si="0"/>
        <v>0</v>
      </c>
      <c r="N4" s="296">
        <f t="shared" si="0"/>
        <v>0</v>
      </c>
      <c r="O4" s="297">
        <f>L4*4+M4*9+N4*4</f>
        <v>0</v>
      </c>
    </row>
    <row r="5" spans="1:16" ht="15.75" customHeight="1">
      <c r="B5" s="462" t="s">
        <v>900</v>
      </c>
      <c r="C5" s="372"/>
      <c r="D5" s="298">
        <f t="shared" ref="D5:G5" si="1">SUM(D15,D23,D31,D39,D47,D55)</f>
        <v>0</v>
      </c>
      <c r="E5" s="299">
        <f t="shared" si="1"/>
        <v>0</v>
      </c>
      <c r="F5" s="299">
        <f t="shared" si="1"/>
        <v>0</v>
      </c>
      <c r="G5" s="300">
        <f t="shared" si="1"/>
        <v>0</v>
      </c>
      <c r="J5" s="463" t="s">
        <v>900</v>
      </c>
      <c r="K5" s="372"/>
      <c r="L5" s="301">
        <f t="shared" ref="L5:O5" si="2">SUM(L15,L23,L31,L39,L47,L55)</f>
        <v>0</v>
      </c>
      <c r="M5" s="302">
        <f t="shared" si="2"/>
        <v>0</v>
      </c>
      <c r="N5" s="302">
        <f t="shared" si="2"/>
        <v>0</v>
      </c>
      <c r="O5" s="303">
        <f t="shared" si="2"/>
        <v>0</v>
      </c>
    </row>
    <row r="6" spans="1:16" ht="15.75" customHeight="1">
      <c r="B6" s="456" t="s">
        <v>901</v>
      </c>
      <c r="C6" s="356"/>
      <c r="D6" s="304">
        <f t="shared" ref="D6:G6" si="3">D4-D5</f>
        <v>0</v>
      </c>
      <c r="E6" s="305">
        <f t="shared" si="3"/>
        <v>0</v>
      </c>
      <c r="F6" s="305">
        <f t="shared" si="3"/>
        <v>0</v>
      </c>
      <c r="G6" s="306">
        <f t="shared" si="3"/>
        <v>0</v>
      </c>
      <c r="J6" s="456" t="s">
        <v>901</v>
      </c>
      <c r="K6" s="356"/>
      <c r="L6" s="304">
        <f t="shared" ref="L6:O6" si="4">L4-L5</f>
        <v>0</v>
      </c>
      <c r="M6" s="305">
        <f t="shared" si="4"/>
        <v>0</v>
      </c>
      <c r="N6" s="305">
        <f t="shared" si="4"/>
        <v>0</v>
      </c>
      <c r="O6" s="306">
        <f t="shared" si="4"/>
        <v>0</v>
      </c>
    </row>
    <row r="7" spans="1:16" ht="6.75" customHeight="1"/>
    <row r="8" spans="1:16" ht="15.75" customHeight="1">
      <c r="B8" s="307" t="s">
        <v>902</v>
      </c>
      <c r="C8" s="308" t="s">
        <v>903</v>
      </c>
      <c r="D8" s="309" t="s">
        <v>18</v>
      </c>
      <c r="E8" s="309" t="s">
        <v>21</v>
      </c>
      <c r="F8" s="309" t="s">
        <v>20</v>
      </c>
      <c r="G8" s="309" t="s">
        <v>15</v>
      </c>
      <c r="J8" s="310" t="s">
        <v>902</v>
      </c>
      <c r="K8" s="311" t="s">
        <v>903</v>
      </c>
      <c r="L8" s="312" t="s">
        <v>18</v>
      </c>
      <c r="M8" s="312" t="s">
        <v>21</v>
      </c>
      <c r="N8" s="312" t="s">
        <v>20</v>
      </c>
      <c r="O8" s="313" t="s">
        <v>15</v>
      </c>
    </row>
    <row r="9" spans="1:16" ht="15.75" customHeight="1">
      <c r="A9" s="464" t="s">
        <v>904</v>
      </c>
      <c r="B9" s="314"/>
      <c r="C9" s="315"/>
      <c r="D9" s="316" t="str">
        <f>IFERROR(VLOOKUP($B9,'Base dados dieta'!$A:$F,MATCH(D$8,$D$8:$F$8,0)+3,FALSE)/VLOOKUP($B9,'Base dados dieta'!$A:$F,2,FALSE)*$C9,"")</f>
        <v/>
      </c>
      <c r="E9" s="316" t="str">
        <f>IFERROR(VLOOKUP($B9,'Base dados dieta'!$A:$F,MATCH(E$8,$D$8:$F$8,0)+3,FALSE)/VLOOKUP($B9,'Base dados dieta'!$A:$F,2,FALSE)*$C9,"")</f>
        <v/>
      </c>
      <c r="F9" s="316" t="str">
        <f>IFERROR(VLOOKUP($B9,'Base dados dieta'!$A:$F,MATCH(F$8,$D$8:$F$8,0)+3,FALSE)/VLOOKUP($B9,'Base dados dieta'!$A:$F,2,FALSE)*$C9,"")</f>
        <v/>
      </c>
      <c r="G9" s="316" t="str">
        <f t="shared" ref="G9:G14" si="5">IFERROR(D9*4+E9*9+F9*4,"")</f>
        <v/>
      </c>
      <c r="I9" s="457" t="s">
        <v>904</v>
      </c>
      <c r="J9" s="317"/>
      <c r="K9" s="318"/>
      <c r="L9" s="319" t="str">
        <f>IFERROR(VLOOKUP($J9,'Base dados dieta'!$A:$F,MATCH(L$8,$L$8:$N$8,0)+3,FALSE)/VLOOKUP($J9,'Base dados dieta'!$A:$F,2,FALSE)*$K9,"")</f>
        <v/>
      </c>
      <c r="M9" s="319" t="str">
        <f>IFERROR(VLOOKUP($J9,'Base dados dieta'!$A:$F,MATCH(M$8,$L$8:$N$8,0)+3,FALSE)/VLOOKUP($J9,'Base dados dieta'!$A:$F,2,FALSE)*$K9,"")</f>
        <v/>
      </c>
      <c r="N9" s="319" t="str">
        <f>IFERROR(VLOOKUP($J9,'Base dados dieta'!$A:$F,MATCH(N$8,$L$8:$N$8,0)+3,FALSE)/VLOOKUP($J9,'Base dados dieta'!$A:$F,2,FALSE)*$K9,"")</f>
        <v/>
      </c>
      <c r="O9" s="320" t="str">
        <f t="shared" ref="O9:O14" si="6">IFERROR(L9*4+M9*9+N9*4,"")</f>
        <v/>
      </c>
    </row>
    <row r="10" spans="1:16" ht="15.75" customHeight="1">
      <c r="A10" s="465"/>
      <c r="B10" s="321"/>
      <c r="C10" s="322"/>
      <c r="D10" s="323" t="str">
        <f>IFERROR(VLOOKUP($B10,'Base dados dieta'!$A:$F,MATCH(D$8,$D$8:$F$8,0)+3,FALSE)/VLOOKUP($B10,'Base dados dieta'!$A:$F,2,FALSE)*$C10,"")</f>
        <v/>
      </c>
      <c r="E10" s="323" t="str">
        <f>IFERROR(VLOOKUP($B10,'Base dados dieta'!$A:$F,MATCH(E$8,$D$8:$F$8,0)+3,FALSE)/VLOOKUP($B10,'Base dados dieta'!$A:$F,2,FALSE)*$C10,"")</f>
        <v/>
      </c>
      <c r="F10" s="323" t="str">
        <f>IFERROR(VLOOKUP($B10,'Base dados dieta'!$A:$F,MATCH(F$8,$D$8:$F$8,0)+3,FALSE)/VLOOKUP($B10,'Base dados dieta'!$A:$F,2,FALSE)*$C10,"")</f>
        <v/>
      </c>
      <c r="G10" s="323" t="str">
        <f t="shared" si="5"/>
        <v/>
      </c>
      <c r="I10" s="458"/>
      <c r="J10" s="321"/>
      <c r="K10" s="322"/>
      <c r="L10" s="324" t="str">
        <f>IFERROR(VLOOKUP($J10,'Base dados dieta'!$A:$F,MATCH(L$8,$L$8:$N$8,0)+3,FALSE)/VLOOKUP($J10,'Base dados dieta'!$A:$F,2,FALSE)*$K10,"")</f>
        <v/>
      </c>
      <c r="M10" s="324" t="str">
        <f>IFERROR(VLOOKUP($J10,'Base dados dieta'!$A:$F,MATCH(M$8,$L$8:$N$8,0)+3,FALSE)/VLOOKUP($J10,'Base dados dieta'!$A:$F,2,FALSE)*$K10,"")</f>
        <v/>
      </c>
      <c r="N10" s="324" t="str">
        <f>IFERROR(VLOOKUP($J10,'Base dados dieta'!$A:$F,MATCH(N$8,$L$8:$N$8,0)+3,FALSE)/VLOOKUP($J10,'Base dados dieta'!$A:$F,2,FALSE)*$K10,"")</f>
        <v/>
      </c>
      <c r="O10" s="325" t="str">
        <f t="shared" si="6"/>
        <v/>
      </c>
    </row>
    <row r="11" spans="1:16" ht="15.75" customHeight="1">
      <c r="A11" s="465"/>
      <c r="B11" s="321"/>
      <c r="C11" s="322"/>
      <c r="D11" s="323" t="str">
        <f>IFERROR(VLOOKUP($B11,'Base dados dieta'!$A:$F,MATCH(D$8,$D$8:$F$8,0)+3,FALSE)/VLOOKUP($B11,'Base dados dieta'!$A:$F,2,FALSE)*$C11,"")</f>
        <v/>
      </c>
      <c r="E11" s="323" t="str">
        <f>IFERROR(VLOOKUP($B11,'Base dados dieta'!$A:$F,MATCH(E$8,$D$8:$F$8,0)+3,FALSE)/VLOOKUP($B11,'Base dados dieta'!$A:$F,2,FALSE)*$C11,"")</f>
        <v/>
      </c>
      <c r="F11" s="323" t="str">
        <f>IFERROR(VLOOKUP($B11,'Base dados dieta'!$A:$F,MATCH(F$8,$D$8:$F$8,0)+3,FALSE)/VLOOKUP($B11,'Base dados dieta'!$A:$F,2,FALSE)*$C11,"")</f>
        <v/>
      </c>
      <c r="G11" s="323" t="str">
        <f t="shared" si="5"/>
        <v/>
      </c>
      <c r="I11" s="458"/>
      <c r="J11" s="321"/>
      <c r="K11" s="322"/>
      <c r="L11" s="324" t="str">
        <f>IFERROR(VLOOKUP($J11,'Base dados dieta'!$A:$F,MATCH(L$8,$L$8:$N$8,0)+3,FALSE)/VLOOKUP($J11,'Base dados dieta'!$A:$F,2,FALSE)*$K11,"")</f>
        <v/>
      </c>
      <c r="M11" s="324" t="str">
        <f>IFERROR(VLOOKUP($J11,'Base dados dieta'!$A:$F,MATCH(M$8,$L$8:$N$8,0)+3,FALSE)/VLOOKUP($J11,'Base dados dieta'!$A:$F,2,FALSE)*$K11,"")</f>
        <v/>
      </c>
      <c r="N11" s="324" t="str">
        <f>IFERROR(VLOOKUP($J11,'Base dados dieta'!$A:$F,MATCH(N$8,$L$8:$N$8,0)+3,FALSE)/VLOOKUP($J11,'Base dados dieta'!$A:$F,2,FALSE)*$K11,"")</f>
        <v/>
      </c>
      <c r="O11" s="325" t="str">
        <f t="shared" si="6"/>
        <v/>
      </c>
    </row>
    <row r="12" spans="1:16" ht="15.75" customHeight="1">
      <c r="A12" s="465"/>
      <c r="B12" s="321"/>
      <c r="C12" s="322"/>
      <c r="D12" s="323" t="str">
        <f>IFERROR(VLOOKUP($B12,'Base dados dieta'!$A:$F,MATCH(D$8,$D$8:$F$8,0)+3,FALSE)/VLOOKUP($B12,'Base dados dieta'!$A:$F,2,FALSE)*$C12,"")</f>
        <v/>
      </c>
      <c r="E12" s="323" t="str">
        <f>IFERROR(VLOOKUP($B12,'Base dados dieta'!$A:$F,MATCH(E$8,$D$8:$F$8,0)+3,FALSE)/VLOOKUP($B12,'Base dados dieta'!$A:$F,2,FALSE)*$C12,"")</f>
        <v/>
      </c>
      <c r="F12" s="323" t="str">
        <f>IFERROR(VLOOKUP($B12,'Base dados dieta'!$A:$F,MATCH(F$8,$D$8:$F$8,0)+3,FALSE)/VLOOKUP($B12,'Base dados dieta'!$A:$F,2,FALSE)*$C12,"")</f>
        <v/>
      </c>
      <c r="G12" s="323" t="str">
        <f t="shared" si="5"/>
        <v/>
      </c>
      <c r="I12" s="458"/>
      <c r="J12" s="321"/>
      <c r="K12" s="322"/>
      <c r="L12" s="324" t="str">
        <f>IFERROR(VLOOKUP($J12,'Base dados dieta'!$A:$F,MATCH(L$8,$L$8:$N$8,0)+3,FALSE)/VLOOKUP($J12,'Base dados dieta'!$A:$F,2,FALSE)*$K12,"")</f>
        <v/>
      </c>
      <c r="M12" s="324" t="str">
        <f>IFERROR(VLOOKUP($J12,'Base dados dieta'!$A:$F,MATCH(M$8,$L$8:$N$8,0)+3,FALSE)/VLOOKUP($J12,'Base dados dieta'!$A:$F,2,FALSE)*$K12,"")</f>
        <v/>
      </c>
      <c r="N12" s="324" t="str">
        <f>IFERROR(VLOOKUP($J12,'Base dados dieta'!$A:$F,MATCH(N$8,$L$8:$N$8,0)+3,FALSE)/VLOOKUP($J12,'Base dados dieta'!$A:$F,2,FALSE)*$K12,"")</f>
        <v/>
      </c>
      <c r="O12" s="325" t="str">
        <f t="shared" si="6"/>
        <v/>
      </c>
    </row>
    <row r="13" spans="1:16" ht="15.75" customHeight="1">
      <c r="A13" s="465"/>
      <c r="B13" s="321"/>
      <c r="C13" s="322"/>
      <c r="D13" s="323" t="str">
        <f>IFERROR(VLOOKUP($B13,'Base dados dieta'!$A:$F,MATCH(D$8,$D$8:$F$8,0)+3,FALSE)/VLOOKUP($B13,'Base dados dieta'!$A:$F,2,FALSE)*$C13,"")</f>
        <v/>
      </c>
      <c r="E13" s="323" t="str">
        <f>IFERROR(VLOOKUP($B13,'Base dados dieta'!$A:$F,MATCH(E$8,$D$8:$F$8,0)+3,FALSE)/VLOOKUP($B13,'Base dados dieta'!$A:$F,2,FALSE)*$C13,"")</f>
        <v/>
      </c>
      <c r="F13" s="323" t="str">
        <f>IFERROR(VLOOKUP($B13,'Base dados dieta'!$A:$F,MATCH(F$8,$D$8:$F$8,0)+3,FALSE)/VLOOKUP($B13,'Base dados dieta'!$A:$F,2,FALSE)*$C13,"")</f>
        <v/>
      </c>
      <c r="G13" s="323" t="str">
        <f t="shared" si="5"/>
        <v/>
      </c>
      <c r="I13" s="458"/>
      <c r="J13" s="321"/>
      <c r="K13" s="322"/>
      <c r="L13" s="324" t="str">
        <f>IFERROR(VLOOKUP($J13,'Base dados dieta'!$A:$F,MATCH(L$8,$L$8:$N$8,0)+3,FALSE)/VLOOKUP($J13,'Base dados dieta'!$A:$F,2,FALSE)*$K13,"")</f>
        <v/>
      </c>
      <c r="M13" s="324" t="str">
        <f>IFERROR(VLOOKUP($J13,'Base dados dieta'!$A:$F,MATCH(M$8,$L$8:$N$8,0)+3,FALSE)/VLOOKUP($J13,'Base dados dieta'!$A:$F,2,FALSE)*$K13,"")</f>
        <v/>
      </c>
      <c r="N13" s="324" t="str">
        <f>IFERROR(VLOOKUP($J13,'Base dados dieta'!$A:$F,MATCH(N$8,$L$8:$N$8,0)+3,FALSE)/VLOOKUP($J13,'Base dados dieta'!$A:$F,2,FALSE)*$K13,"")</f>
        <v/>
      </c>
      <c r="O13" s="325" t="str">
        <f t="shared" si="6"/>
        <v/>
      </c>
    </row>
    <row r="14" spans="1:16" ht="15.75" customHeight="1">
      <c r="A14" s="466"/>
      <c r="B14" s="326"/>
      <c r="C14" s="327"/>
      <c r="D14" s="328" t="str">
        <f>IFERROR(VLOOKUP($B14,'Base dados dieta'!$A:$F,MATCH(D$8,$D$8:$F$8,0)+3,FALSE)/VLOOKUP($B14,'Base dados dieta'!$A:$F,2,FALSE)*$C14,"")</f>
        <v/>
      </c>
      <c r="E14" s="328" t="str">
        <f>IFERROR(VLOOKUP($B14,'Base dados dieta'!$A:$F,MATCH(E$8,$D$8:$F$8,0)+3,FALSE)/VLOOKUP($B14,'Base dados dieta'!$A:$F,2,FALSE)*$C14,"")</f>
        <v/>
      </c>
      <c r="F14" s="328" t="str">
        <f>IFERROR(VLOOKUP($B14,'Base dados dieta'!$A:$F,MATCH(F$8,$D$8:$F$8,0)+3,FALSE)/VLOOKUP($B14,'Base dados dieta'!$A:$F,2,FALSE)*$C14,"")</f>
        <v/>
      </c>
      <c r="G14" s="328" t="str">
        <f t="shared" si="5"/>
        <v/>
      </c>
      <c r="I14" s="459"/>
      <c r="J14" s="329"/>
      <c r="K14" s="330"/>
      <c r="L14" s="331"/>
      <c r="M14" s="331"/>
      <c r="N14" s="331"/>
      <c r="O14" s="332">
        <f t="shared" si="6"/>
        <v>0</v>
      </c>
    </row>
    <row r="15" spans="1:16" ht="15.75" customHeight="1">
      <c r="A15" s="333"/>
      <c r="B15" s="334"/>
      <c r="C15" s="335" t="s">
        <v>133</v>
      </c>
      <c r="D15" s="336">
        <f t="shared" ref="D15:G15" si="7">SUM(D9:D14)</f>
        <v>0</v>
      </c>
      <c r="E15" s="336">
        <f t="shared" si="7"/>
        <v>0</v>
      </c>
      <c r="F15" s="336">
        <f t="shared" si="7"/>
        <v>0</v>
      </c>
      <c r="G15" s="336">
        <f t="shared" si="7"/>
        <v>0</v>
      </c>
      <c r="I15" s="333"/>
      <c r="J15" s="334"/>
      <c r="K15" s="337" t="s">
        <v>133</v>
      </c>
      <c r="L15" s="338">
        <f t="shared" ref="L15:O15" si="8">SUM(L9:L14)</f>
        <v>0</v>
      </c>
      <c r="M15" s="338">
        <f t="shared" si="8"/>
        <v>0</v>
      </c>
      <c r="N15" s="338">
        <f t="shared" si="8"/>
        <v>0</v>
      </c>
      <c r="O15" s="339">
        <f t="shared" si="8"/>
        <v>0</v>
      </c>
    </row>
    <row r="16" spans="1:16" ht="6" customHeight="1"/>
    <row r="17" spans="1:29" ht="15.75" customHeight="1">
      <c r="A17" s="464" t="s">
        <v>905</v>
      </c>
      <c r="B17" s="314"/>
      <c r="C17" s="315"/>
      <c r="D17" s="316" t="str">
        <f>IFERROR(VLOOKUP($B17,'Base dados dieta'!$A:$F,MATCH(D$8,$D$8:$F$8,0)+3,FALSE)/VLOOKUP($B17,'Base dados dieta'!$A:$F,2,FALSE)*$C17,"")</f>
        <v/>
      </c>
      <c r="E17" s="316" t="str">
        <f>IFERROR(VLOOKUP($B17,'Base dados dieta'!$A:$F,MATCH(E$8,$D$8:$F$8,0)+3,FALSE)/VLOOKUP($B17,'Base dados dieta'!$A:$F,2,FALSE)*$C17,"")</f>
        <v/>
      </c>
      <c r="F17" s="316" t="str">
        <f>IFERROR(VLOOKUP($B17,'Base dados dieta'!$A:$F,MATCH(F$8,$D$8:$F$8,0)+3,FALSE)/VLOOKUP($B17,'Base dados dieta'!$A:$F,2,FALSE)*$C17,"")</f>
        <v/>
      </c>
      <c r="G17" s="316" t="str">
        <f t="shared" ref="G17:G22" si="9">IFERROR(D17*4+E17*9+F17*4,"")</f>
        <v/>
      </c>
      <c r="I17" s="457" t="s">
        <v>905</v>
      </c>
      <c r="J17" s="317"/>
      <c r="K17" s="318"/>
      <c r="L17" s="319" t="str">
        <f>IFERROR(VLOOKUP($J17,'Base dados dieta'!$A:$F,MATCH(L$8,$L$8:$N$8,0)+3,FALSE)/VLOOKUP($J17,'Base dados dieta'!$A:$F,2,FALSE)*$K17,"")</f>
        <v/>
      </c>
      <c r="M17" s="319" t="str">
        <f>IFERROR(VLOOKUP($J17,'Base dados dieta'!$A:$F,MATCH(M$8,$L$8:$N$8,0)+3,FALSE)/VLOOKUP($J17,'Base dados dieta'!$A:$F,2,FALSE)*$K17,"")</f>
        <v/>
      </c>
      <c r="N17" s="319" t="str">
        <f>IFERROR(VLOOKUP($J17,'Base dados dieta'!$A:$F,MATCH(N$8,$L$8:$N$8,0)+3,FALSE)/VLOOKUP($J17,'Base dados dieta'!$A:$F,2,FALSE)*$K17,"")</f>
        <v/>
      </c>
      <c r="O17" s="320" t="str">
        <f t="shared" ref="O17:O22" si="10">IFERROR(L17*4+M17*9+N17*4,"")</f>
        <v/>
      </c>
    </row>
    <row r="18" spans="1:29" ht="15.75" customHeight="1">
      <c r="A18" s="465"/>
      <c r="B18" s="321"/>
      <c r="C18" s="322"/>
      <c r="D18" s="323" t="str">
        <f>IFERROR(VLOOKUP($B18,'Base dados dieta'!$A:$F,MATCH(D$8,$D$8:$F$8,0)+3,FALSE)/VLOOKUP($B18,'Base dados dieta'!$A:$F,2,FALSE)*$C18,"")</f>
        <v/>
      </c>
      <c r="E18" s="323" t="str">
        <f>IFERROR(VLOOKUP($B18,'Base dados dieta'!$A:$F,MATCH(E$8,$D$8:$F$8,0)+3,FALSE)/VLOOKUP($B18,'Base dados dieta'!$A:$F,2,FALSE)*$C18,"")</f>
        <v/>
      </c>
      <c r="F18" s="323" t="str">
        <f>IFERROR(VLOOKUP($B18,'Base dados dieta'!$A:$F,MATCH(F$8,$D$8:$F$8,0)+3,FALSE)/VLOOKUP($B18,'Base dados dieta'!$A:$F,2,FALSE)*$C18,"")</f>
        <v/>
      </c>
      <c r="G18" s="323" t="str">
        <f t="shared" si="9"/>
        <v/>
      </c>
      <c r="I18" s="458"/>
      <c r="J18" s="321"/>
      <c r="K18" s="322"/>
      <c r="L18" s="324" t="str">
        <f>IFERROR(VLOOKUP($J18,'Base dados dieta'!$A:$F,MATCH(L$8,$L$8:$N$8,0)+3,FALSE)/VLOOKUP($J18,'Base dados dieta'!$A:$F,2,FALSE)*$K18,"")</f>
        <v/>
      </c>
      <c r="M18" s="324" t="str">
        <f>IFERROR(VLOOKUP($J18,'Base dados dieta'!$A:$F,MATCH(M$8,$L$8:$N$8,0)+3,FALSE)/VLOOKUP($J18,'Base dados dieta'!$A:$F,2,FALSE)*$K18,"")</f>
        <v/>
      </c>
      <c r="N18" s="324" t="str">
        <f>IFERROR(VLOOKUP($J18,'Base dados dieta'!$A:$F,MATCH(N$8,$L$8:$N$8,0)+3,FALSE)/VLOOKUP($J18,'Base dados dieta'!$A:$F,2,FALSE)*$K18,"")</f>
        <v/>
      </c>
      <c r="O18" s="325" t="str">
        <f t="shared" si="10"/>
        <v/>
      </c>
    </row>
    <row r="19" spans="1:29" ht="15.75" customHeight="1">
      <c r="A19" s="465"/>
      <c r="B19" s="321"/>
      <c r="C19" s="322"/>
      <c r="D19" s="323" t="str">
        <f>IFERROR(VLOOKUP($B19,'Base dados dieta'!$A:$F,MATCH(D$8,$D$8:$F$8,0)+3,FALSE)/VLOOKUP($B19,'Base dados dieta'!$A:$F,2,FALSE)*$C19,"")</f>
        <v/>
      </c>
      <c r="E19" s="323" t="str">
        <f>IFERROR(VLOOKUP($B19,'Base dados dieta'!$A:$F,MATCH(E$8,$D$8:$F$8,0)+3,FALSE)/VLOOKUP($B19,'Base dados dieta'!$A:$F,2,FALSE)*$C19,"")</f>
        <v/>
      </c>
      <c r="F19" s="323" t="str">
        <f>IFERROR(VLOOKUP($B19,'Base dados dieta'!$A:$F,MATCH(F$8,$D$8:$F$8,0)+3,FALSE)/VLOOKUP($B19,'Base dados dieta'!$A:$F,2,FALSE)*$C19,"")</f>
        <v/>
      </c>
      <c r="G19" s="323" t="str">
        <f t="shared" si="9"/>
        <v/>
      </c>
      <c r="I19" s="458"/>
      <c r="J19" s="321"/>
      <c r="K19" s="322"/>
      <c r="L19" s="324" t="str">
        <f>IFERROR(VLOOKUP($J19,'Base dados dieta'!$A:$F,MATCH(L$8,$L$8:$N$8,0)+3,FALSE)/VLOOKUP($J19,'Base dados dieta'!$A:$F,2,FALSE)*$K19,"")</f>
        <v/>
      </c>
      <c r="M19" s="324" t="str">
        <f>IFERROR(VLOOKUP($J19,'Base dados dieta'!$A:$F,MATCH(M$8,$L$8:$N$8,0)+3,FALSE)/VLOOKUP($J19,'Base dados dieta'!$A:$F,2,FALSE)*$K19,"")</f>
        <v/>
      </c>
      <c r="N19" s="324" t="str">
        <f>IFERROR(VLOOKUP($J19,'Base dados dieta'!$A:$F,MATCH(N$8,$L$8:$N$8,0)+3,FALSE)/VLOOKUP($J19,'Base dados dieta'!$A:$F,2,FALSE)*$K19,"")</f>
        <v/>
      </c>
      <c r="O19" s="325" t="str">
        <f t="shared" si="10"/>
        <v/>
      </c>
    </row>
    <row r="20" spans="1:29" ht="15.75" customHeight="1">
      <c r="A20" s="465"/>
      <c r="B20" s="321"/>
      <c r="C20" s="322"/>
      <c r="D20" s="323" t="str">
        <f>IFERROR(VLOOKUP($B20,'Base dados dieta'!$A:$F,MATCH(D$8,$D$8:$F$8,0)+3,FALSE)/VLOOKUP($B20,'Base dados dieta'!$A:$F,2,FALSE)*$C20,"")</f>
        <v/>
      </c>
      <c r="E20" s="323" t="str">
        <f>IFERROR(VLOOKUP($B20,'Base dados dieta'!$A:$F,MATCH(E$8,$D$8:$F$8,0)+3,FALSE)/VLOOKUP($B20,'Base dados dieta'!$A:$F,2,FALSE)*$C20,"")</f>
        <v/>
      </c>
      <c r="F20" s="323" t="str">
        <f>IFERROR(VLOOKUP($B20,'Base dados dieta'!$A:$F,MATCH(F$8,$D$8:$F$8,0)+3,FALSE)/VLOOKUP($B20,'Base dados dieta'!$A:$F,2,FALSE)*$C20,"")</f>
        <v/>
      </c>
      <c r="G20" s="323" t="str">
        <f t="shared" si="9"/>
        <v/>
      </c>
      <c r="I20" s="458"/>
      <c r="J20" s="321"/>
      <c r="K20" s="322"/>
      <c r="L20" s="324" t="str">
        <f>IFERROR(VLOOKUP($J20,'Base dados dieta'!$A:$F,MATCH(L$8,$L$8:$N$8,0)+3,FALSE)/VLOOKUP($J20,'Base dados dieta'!$A:$F,2,FALSE)*$K20,"")</f>
        <v/>
      </c>
      <c r="M20" s="324" t="str">
        <f>IFERROR(VLOOKUP($J20,'Base dados dieta'!$A:$F,MATCH(M$8,$L$8:$N$8,0)+3,FALSE)/VLOOKUP($J20,'Base dados dieta'!$A:$F,2,FALSE)*$K20,"")</f>
        <v/>
      </c>
      <c r="N20" s="324" t="str">
        <f>IFERROR(VLOOKUP($J20,'Base dados dieta'!$A:$F,MATCH(N$8,$L$8:$N$8,0)+3,FALSE)/VLOOKUP($J20,'Base dados dieta'!$A:$F,2,FALSE)*$K20,"")</f>
        <v/>
      </c>
      <c r="O20" s="325" t="str">
        <f t="shared" si="10"/>
        <v/>
      </c>
    </row>
    <row r="21" spans="1:29" ht="15.75" customHeight="1">
      <c r="A21" s="465"/>
      <c r="B21" s="321"/>
      <c r="C21" s="322"/>
      <c r="D21" s="323" t="str">
        <f>IFERROR(VLOOKUP($B21,'Base dados dieta'!$A:$F,MATCH(D$8,$D$8:$F$8,0)+3,FALSE)/VLOOKUP($B21,'Base dados dieta'!$A:$F,2,FALSE)*$C21,"")</f>
        <v/>
      </c>
      <c r="E21" s="323" t="str">
        <f>IFERROR(VLOOKUP($B21,'Base dados dieta'!$A:$F,MATCH(E$8,$D$8:$F$8,0)+3,FALSE)/VLOOKUP($B21,'Base dados dieta'!$A:$F,2,FALSE)*$C21,"")</f>
        <v/>
      </c>
      <c r="F21" s="323" t="str">
        <f>IFERROR(VLOOKUP($B21,'Base dados dieta'!$A:$F,MATCH(F$8,$D$8:$F$8,0)+3,FALSE)/VLOOKUP($B21,'Base dados dieta'!$A:$F,2,FALSE)*$C21,"")</f>
        <v/>
      </c>
      <c r="G21" s="323" t="str">
        <f t="shared" si="9"/>
        <v/>
      </c>
      <c r="I21" s="458"/>
      <c r="J21" s="321"/>
      <c r="K21" s="322"/>
      <c r="L21" s="324" t="str">
        <f>IFERROR(VLOOKUP($J21,'Base dados dieta'!$A:$F,MATCH(L$8,$L$8:$N$8,0)+3,FALSE)/VLOOKUP($J21,'Base dados dieta'!$A:$F,2,FALSE)*$K21,"")</f>
        <v/>
      </c>
      <c r="M21" s="324" t="str">
        <f>IFERROR(VLOOKUP($J21,'Base dados dieta'!$A:$F,MATCH(M$8,$L$8:$N$8,0)+3,FALSE)/VLOOKUP($J21,'Base dados dieta'!$A:$F,2,FALSE)*$K21,"")</f>
        <v/>
      </c>
      <c r="N21" s="324" t="str">
        <f>IFERROR(VLOOKUP($J21,'Base dados dieta'!$A:$F,MATCH(N$8,$L$8:$N$8,0)+3,FALSE)/VLOOKUP($J21,'Base dados dieta'!$A:$F,2,FALSE)*$K21,"")</f>
        <v/>
      </c>
      <c r="O21" s="325" t="str">
        <f t="shared" si="10"/>
        <v/>
      </c>
    </row>
    <row r="22" spans="1:29" ht="15.75" customHeight="1">
      <c r="A22" s="466"/>
      <c r="B22" s="326"/>
      <c r="C22" s="327"/>
      <c r="D22" s="328" t="str">
        <f>IFERROR(VLOOKUP($B22,'Base dados dieta'!$A:$F,MATCH(D$8,$D$8:$F$8,0)+3,FALSE)/VLOOKUP($B22,'Base dados dieta'!$A:$F,2,FALSE)*$C22,"")</f>
        <v/>
      </c>
      <c r="E22" s="328" t="str">
        <f>IFERROR(VLOOKUP($B22,'Base dados dieta'!$A:$F,MATCH(E$8,$D$8:$F$8,0)+3,FALSE)/VLOOKUP($B22,'Base dados dieta'!$A:$F,2,FALSE)*$C22,"")</f>
        <v/>
      </c>
      <c r="F22" s="328" t="str">
        <f>IFERROR(VLOOKUP($B22,'Base dados dieta'!$A:$F,MATCH(F$8,$D$8:$F$8,0)+3,FALSE)/VLOOKUP($B22,'Base dados dieta'!$A:$F,2,FALSE)*$C22,"")</f>
        <v/>
      </c>
      <c r="G22" s="328" t="str">
        <f t="shared" si="9"/>
        <v/>
      </c>
      <c r="I22" s="459"/>
      <c r="J22" s="329"/>
      <c r="K22" s="330"/>
      <c r="L22" s="331"/>
      <c r="M22" s="331"/>
      <c r="N22" s="331"/>
      <c r="O22" s="332">
        <f t="shared" si="10"/>
        <v>0</v>
      </c>
    </row>
    <row r="23" spans="1:29" ht="15.75" customHeight="1">
      <c r="B23" s="340"/>
      <c r="C23" s="335" t="s">
        <v>133</v>
      </c>
      <c r="D23" s="336">
        <f t="shared" ref="D23:G23" si="11">SUM(D17:D22)</f>
        <v>0</v>
      </c>
      <c r="E23" s="336">
        <f t="shared" si="11"/>
        <v>0</v>
      </c>
      <c r="F23" s="336">
        <f t="shared" si="11"/>
        <v>0</v>
      </c>
      <c r="G23" s="336">
        <f t="shared" si="11"/>
        <v>0</v>
      </c>
      <c r="I23" s="333"/>
      <c r="J23" s="334"/>
      <c r="K23" s="337" t="s">
        <v>133</v>
      </c>
      <c r="L23" s="338">
        <f t="shared" ref="L23:O23" si="12">SUM(L17:L22)</f>
        <v>0</v>
      </c>
      <c r="M23" s="338">
        <f t="shared" si="12"/>
        <v>0</v>
      </c>
      <c r="N23" s="338">
        <f t="shared" si="12"/>
        <v>0</v>
      </c>
      <c r="O23" s="339">
        <f t="shared" si="12"/>
        <v>0</v>
      </c>
    </row>
    <row r="24" spans="1:29" ht="5.25" customHeight="1"/>
    <row r="25" spans="1:29" ht="15.75" customHeight="1">
      <c r="A25" s="464" t="s">
        <v>906</v>
      </c>
      <c r="B25" s="314"/>
      <c r="C25" s="315"/>
      <c r="D25" s="316" t="str">
        <f>IFERROR(VLOOKUP($B25,'Base dados dieta'!$A:$F,MATCH(D$8,$D$8:$F$8,0)+3,FALSE)/VLOOKUP($B25,'Base dados dieta'!$A:$F,2,FALSE)*$C25,"")</f>
        <v/>
      </c>
      <c r="E25" s="316" t="str">
        <f>IFERROR(VLOOKUP($B25,'Base dados dieta'!$A:$F,MATCH(E$8,$D$8:$F$8,0)+3,FALSE)/VLOOKUP($B25,'Base dados dieta'!$A:$F,2,FALSE)*$C25,"")</f>
        <v/>
      </c>
      <c r="F25" s="316" t="str">
        <f>IFERROR(VLOOKUP($B25,'Base dados dieta'!$A:$F,MATCH(F$8,$D$8:$F$8,0)+3,FALSE)/VLOOKUP($B25,'Base dados dieta'!$A:$F,2,FALSE)*$C25,"")</f>
        <v/>
      </c>
      <c r="G25" s="316" t="str">
        <f t="shared" ref="G25:G30" si="13">IFERROR(D25*4+E25*9+F25*4,"")</f>
        <v/>
      </c>
      <c r="I25" s="457" t="s">
        <v>906</v>
      </c>
      <c r="J25" s="317"/>
      <c r="K25" s="318"/>
      <c r="L25" s="319" t="str">
        <f>IFERROR(VLOOKUP($J25,'Base dados dieta'!$A:$F,MATCH(L$8,$L$8:$N$8,0)+3,FALSE)/VLOOKUP($J25,'Base dados dieta'!$A:$F,2,FALSE)*$K25,"")</f>
        <v/>
      </c>
      <c r="M25" s="319" t="str">
        <f>IFERROR(VLOOKUP($J25,'Base dados dieta'!$A:$F,MATCH(M$8,$L$8:$N$8,0)+3,FALSE)/VLOOKUP($J25,'Base dados dieta'!$A:$F,2,FALSE)*$K25,"")</f>
        <v/>
      </c>
      <c r="N25" s="319" t="str">
        <f>IFERROR(VLOOKUP($J25,'Base dados dieta'!$A:$F,MATCH(N$8,$L$8:$N$8,0)+3,FALSE)/VLOOKUP($J25,'Base dados dieta'!$A:$F,2,FALSE)*$K25,"")</f>
        <v/>
      </c>
      <c r="O25" s="320" t="str">
        <f t="shared" ref="O25:O30" si="14">IFERROR(L25*4+M25*9+N25*4,"")</f>
        <v/>
      </c>
    </row>
    <row r="26" spans="1:29" ht="15.75" customHeight="1">
      <c r="A26" s="465"/>
      <c r="B26" s="321"/>
      <c r="C26" s="322"/>
      <c r="D26" s="323" t="str">
        <f>IFERROR(VLOOKUP($B26,'Base dados dieta'!$A:$F,MATCH(D$8,$D$8:$F$8,0)+3,FALSE)/VLOOKUP($B26,'Base dados dieta'!$A:$F,2,FALSE)*$C26,"")</f>
        <v/>
      </c>
      <c r="E26" s="323" t="str">
        <f>IFERROR(VLOOKUP($B26,'Base dados dieta'!$A:$F,MATCH(E$8,$D$8:$F$8,0)+3,FALSE)/VLOOKUP($B26,'Base dados dieta'!$A:$F,2,FALSE)*$C26,"")</f>
        <v/>
      </c>
      <c r="F26" s="323" t="str">
        <f>IFERROR(VLOOKUP($B26,'Base dados dieta'!$A:$F,MATCH(F$8,$D$8:$F$8,0)+3,FALSE)/VLOOKUP($B26,'Base dados dieta'!$A:$F,2,FALSE)*$C26,"")</f>
        <v/>
      </c>
      <c r="G26" s="323" t="str">
        <f t="shared" si="13"/>
        <v/>
      </c>
      <c r="I26" s="458"/>
      <c r="J26" s="321"/>
      <c r="K26" s="322"/>
      <c r="L26" s="324" t="str">
        <f>IFERROR(VLOOKUP($J26,'Base dados dieta'!$A:$F,MATCH(L$8,$L$8:$N$8,0)+3,FALSE)/VLOOKUP($J26,'Base dados dieta'!$A:$F,2,FALSE)*$K26,"")</f>
        <v/>
      </c>
      <c r="M26" s="324" t="str">
        <f>IFERROR(VLOOKUP($J26,'Base dados dieta'!$A:$F,MATCH(M$8,$L$8:$N$8,0)+3,FALSE)/VLOOKUP($J26,'Base dados dieta'!$A:$F,2,FALSE)*$K26,"")</f>
        <v/>
      </c>
      <c r="N26" s="324" t="str">
        <f>IFERROR(VLOOKUP($J26,'Base dados dieta'!$A:$F,MATCH(N$8,$L$8:$N$8,0)+3,FALSE)/VLOOKUP($J26,'Base dados dieta'!$A:$F,2,FALSE)*$K26,"")</f>
        <v/>
      </c>
      <c r="O26" s="325" t="str">
        <f t="shared" si="14"/>
        <v/>
      </c>
    </row>
    <row r="27" spans="1:29" ht="15.75" customHeight="1">
      <c r="A27" s="465"/>
      <c r="B27" s="321"/>
      <c r="C27" s="322"/>
      <c r="D27" s="323" t="str">
        <f>IFERROR(VLOOKUP($B27,'Base dados dieta'!$A:$F,MATCH(D$8,$D$8:$F$8,0)+3,FALSE)/VLOOKUP($B27,'Base dados dieta'!$A:$F,2,FALSE)*$C27,"")</f>
        <v/>
      </c>
      <c r="E27" s="323" t="str">
        <f>IFERROR(VLOOKUP($B27,'Base dados dieta'!$A:$F,MATCH(E$8,$D$8:$F$8,0)+3,FALSE)/VLOOKUP($B27,'Base dados dieta'!$A:$F,2,FALSE)*$C27,"")</f>
        <v/>
      </c>
      <c r="F27" s="323" t="str">
        <f>IFERROR(VLOOKUP($B27,'Base dados dieta'!$A:$F,MATCH(F$8,$D$8:$F$8,0)+3,FALSE)/VLOOKUP($B27,'Base dados dieta'!$A:$F,2,FALSE)*$C27,"")</f>
        <v/>
      </c>
      <c r="G27" s="323" t="str">
        <f t="shared" si="13"/>
        <v/>
      </c>
      <c r="I27" s="458"/>
      <c r="J27" s="321"/>
      <c r="K27" s="322"/>
      <c r="L27" s="324" t="str">
        <f>IFERROR(VLOOKUP($J27,'Base dados dieta'!$A:$F,MATCH(L$8,$L$8:$N$8,0)+3,FALSE)/VLOOKUP($J27,'Base dados dieta'!$A:$F,2,FALSE)*$K27,"")</f>
        <v/>
      </c>
      <c r="M27" s="324" t="str">
        <f>IFERROR(VLOOKUP($J27,'Base dados dieta'!$A:$F,MATCH(M$8,$L$8:$N$8,0)+3,FALSE)/VLOOKUP($J27,'Base dados dieta'!$A:$F,2,FALSE)*$K27,"")</f>
        <v/>
      </c>
      <c r="N27" s="324" t="str">
        <f>IFERROR(VLOOKUP($J27,'Base dados dieta'!$A:$F,MATCH(N$8,$L$8:$N$8,0)+3,FALSE)/VLOOKUP($J27,'Base dados dieta'!$A:$F,2,FALSE)*$K27,"")</f>
        <v/>
      </c>
      <c r="O27" s="325" t="str">
        <f t="shared" si="14"/>
        <v/>
      </c>
    </row>
    <row r="28" spans="1:29" ht="15.75" customHeight="1">
      <c r="A28" s="465"/>
      <c r="B28" s="321"/>
      <c r="C28" s="322"/>
      <c r="D28" s="323" t="str">
        <f>IFERROR(VLOOKUP($B28,'Base dados dieta'!$A:$F,MATCH(D$8,$D$8:$F$8,0)+3,FALSE)/VLOOKUP($B28,'Base dados dieta'!$A:$F,2,FALSE)*$C28,"")</f>
        <v/>
      </c>
      <c r="E28" s="323" t="str">
        <f>IFERROR(VLOOKUP($B28,'Base dados dieta'!$A:$F,MATCH(E$8,$D$8:$F$8,0)+3,FALSE)/VLOOKUP($B28,'Base dados dieta'!$A:$F,2,FALSE)*$C28,"")</f>
        <v/>
      </c>
      <c r="F28" s="323" t="str">
        <f>IFERROR(VLOOKUP($B28,'Base dados dieta'!$A:$F,MATCH(F$8,$D$8:$F$8,0)+3,FALSE)/VLOOKUP($B28,'Base dados dieta'!$A:$F,2,FALSE)*$C28,"")</f>
        <v/>
      </c>
      <c r="G28" s="323" t="str">
        <f t="shared" si="13"/>
        <v/>
      </c>
      <c r="I28" s="458"/>
      <c r="J28" s="321"/>
      <c r="K28" s="322"/>
      <c r="L28" s="324" t="str">
        <f>IFERROR(VLOOKUP($J28,'Base dados dieta'!$A:$F,MATCH(L$8,$L$8:$N$8,0)+3,FALSE)/VLOOKUP($J28,'Base dados dieta'!$A:$F,2,FALSE)*$K28,"")</f>
        <v/>
      </c>
      <c r="M28" s="324" t="str">
        <f>IFERROR(VLOOKUP($J28,'Base dados dieta'!$A:$F,MATCH(M$8,$L$8:$N$8,0)+3,FALSE)/VLOOKUP($J28,'Base dados dieta'!$A:$F,2,FALSE)*$K28,"")</f>
        <v/>
      </c>
      <c r="N28" s="324" t="str">
        <f>IFERROR(VLOOKUP($J28,'Base dados dieta'!$A:$F,MATCH(N$8,$L$8:$N$8,0)+3,FALSE)/VLOOKUP($J28,'Base dados dieta'!$A:$F,2,FALSE)*$K28,"")</f>
        <v/>
      </c>
      <c r="O28" s="325" t="str">
        <f t="shared" si="14"/>
        <v/>
      </c>
    </row>
    <row r="29" spans="1:29" ht="15.75" customHeight="1">
      <c r="A29" s="465"/>
      <c r="B29" s="321"/>
      <c r="C29" s="322"/>
      <c r="D29" s="323" t="str">
        <f>IFERROR(VLOOKUP($B29,'Base dados dieta'!$A:$F,MATCH(D$8,$D$8:$F$8,0)+3,FALSE)/VLOOKUP($B29,'Base dados dieta'!$A:$F,2,FALSE)*$C29,"")</f>
        <v/>
      </c>
      <c r="E29" s="323" t="str">
        <f>IFERROR(VLOOKUP($B29,'Base dados dieta'!$A:$F,MATCH(E$8,$D$8:$F$8,0)+3,FALSE)/VLOOKUP($B29,'Base dados dieta'!$A:$F,2,FALSE)*$C29,"")</f>
        <v/>
      </c>
      <c r="F29" s="323" t="str">
        <f>IFERROR(VLOOKUP($B29,'Base dados dieta'!$A:$F,MATCH(F$8,$D$8:$F$8,0)+3,FALSE)/VLOOKUP($B29,'Base dados dieta'!$A:$F,2,FALSE)*$C29,"")</f>
        <v/>
      </c>
      <c r="G29" s="323" t="str">
        <f t="shared" si="13"/>
        <v/>
      </c>
      <c r="I29" s="458"/>
      <c r="J29" s="321"/>
      <c r="K29" s="322"/>
      <c r="L29" s="324" t="str">
        <f>IFERROR(VLOOKUP($J29,'Base dados dieta'!$A:$F,MATCH(L$8,$L$8:$N$8,0)+3,FALSE)/VLOOKUP($J29,'Base dados dieta'!$A:$F,2,FALSE)*$K29,"")</f>
        <v/>
      </c>
      <c r="M29" s="324" t="str">
        <f>IFERROR(VLOOKUP($J29,'Base dados dieta'!$A:$F,MATCH(M$8,$L$8:$N$8,0)+3,FALSE)/VLOOKUP($J29,'Base dados dieta'!$A:$F,2,FALSE)*$K29,"")</f>
        <v/>
      </c>
      <c r="N29" s="324" t="str">
        <f>IFERROR(VLOOKUP($J29,'Base dados dieta'!$A:$F,MATCH(N$8,$L$8:$N$8,0)+3,FALSE)/VLOOKUP($J29,'Base dados dieta'!$A:$F,2,FALSE)*$K29,"")</f>
        <v/>
      </c>
      <c r="O29" s="325" t="str">
        <f t="shared" si="14"/>
        <v/>
      </c>
    </row>
    <row r="30" spans="1:29" ht="15.75" customHeight="1">
      <c r="A30" s="466"/>
      <c r="B30" s="326"/>
      <c r="C30" s="322"/>
      <c r="D30" s="323" t="str">
        <f>IFERROR(VLOOKUP($B30,'Base dados dieta'!$A:$F,MATCH(D$8,$D$8:$F$8,0)+3,FALSE)/VLOOKUP($B30,'Base dados dieta'!$A:$F,2,FALSE)*$C30,"")</f>
        <v/>
      </c>
      <c r="E30" s="323" t="str">
        <f>IFERROR(VLOOKUP($B30,'Base dados dieta'!$A:$F,MATCH(E$8,$D$8:$F$8,0)+3,FALSE)/VLOOKUP($B30,'Base dados dieta'!$A:$F,2,FALSE)*$C30,"")</f>
        <v/>
      </c>
      <c r="F30" s="323" t="str">
        <f>IFERROR(VLOOKUP($B30,'Base dados dieta'!$A:$F,MATCH(F$8,$D$8:$F$8,0)+3,FALSE)/VLOOKUP($B30,'Base dados dieta'!$A:$F,2,FALSE)*$C30,"")</f>
        <v/>
      </c>
      <c r="G30" s="323" t="str">
        <f t="shared" si="13"/>
        <v/>
      </c>
      <c r="I30" s="459"/>
      <c r="J30" s="329"/>
      <c r="K30" s="330"/>
      <c r="L30" s="331"/>
      <c r="M30" s="331"/>
      <c r="N30" s="331"/>
      <c r="O30" s="332">
        <f t="shared" si="14"/>
        <v>0</v>
      </c>
      <c r="Q30" s="341"/>
      <c r="R30" s="341"/>
      <c r="S30" s="341"/>
      <c r="W30" s="341"/>
      <c r="X30" s="341"/>
      <c r="Y30" s="341"/>
      <c r="Z30" s="341"/>
      <c r="AA30" s="341"/>
      <c r="AB30" s="341"/>
      <c r="AC30" s="341"/>
    </row>
    <row r="31" spans="1:29" ht="15.75" customHeight="1">
      <c r="B31" s="340"/>
      <c r="C31" s="335" t="s">
        <v>133</v>
      </c>
      <c r="D31" s="336">
        <f t="shared" ref="D31:G31" si="15">SUM(D25:D30)</f>
        <v>0</v>
      </c>
      <c r="E31" s="336">
        <f t="shared" si="15"/>
        <v>0</v>
      </c>
      <c r="F31" s="336">
        <f t="shared" si="15"/>
        <v>0</v>
      </c>
      <c r="G31" s="336">
        <f t="shared" si="15"/>
        <v>0</v>
      </c>
      <c r="I31" s="333"/>
      <c r="J31" s="334"/>
      <c r="K31" s="337" t="s">
        <v>133</v>
      </c>
      <c r="L31" s="338">
        <f t="shared" ref="L31:O31" si="16">SUM(L25:L30)</f>
        <v>0</v>
      </c>
      <c r="M31" s="338">
        <f t="shared" si="16"/>
        <v>0</v>
      </c>
      <c r="N31" s="338">
        <f t="shared" si="16"/>
        <v>0</v>
      </c>
      <c r="O31" s="339">
        <f t="shared" si="16"/>
        <v>0</v>
      </c>
      <c r="Q31" s="341"/>
      <c r="R31" s="341"/>
      <c r="S31" s="341"/>
      <c r="W31" s="341"/>
      <c r="X31" s="341"/>
      <c r="Y31" s="341"/>
      <c r="Z31" s="341"/>
      <c r="AA31" s="341"/>
      <c r="AB31" s="341"/>
      <c r="AC31" s="341"/>
    </row>
    <row r="32" spans="1:29" ht="4.5" customHeight="1">
      <c r="Q32" s="341"/>
      <c r="R32" s="341"/>
      <c r="S32" s="341"/>
      <c r="W32" s="341"/>
      <c r="X32" s="341"/>
      <c r="Y32" s="341"/>
      <c r="Z32" s="341"/>
      <c r="AA32" s="341"/>
      <c r="AB32" s="341"/>
      <c r="AC32" s="341"/>
    </row>
    <row r="33" spans="1:29" ht="15.75" customHeight="1">
      <c r="A33" s="464" t="s">
        <v>907</v>
      </c>
      <c r="B33" s="314"/>
      <c r="C33" s="315"/>
      <c r="D33" s="316" t="str">
        <f>IFERROR(VLOOKUP($B33,'Base dados dieta'!$A:$F,MATCH(D$8,$D$8:$F$8,0)+3,FALSE)/VLOOKUP($B33,'Base dados dieta'!$A:$F,2,FALSE)*$C33,"")</f>
        <v/>
      </c>
      <c r="E33" s="316" t="str">
        <f>IFERROR(VLOOKUP($B33,'Base dados dieta'!$A:$F,MATCH(E$8,$D$8:$F$8,0)+3,FALSE)/VLOOKUP($B33,'Base dados dieta'!$A:$F,2,FALSE)*$C33,"")</f>
        <v/>
      </c>
      <c r="F33" s="316" t="str">
        <f>IFERROR(VLOOKUP($B33,'Base dados dieta'!$A:$F,MATCH(F$8,$D$8:$F$8,0)+3,FALSE)/VLOOKUP($B33,'Base dados dieta'!$A:$F,2,FALSE)*$C33,"")</f>
        <v/>
      </c>
      <c r="G33" s="316" t="str">
        <f t="shared" ref="G33:G38" si="17">IFERROR(D33*4+E33*9+F33*4,"")</f>
        <v/>
      </c>
      <c r="I33" s="457" t="s">
        <v>907</v>
      </c>
      <c r="J33" s="317"/>
      <c r="K33" s="318"/>
      <c r="L33" s="319" t="str">
        <f>IFERROR(VLOOKUP($J33,'Base dados dieta'!$A:$F,MATCH(L$8,$L$8:$N$8,0)+3,FALSE)/VLOOKUP($J33,'Base dados dieta'!$A:$F,2,FALSE)*$K33,"")</f>
        <v/>
      </c>
      <c r="M33" s="319" t="str">
        <f>IFERROR(VLOOKUP($J33,'Base dados dieta'!$A:$F,MATCH(M$8,$L$8:$N$8,0)+3,FALSE)/VLOOKUP($J33,'Base dados dieta'!$A:$F,2,FALSE)*$K33,"")</f>
        <v/>
      </c>
      <c r="N33" s="319" t="str">
        <f>IFERROR(VLOOKUP($J33,'Base dados dieta'!$A:$F,MATCH(N$8,$L$8:$N$8,0)+3,FALSE)/VLOOKUP($J33,'Base dados dieta'!$A:$F,2,FALSE)*$K33,"")</f>
        <v/>
      </c>
      <c r="O33" s="320" t="str">
        <f t="shared" ref="O33:O38" si="18">IFERROR(L33*4+M33*9+N33*4,"")</f>
        <v/>
      </c>
      <c r="W33" s="341"/>
      <c r="X33" s="341"/>
      <c r="Y33" s="341"/>
      <c r="Z33" s="341"/>
      <c r="AA33" s="341"/>
      <c r="AB33" s="341"/>
      <c r="AC33" s="341"/>
    </row>
    <row r="34" spans="1:29" ht="15.75" customHeight="1">
      <c r="A34" s="465"/>
      <c r="B34" s="321"/>
      <c r="C34" s="322"/>
      <c r="D34" s="323" t="str">
        <f>IFERROR(VLOOKUP($B34,'Base dados dieta'!$A:$F,MATCH(D$8,$D$8:$F$8,0)+3,FALSE)/VLOOKUP($B34,'Base dados dieta'!$A:$F,2,FALSE)*$C34,"")</f>
        <v/>
      </c>
      <c r="E34" s="323" t="str">
        <f>IFERROR(VLOOKUP($B34,'Base dados dieta'!$A:$F,MATCH(E$8,$D$8:$F$8,0)+3,FALSE)/VLOOKUP($B34,'Base dados dieta'!$A:$F,2,FALSE)*$C34,"")</f>
        <v/>
      </c>
      <c r="F34" s="323" t="str">
        <f>IFERROR(VLOOKUP($B34,'Base dados dieta'!$A:$F,MATCH(F$8,$D$8:$F$8,0)+3,FALSE)/VLOOKUP($B34,'Base dados dieta'!$A:$F,2,FALSE)*$C34,"")</f>
        <v/>
      </c>
      <c r="G34" s="323" t="str">
        <f t="shared" si="17"/>
        <v/>
      </c>
      <c r="I34" s="458"/>
      <c r="J34" s="321"/>
      <c r="K34" s="322"/>
      <c r="L34" s="324" t="str">
        <f>IFERROR(VLOOKUP($J34,'Base dados dieta'!$A:$F,MATCH(L$8,$L$8:$N$8,0)+3,FALSE)/VLOOKUP($J34,'Base dados dieta'!$A:$F,2,FALSE)*$K34,"")</f>
        <v/>
      </c>
      <c r="M34" s="324" t="str">
        <f>IFERROR(VLOOKUP($J34,'Base dados dieta'!$A:$F,MATCH(M$8,$L$8:$N$8,0)+3,FALSE)/VLOOKUP($J34,'Base dados dieta'!$A:$F,2,FALSE)*$K34,"")</f>
        <v/>
      </c>
      <c r="N34" s="324" t="str">
        <f>IFERROR(VLOOKUP($J34,'Base dados dieta'!$A:$F,MATCH(N$8,$L$8:$N$8,0)+3,FALSE)/VLOOKUP($J34,'Base dados dieta'!$A:$F,2,FALSE)*$K34,"")</f>
        <v/>
      </c>
      <c r="O34" s="325" t="str">
        <f t="shared" si="18"/>
        <v/>
      </c>
    </row>
    <row r="35" spans="1:29" ht="15.75" customHeight="1">
      <c r="A35" s="465"/>
      <c r="B35" s="321"/>
      <c r="C35" s="322"/>
      <c r="D35" s="323" t="str">
        <f>IFERROR(VLOOKUP($B35,'Base dados dieta'!$A:$F,MATCH(D$8,$D$8:$F$8,0)+3,FALSE)/VLOOKUP($B35,'Base dados dieta'!$A:$F,2,FALSE)*$C35,"")</f>
        <v/>
      </c>
      <c r="E35" s="323" t="str">
        <f>IFERROR(VLOOKUP($B35,'Base dados dieta'!$A:$F,MATCH(E$8,$D$8:$F$8,0)+3,FALSE)/VLOOKUP($B35,'Base dados dieta'!$A:$F,2,FALSE)*$C35,"")</f>
        <v/>
      </c>
      <c r="F35" s="323" t="str">
        <f>IFERROR(VLOOKUP($B35,'Base dados dieta'!$A:$F,MATCH(F$8,$D$8:$F$8,0)+3,FALSE)/VLOOKUP($B35,'Base dados dieta'!$A:$F,2,FALSE)*$C35,"")</f>
        <v/>
      </c>
      <c r="G35" s="323" t="str">
        <f t="shared" si="17"/>
        <v/>
      </c>
      <c r="I35" s="458"/>
      <c r="J35" s="321"/>
      <c r="K35" s="322"/>
      <c r="L35" s="324" t="str">
        <f>IFERROR(VLOOKUP($J35,'Base dados dieta'!$A:$F,MATCH(L$8,$L$8:$N$8,0)+3,FALSE)/VLOOKUP($J35,'Base dados dieta'!$A:$F,2,FALSE)*$K35,"")</f>
        <v/>
      </c>
      <c r="M35" s="324" t="str">
        <f>IFERROR(VLOOKUP($J35,'Base dados dieta'!$A:$F,MATCH(M$8,$L$8:$N$8,0)+3,FALSE)/VLOOKUP($J35,'Base dados dieta'!$A:$F,2,FALSE)*$K35,"")</f>
        <v/>
      </c>
      <c r="N35" s="324" t="str">
        <f>IFERROR(VLOOKUP($J35,'Base dados dieta'!$A:$F,MATCH(N$8,$L$8:$N$8,0)+3,FALSE)/VLOOKUP($J35,'Base dados dieta'!$A:$F,2,FALSE)*$K35,"")</f>
        <v/>
      </c>
      <c r="O35" s="325" t="str">
        <f t="shared" si="18"/>
        <v/>
      </c>
      <c r="W35" s="137"/>
      <c r="X35" s="137"/>
      <c r="Y35" s="137"/>
      <c r="Z35" s="137"/>
      <c r="AA35" s="137"/>
      <c r="AB35" s="137"/>
      <c r="AC35" s="137"/>
    </row>
    <row r="36" spans="1:29" ht="15.75" customHeight="1">
      <c r="A36" s="465"/>
      <c r="B36" s="321"/>
      <c r="C36" s="322"/>
      <c r="D36" s="323" t="str">
        <f>IFERROR(VLOOKUP($B36,'Base dados dieta'!$A:$F,MATCH(D$8,$D$8:$F$8,0)+3,FALSE)/VLOOKUP($B36,'Base dados dieta'!$A:$F,2,FALSE)*$C36,"")</f>
        <v/>
      </c>
      <c r="E36" s="323" t="str">
        <f>IFERROR(VLOOKUP($B36,'Base dados dieta'!$A:$F,MATCH(E$8,$D$8:$F$8,0)+3,FALSE)/VLOOKUP($B36,'Base dados dieta'!$A:$F,2,FALSE)*$C36,"")</f>
        <v/>
      </c>
      <c r="F36" s="323" t="str">
        <f>IFERROR(VLOOKUP($B36,'Base dados dieta'!$A:$F,MATCH(F$8,$D$8:$F$8,0)+3,FALSE)/VLOOKUP($B36,'Base dados dieta'!$A:$F,2,FALSE)*$C36,"")</f>
        <v/>
      </c>
      <c r="G36" s="323" t="str">
        <f t="shared" si="17"/>
        <v/>
      </c>
      <c r="I36" s="458"/>
      <c r="J36" s="321"/>
      <c r="K36" s="322"/>
      <c r="L36" s="324" t="str">
        <f>IFERROR(VLOOKUP($J36,'Base dados dieta'!$A:$F,MATCH(L$8,$L$8:$N$8,0)+3,FALSE)/VLOOKUP($J36,'Base dados dieta'!$A:$F,2,FALSE)*$K36,"")</f>
        <v/>
      </c>
      <c r="M36" s="324" t="str">
        <f>IFERROR(VLOOKUP($J36,'Base dados dieta'!$A:$F,MATCH(M$8,$L$8:$N$8,0)+3,FALSE)/VLOOKUP($J36,'Base dados dieta'!$A:$F,2,FALSE)*$K36,"")</f>
        <v/>
      </c>
      <c r="N36" s="324" t="str">
        <f>IFERROR(VLOOKUP($J36,'Base dados dieta'!$A:$F,MATCH(N$8,$L$8:$N$8,0)+3,FALSE)/VLOOKUP($J36,'Base dados dieta'!$A:$F,2,FALSE)*$K36,"")</f>
        <v/>
      </c>
      <c r="O36" s="325" t="str">
        <f t="shared" si="18"/>
        <v/>
      </c>
      <c r="W36" s="137"/>
      <c r="X36" s="137"/>
      <c r="Y36" s="137"/>
      <c r="Z36" s="137"/>
      <c r="AA36" s="137"/>
      <c r="AB36" s="137"/>
      <c r="AC36" s="137"/>
    </row>
    <row r="37" spans="1:29" ht="15.75" customHeight="1">
      <c r="A37" s="465"/>
      <c r="B37" s="321"/>
      <c r="C37" s="322"/>
      <c r="D37" s="323" t="str">
        <f>IFERROR(VLOOKUP($B37,'Base dados dieta'!$A:$F,MATCH(D$8,$D$8:$F$8,0)+3,FALSE)/VLOOKUP($B37,'Base dados dieta'!$A:$F,2,FALSE)*$C37,"")</f>
        <v/>
      </c>
      <c r="E37" s="323" t="str">
        <f>IFERROR(VLOOKUP($B37,'Base dados dieta'!$A:$F,MATCH(E$8,$D$8:$F$8,0)+3,FALSE)/VLOOKUP($B37,'Base dados dieta'!$A:$F,2,FALSE)*$C37,"")</f>
        <v/>
      </c>
      <c r="F37" s="323" t="str">
        <f>IFERROR(VLOOKUP($B37,'Base dados dieta'!$A:$F,MATCH(F$8,$D$8:$F$8,0)+3,FALSE)/VLOOKUP($B37,'Base dados dieta'!$A:$F,2,FALSE)*$C37,"")</f>
        <v/>
      </c>
      <c r="G37" s="323" t="str">
        <f t="shared" si="17"/>
        <v/>
      </c>
      <c r="I37" s="458"/>
      <c r="J37" s="321"/>
      <c r="K37" s="322"/>
      <c r="L37" s="324" t="str">
        <f>IFERROR(VLOOKUP($J37,'Base dados dieta'!$A:$F,MATCH(L$8,$L$8:$N$8,0)+3,FALSE)/VLOOKUP($J37,'Base dados dieta'!$A:$F,2,FALSE)*$K37,"")</f>
        <v/>
      </c>
      <c r="M37" s="324" t="str">
        <f>IFERROR(VLOOKUP($J37,'Base dados dieta'!$A:$F,MATCH(M$8,$L$8:$N$8,0)+3,FALSE)/VLOOKUP($J37,'Base dados dieta'!$A:$F,2,FALSE)*$K37,"")</f>
        <v/>
      </c>
      <c r="N37" s="324" t="str">
        <f>IFERROR(VLOOKUP($J37,'Base dados dieta'!$A:$F,MATCH(N$8,$L$8:$N$8,0)+3,FALSE)/VLOOKUP($J37,'Base dados dieta'!$A:$F,2,FALSE)*$K37,"")</f>
        <v/>
      </c>
      <c r="O37" s="325" t="str">
        <f t="shared" si="18"/>
        <v/>
      </c>
      <c r="W37" s="342"/>
      <c r="X37" s="342"/>
      <c r="Y37" s="342"/>
      <c r="Z37" s="342"/>
      <c r="AA37" s="342"/>
      <c r="AB37" s="342"/>
      <c r="AC37" s="342"/>
    </row>
    <row r="38" spans="1:29" ht="15.75" customHeight="1">
      <c r="A38" s="466"/>
      <c r="B38" s="326"/>
      <c r="C38" s="327"/>
      <c r="D38" s="328" t="str">
        <f>IFERROR(VLOOKUP($B38,'Base dados dieta'!$A:$F,MATCH(D$8,$D$8:$F$8,0)+3,FALSE)/VLOOKUP($B38,'Base dados dieta'!$A:$F,2,FALSE)*$C38,"")</f>
        <v/>
      </c>
      <c r="E38" s="328" t="str">
        <f>IFERROR(VLOOKUP($B38,'Base dados dieta'!$A:$F,MATCH(E$8,$D$8:$F$8,0)+3,FALSE)/VLOOKUP($B38,'Base dados dieta'!$A:$F,2,FALSE)*$C38,"")</f>
        <v/>
      </c>
      <c r="F38" s="328" t="str">
        <f>IFERROR(VLOOKUP($B38,'Base dados dieta'!$A:$F,MATCH(F$8,$D$8:$F$8,0)+3,FALSE)/VLOOKUP($B38,'Base dados dieta'!$A:$F,2,FALSE)*$C38,"")</f>
        <v/>
      </c>
      <c r="G38" s="328" t="str">
        <f t="shared" si="17"/>
        <v/>
      </c>
      <c r="I38" s="459"/>
      <c r="J38" s="329"/>
      <c r="K38" s="330"/>
      <c r="L38" s="331"/>
      <c r="M38" s="331"/>
      <c r="N38" s="331"/>
      <c r="O38" s="332">
        <f t="shared" si="18"/>
        <v>0</v>
      </c>
      <c r="W38" s="342"/>
      <c r="X38" s="342"/>
      <c r="Y38" s="342"/>
      <c r="Z38" s="342"/>
      <c r="AA38" s="342"/>
      <c r="AB38" s="342"/>
      <c r="AC38" s="342"/>
    </row>
    <row r="39" spans="1:29" ht="15.75" customHeight="1">
      <c r="B39" s="340"/>
      <c r="C39" s="335" t="s">
        <v>133</v>
      </c>
      <c r="D39" s="336">
        <f t="shared" ref="D39:G39" si="19">SUM(D33:D38)</f>
        <v>0</v>
      </c>
      <c r="E39" s="336">
        <f t="shared" si="19"/>
        <v>0</v>
      </c>
      <c r="F39" s="336">
        <f t="shared" si="19"/>
        <v>0</v>
      </c>
      <c r="G39" s="336">
        <f t="shared" si="19"/>
        <v>0</v>
      </c>
      <c r="I39" s="333"/>
      <c r="J39" s="334"/>
      <c r="K39" s="337" t="s">
        <v>133</v>
      </c>
      <c r="L39" s="338">
        <f t="shared" ref="L39:O39" si="20">SUM(L33:L38)</f>
        <v>0</v>
      </c>
      <c r="M39" s="338">
        <f t="shared" si="20"/>
        <v>0</v>
      </c>
      <c r="N39" s="338">
        <f t="shared" si="20"/>
        <v>0</v>
      </c>
      <c r="O39" s="339">
        <f t="shared" si="20"/>
        <v>0</v>
      </c>
      <c r="W39" s="342"/>
      <c r="X39" s="342"/>
      <c r="Y39" s="342"/>
      <c r="Z39" s="342"/>
      <c r="AA39" s="342"/>
      <c r="AB39" s="342"/>
      <c r="AC39" s="342"/>
    </row>
    <row r="40" spans="1:29" ht="4.5" customHeight="1">
      <c r="B40" s="340"/>
      <c r="J40" s="340"/>
      <c r="W40" s="342"/>
      <c r="X40" s="342"/>
      <c r="Y40" s="342"/>
      <c r="Z40" s="342"/>
      <c r="AA40" s="342"/>
      <c r="AB40" s="342"/>
      <c r="AC40" s="342"/>
    </row>
    <row r="41" spans="1:29" ht="15.75" customHeight="1">
      <c r="A41" s="464" t="s">
        <v>908</v>
      </c>
      <c r="B41" s="314"/>
      <c r="C41" s="315"/>
      <c r="D41" s="316" t="str">
        <f>IFERROR(VLOOKUP($B41,'Base dados dieta'!$A:$F,MATCH(D$8,$D$8:$F$8,0)+3,FALSE)/VLOOKUP($B41,'Base dados dieta'!$A:$F,2,FALSE)*$C41,"")</f>
        <v/>
      </c>
      <c r="E41" s="316" t="str">
        <f>IFERROR(VLOOKUP($B41,'Base dados dieta'!$A:$F,MATCH(E$8,$D$8:$F$8,0)+3,FALSE)/VLOOKUP($B41,'Base dados dieta'!$A:$F,2,FALSE)*$C41,"")</f>
        <v/>
      </c>
      <c r="F41" s="316" t="str">
        <f>IFERROR(VLOOKUP($B41,'Base dados dieta'!$A:$F,MATCH(F$8,$D$8:$F$8,0)+3,FALSE)/VLOOKUP($B41,'Base dados dieta'!$A:$F,2,FALSE)*$C41,"")</f>
        <v/>
      </c>
      <c r="G41" s="316" t="str">
        <f t="shared" ref="G41:G46" si="21">IFERROR(D41*4+E41*9+F41*4,"")</f>
        <v/>
      </c>
      <c r="I41" s="457" t="s">
        <v>908</v>
      </c>
      <c r="J41" s="317"/>
      <c r="K41" s="318"/>
      <c r="L41" s="319" t="str">
        <f>IFERROR(VLOOKUP($J41,'Base dados dieta'!$A:$F,MATCH(L$8,$L$8:$N$8,0)+3,FALSE)/VLOOKUP($J41,'Base dados dieta'!$A:$F,2,FALSE)*$K41,"")</f>
        <v/>
      </c>
      <c r="M41" s="319" t="str">
        <f>IFERROR(VLOOKUP($J41,'Base dados dieta'!$A:$F,MATCH(M$8,$L$8:$N$8,0)+3,FALSE)/VLOOKUP($J41,'Base dados dieta'!$A:$F,2,FALSE)*$K41,"")</f>
        <v/>
      </c>
      <c r="N41" s="319" t="str">
        <f>IFERROR(VLOOKUP($J41,'Base dados dieta'!$A:$F,MATCH(N$8,$L$8:$N$8,0)+3,FALSE)/VLOOKUP($J41,'Base dados dieta'!$A:$F,2,FALSE)*$K41,"")</f>
        <v/>
      </c>
      <c r="O41" s="320" t="str">
        <f t="shared" ref="O41:O46" si="22">IFERROR(L41*4+M41*9+N41*4,"")</f>
        <v/>
      </c>
      <c r="W41" s="342"/>
      <c r="X41" s="342"/>
      <c r="Y41" s="342"/>
      <c r="Z41" s="342"/>
      <c r="AA41" s="342"/>
      <c r="AB41" s="342"/>
      <c r="AC41" s="342"/>
    </row>
    <row r="42" spans="1:29" ht="15.75" customHeight="1">
      <c r="A42" s="465"/>
      <c r="B42" s="321"/>
      <c r="C42" s="322"/>
      <c r="D42" s="323" t="str">
        <f>IFERROR(VLOOKUP($B42,'Base dados dieta'!$A:$F,MATCH(D$8,$D$8:$F$8,0)+3,FALSE)/VLOOKUP($B42,'Base dados dieta'!$A:$F,2,FALSE)*$C42,"")</f>
        <v/>
      </c>
      <c r="E42" s="323" t="str">
        <f>IFERROR(VLOOKUP($B42,'Base dados dieta'!$A:$F,MATCH(E$8,$D$8:$F$8,0)+3,FALSE)/VLOOKUP($B42,'Base dados dieta'!$A:$F,2,FALSE)*$C42,"")</f>
        <v/>
      </c>
      <c r="F42" s="323" t="str">
        <f>IFERROR(VLOOKUP($B42,'Base dados dieta'!$A:$F,MATCH(F$8,$D$8:$F$8,0)+3,FALSE)/VLOOKUP($B42,'Base dados dieta'!$A:$F,2,FALSE)*$C42,"")</f>
        <v/>
      </c>
      <c r="G42" s="323" t="str">
        <f t="shared" si="21"/>
        <v/>
      </c>
      <c r="I42" s="458"/>
      <c r="J42" s="321"/>
      <c r="K42" s="322"/>
      <c r="L42" s="324" t="str">
        <f>IFERROR(VLOOKUP($J42,'Base dados dieta'!$A:$F,MATCH(L$8,$L$8:$N$8,0)+3,FALSE)/VLOOKUP($J42,'Base dados dieta'!$A:$F,2,FALSE)*$K42,"")</f>
        <v/>
      </c>
      <c r="M42" s="324" t="str">
        <f>IFERROR(VLOOKUP($J42,'Base dados dieta'!$A:$F,MATCH(M$8,$L$8:$N$8,0)+3,FALSE)/VLOOKUP($J42,'Base dados dieta'!$A:$F,2,FALSE)*$K42,"")</f>
        <v/>
      </c>
      <c r="N42" s="324" t="str">
        <f>IFERROR(VLOOKUP($J42,'Base dados dieta'!$A:$F,MATCH(N$8,$L$8:$N$8,0)+3,FALSE)/VLOOKUP($J42,'Base dados dieta'!$A:$F,2,FALSE)*$K42,"")</f>
        <v/>
      </c>
      <c r="O42" s="325" t="str">
        <f t="shared" si="22"/>
        <v/>
      </c>
      <c r="W42" s="342"/>
      <c r="X42" s="342"/>
      <c r="Y42" s="342"/>
      <c r="Z42" s="342"/>
      <c r="AA42" s="342"/>
      <c r="AB42" s="342"/>
      <c r="AC42" s="342"/>
    </row>
    <row r="43" spans="1:29" ht="15.75" customHeight="1">
      <c r="A43" s="465"/>
      <c r="B43" s="321"/>
      <c r="C43" s="322"/>
      <c r="D43" s="323" t="str">
        <f>IFERROR(VLOOKUP($B43,'Base dados dieta'!$A:$F,MATCH(D$8,$D$8:$F$8,0)+3,FALSE)/VLOOKUP($B43,'Base dados dieta'!$A:$F,2,FALSE)*$C43,"")</f>
        <v/>
      </c>
      <c r="E43" s="323" t="str">
        <f>IFERROR(VLOOKUP($B43,'Base dados dieta'!$A:$F,MATCH(E$8,$D$8:$F$8,0)+3,FALSE)/VLOOKUP($B43,'Base dados dieta'!$A:$F,2,FALSE)*$C43,"")</f>
        <v/>
      </c>
      <c r="F43" s="323" t="str">
        <f>IFERROR(VLOOKUP($B43,'Base dados dieta'!$A:$F,MATCH(F$8,$D$8:$F$8,0)+3,FALSE)/VLOOKUP($B43,'Base dados dieta'!$A:$F,2,FALSE)*$C43,"")</f>
        <v/>
      </c>
      <c r="G43" s="323" t="str">
        <f t="shared" si="21"/>
        <v/>
      </c>
      <c r="H43" s="342"/>
      <c r="I43" s="458"/>
      <c r="J43" s="321"/>
      <c r="K43" s="322"/>
      <c r="L43" s="324" t="str">
        <f>IFERROR(VLOOKUP($J43,'Base dados dieta'!$A:$F,MATCH(L$8,$L$8:$N$8,0)+3,FALSE)/VLOOKUP($J43,'Base dados dieta'!$A:$F,2,FALSE)*$K43,"")</f>
        <v/>
      </c>
      <c r="M43" s="324" t="str">
        <f>IFERROR(VLOOKUP($J43,'Base dados dieta'!$A:$F,MATCH(M$8,$L$8:$N$8,0)+3,FALSE)/VLOOKUP($J43,'Base dados dieta'!$A:$F,2,FALSE)*$K43,"")</f>
        <v/>
      </c>
      <c r="N43" s="324" t="str">
        <f>IFERROR(VLOOKUP($J43,'Base dados dieta'!$A:$F,MATCH(N$8,$L$8:$N$8,0)+3,FALSE)/VLOOKUP($J43,'Base dados dieta'!$A:$F,2,FALSE)*$K43,"")</f>
        <v/>
      </c>
      <c r="O43" s="325" t="str">
        <f t="shared" si="22"/>
        <v/>
      </c>
      <c r="W43" s="342"/>
      <c r="X43" s="342"/>
      <c r="Y43" s="342"/>
      <c r="Z43" s="342"/>
      <c r="AA43" s="342"/>
      <c r="AB43" s="342"/>
      <c r="AC43" s="342"/>
    </row>
    <row r="44" spans="1:29" ht="15.75" customHeight="1">
      <c r="A44" s="465"/>
      <c r="B44" s="321"/>
      <c r="C44" s="322"/>
      <c r="D44" s="323" t="str">
        <f>IFERROR(VLOOKUP($B44,'Base dados dieta'!$A:$F,MATCH(D$8,$D$8:$F$8,0)+3,FALSE)/VLOOKUP($B44,'Base dados dieta'!$A:$F,2,FALSE)*$C44,"")</f>
        <v/>
      </c>
      <c r="E44" s="323" t="str">
        <f>IFERROR(VLOOKUP($B44,'Base dados dieta'!$A:$F,MATCH(E$8,$D$8:$F$8,0)+3,FALSE)/VLOOKUP($B44,'Base dados dieta'!$A:$F,2,FALSE)*$C44,"")</f>
        <v/>
      </c>
      <c r="F44" s="323" t="str">
        <f>IFERROR(VLOOKUP($B44,'Base dados dieta'!$A:$F,MATCH(F$8,$D$8:$F$8,0)+3,FALSE)/VLOOKUP($B44,'Base dados dieta'!$A:$F,2,FALSE)*$C44,"")</f>
        <v/>
      </c>
      <c r="G44" s="323" t="str">
        <f t="shared" si="21"/>
        <v/>
      </c>
      <c r="H44" s="342"/>
      <c r="I44" s="458"/>
      <c r="J44" s="321"/>
      <c r="K44" s="322"/>
      <c r="L44" s="324" t="str">
        <f>IFERROR(VLOOKUP($J44,'Base dados dieta'!$A:$F,MATCH(L$8,$L$8:$N$8,0)+3,FALSE)/VLOOKUP($J44,'Base dados dieta'!$A:$F,2,FALSE)*$K44,"")</f>
        <v/>
      </c>
      <c r="M44" s="324" t="str">
        <f>IFERROR(VLOOKUP($J44,'Base dados dieta'!$A:$F,MATCH(M$8,$L$8:$N$8,0)+3,FALSE)/VLOOKUP($J44,'Base dados dieta'!$A:$F,2,FALSE)*$K44,"")</f>
        <v/>
      </c>
      <c r="N44" s="324" t="str">
        <f>IFERROR(VLOOKUP($J44,'Base dados dieta'!$A:$F,MATCH(N$8,$L$8:$N$8,0)+3,FALSE)/VLOOKUP($J44,'Base dados dieta'!$A:$F,2,FALSE)*$K44,"")</f>
        <v/>
      </c>
      <c r="O44" s="325" t="str">
        <f t="shared" si="22"/>
        <v/>
      </c>
      <c r="W44" s="342"/>
      <c r="X44" s="342"/>
      <c r="Y44" s="342"/>
      <c r="Z44" s="342"/>
      <c r="AA44" s="342"/>
      <c r="AB44" s="342"/>
      <c r="AC44" s="342"/>
    </row>
    <row r="45" spans="1:29" ht="15.75" customHeight="1">
      <c r="A45" s="465"/>
      <c r="B45" s="321"/>
      <c r="C45" s="322"/>
      <c r="D45" s="323" t="str">
        <f>IFERROR(VLOOKUP($B45,'Base dados dieta'!$A:$F,MATCH(D$8,$D$8:$F$8,0)+3,FALSE)/VLOOKUP($B45,'Base dados dieta'!$A:$F,2,FALSE)*$C45,"")</f>
        <v/>
      </c>
      <c r="E45" s="323" t="str">
        <f>IFERROR(VLOOKUP($B45,'Base dados dieta'!$A:$F,MATCH(E$8,$D$8:$F$8,0)+3,FALSE)/VLOOKUP($B45,'Base dados dieta'!$A:$F,2,FALSE)*$C45,"")</f>
        <v/>
      </c>
      <c r="F45" s="323" t="str">
        <f>IFERROR(VLOOKUP($B45,'Base dados dieta'!$A:$F,MATCH(F$8,$D$8:$F$8,0)+3,FALSE)/VLOOKUP($B45,'Base dados dieta'!$A:$F,2,FALSE)*$C45,"")</f>
        <v/>
      </c>
      <c r="G45" s="323" t="str">
        <f t="shared" si="21"/>
        <v/>
      </c>
      <c r="I45" s="458"/>
      <c r="J45" s="321"/>
      <c r="K45" s="322"/>
      <c r="L45" s="324" t="str">
        <f>IFERROR(VLOOKUP($J45,'Base dados dieta'!$A:$F,MATCH(L$8,$L$8:$N$8,0)+3,FALSE)/VLOOKUP($J45,'Base dados dieta'!$A:$F,2,FALSE)*$K45,"")</f>
        <v/>
      </c>
      <c r="M45" s="324" t="str">
        <f>IFERROR(VLOOKUP($J45,'Base dados dieta'!$A:$F,MATCH(M$8,$L$8:$N$8,0)+3,FALSE)/VLOOKUP($J45,'Base dados dieta'!$A:$F,2,FALSE)*$K45,"")</f>
        <v/>
      </c>
      <c r="N45" s="324" t="str">
        <f>IFERROR(VLOOKUP($J45,'Base dados dieta'!$A:$F,MATCH(N$8,$L$8:$N$8,0)+3,FALSE)/VLOOKUP($J45,'Base dados dieta'!$A:$F,2,FALSE)*$K45,"")</f>
        <v/>
      </c>
      <c r="O45" s="325" t="str">
        <f t="shared" si="22"/>
        <v/>
      </c>
      <c r="W45" s="342"/>
      <c r="X45" s="342"/>
      <c r="Y45" s="342"/>
      <c r="Z45" s="342"/>
      <c r="AA45" s="342"/>
      <c r="AB45" s="342"/>
      <c r="AC45" s="342"/>
    </row>
    <row r="46" spans="1:29" ht="15.75" customHeight="1">
      <c r="A46" s="466"/>
      <c r="B46" s="326"/>
      <c r="C46" s="327"/>
      <c r="D46" s="328" t="str">
        <f>IFERROR(VLOOKUP($B46,'Base dados dieta'!$A:$F,MATCH(D$8,$D$8:$F$8,0)+3,FALSE)/VLOOKUP($B46,'Base dados dieta'!$A:$F,2,FALSE)*$C46,"")</f>
        <v/>
      </c>
      <c r="E46" s="328" t="str">
        <f>IFERROR(VLOOKUP($B46,'Base dados dieta'!$A:$F,MATCH(E$8,$D$8:$F$8,0)+3,FALSE)/VLOOKUP($B46,'Base dados dieta'!$A:$F,2,FALSE)*$C46,"")</f>
        <v/>
      </c>
      <c r="F46" s="328" t="str">
        <f>IFERROR(VLOOKUP($B46,'Base dados dieta'!$A:$F,MATCH(F$8,$D$8:$F$8,0)+3,FALSE)/VLOOKUP($B46,'Base dados dieta'!$A:$F,2,FALSE)*$C46,"")</f>
        <v/>
      </c>
      <c r="G46" s="328" t="str">
        <f t="shared" si="21"/>
        <v/>
      </c>
      <c r="I46" s="459"/>
      <c r="J46" s="329"/>
      <c r="K46" s="330"/>
      <c r="L46" s="331"/>
      <c r="M46" s="331"/>
      <c r="N46" s="331"/>
      <c r="O46" s="332">
        <f t="shared" si="22"/>
        <v>0</v>
      </c>
      <c r="W46" s="343"/>
      <c r="X46" s="343"/>
      <c r="Y46" s="343"/>
      <c r="Z46" s="343"/>
      <c r="AA46" s="343"/>
      <c r="AB46" s="343"/>
      <c r="AC46" s="343"/>
    </row>
    <row r="47" spans="1:29" ht="15.75" customHeight="1">
      <c r="B47" s="340"/>
      <c r="C47" s="335" t="s">
        <v>133</v>
      </c>
      <c r="D47" s="336">
        <f t="shared" ref="D47:G47" si="23">SUM(D41:D46)</f>
        <v>0</v>
      </c>
      <c r="E47" s="336">
        <f t="shared" si="23"/>
        <v>0</v>
      </c>
      <c r="F47" s="336">
        <f t="shared" si="23"/>
        <v>0</v>
      </c>
      <c r="G47" s="336">
        <f t="shared" si="23"/>
        <v>0</v>
      </c>
      <c r="I47" s="333"/>
      <c r="J47" s="334"/>
      <c r="K47" s="337" t="s">
        <v>133</v>
      </c>
      <c r="L47" s="338">
        <f t="shared" ref="L47:O47" si="24">SUM(L41:L46)</f>
        <v>0</v>
      </c>
      <c r="M47" s="338">
        <f t="shared" si="24"/>
        <v>0</v>
      </c>
      <c r="N47" s="338">
        <f t="shared" si="24"/>
        <v>0</v>
      </c>
      <c r="O47" s="339">
        <f t="shared" si="24"/>
        <v>0</v>
      </c>
      <c r="W47" s="344"/>
      <c r="X47" s="344"/>
      <c r="Y47" s="344"/>
      <c r="Z47" s="344"/>
      <c r="AA47" s="344"/>
      <c r="AB47" s="344"/>
      <c r="AC47" s="344"/>
    </row>
    <row r="48" spans="1:29" ht="5.25" customHeight="1">
      <c r="W48" s="344"/>
      <c r="X48" s="344"/>
      <c r="Y48" s="344"/>
      <c r="Z48" s="344"/>
      <c r="AA48" s="344"/>
      <c r="AB48" s="344"/>
      <c r="AC48" s="344"/>
    </row>
    <row r="49" spans="1:29" ht="15.75" customHeight="1">
      <c r="A49" s="464" t="s">
        <v>909</v>
      </c>
      <c r="B49" s="314"/>
      <c r="C49" s="315"/>
      <c r="D49" s="316" t="str">
        <f>IFERROR(VLOOKUP($B49,'Base dados dieta'!$A:$F,MATCH(D$8,$D$8:$F$8,0)+3,FALSE)/VLOOKUP($B49,'Base dados dieta'!$A:$F,2,FALSE)*$C49,"")</f>
        <v/>
      </c>
      <c r="E49" s="316" t="str">
        <f>IFERROR(VLOOKUP($B49,'Base dados dieta'!$A:$F,MATCH(E$8,$D$8:$F$8,0)+3,FALSE)/VLOOKUP($B49,'Base dados dieta'!$A:$F,2,FALSE)*$C49,"")</f>
        <v/>
      </c>
      <c r="F49" s="316" t="str">
        <f>IFERROR(VLOOKUP($B49,'Base dados dieta'!$A:$F,MATCH(F$8,$D$8:$F$8,0)+3,FALSE)/VLOOKUP($B49,'Base dados dieta'!$A:$F,2,FALSE)*$C49,"")</f>
        <v/>
      </c>
      <c r="G49" s="316" t="str">
        <f t="shared" ref="G49:G54" si="25">IFERROR(D49*4+E49*9+F49*4,"")</f>
        <v/>
      </c>
      <c r="I49" s="457" t="s">
        <v>909</v>
      </c>
      <c r="J49" s="317"/>
      <c r="K49" s="318"/>
      <c r="L49" s="319" t="str">
        <f>IFERROR(VLOOKUP($J49,'Base dados dieta'!$A:$F,MATCH(L$8,$L$8:$N$8,0)+3,FALSE)/VLOOKUP($J49,'Base dados dieta'!$A:$F,2,FALSE)*$K49,"")</f>
        <v/>
      </c>
      <c r="M49" s="319" t="str">
        <f>IFERROR(VLOOKUP($J49,'Base dados dieta'!$A:$F,MATCH(M$8,$L$8:$N$8,0)+3,FALSE)/VLOOKUP($J49,'Base dados dieta'!$A:$F,2,FALSE)*$K49,"")</f>
        <v/>
      </c>
      <c r="N49" s="319" t="str">
        <f>IFERROR(VLOOKUP($J49,'Base dados dieta'!$A:$F,MATCH(N$8,$L$8:$N$8,0)+3,FALSE)/VLOOKUP($J49,'Base dados dieta'!$A:$F,2,FALSE)*$K49,"")</f>
        <v/>
      </c>
      <c r="O49" s="320" t="str">
        <f t="shared" ref="O49:O54" si="26">IFERROR(L49*4+M49*9+N49*4,"")</f>
        <v/>
      </c>
      <c r="W49" s="344"/>
      <c r="X49" s="344"/>
      <c r="Y49" s="344"/>
      <c r="Z49" s="344"/>
      <c r="AA49" s="344"/>
      <c r="AB49" s="344"/>
      <c r="AC49" s="344"/>
    </row>
    <row r="50" spans="1:29" ht="15.75" customHeight="1">
      <c r="A50" s="465"/>
      <c r="B50" s="321"/>
      <c r="C50" s="322"/>
      <c r="D50" s="323" t="str">
        <f>IFERROR(VLOOKUP($B50,'Base dados dieta'!$A:$F,MATCH(D$8,$D$8:$F$8,0)+3,FALSE)/VLOOKUP($B50,'Base dados dieta'!$A:$F,2,FALSE)*$C50,"")</f>
        <v/>
      </c>
      <c r="E50" s="323" t="str">
        <f>IFERROR(VLOOKUP($B50,'Base dados dieta'!$A:$F,MATCH(E$8,$D$8:$F$8,0)+3,FALSE)/VLOOKUP($B50,'Base dados dieta'!$A:$F,2,FALSE)*$C50,"")</f>
        <v/>
      </c>
      <c r="F50" s="323" t="str">
        <f>IFERROR(VLOOKUP($B50,'Base dados dieta'!$A:$F,MATCH(F$8,$D$8:$F$8,0)+3,FALSE)/VLOOKUP($B50,'Base dados dieta'!$A:$F,2,FALSE)*$C50,"")</f>
        <v/>
      </c>
      <c r="G50" s="323" t="str">
        <f t="shared" si="25"/>
        <v/>
      </c>
      <c r="I50" s="458"/>
      <c r="J50" s="321"/>
      <c r="K50" s="322"/>
      <c r="L50" s="324" t="str">
        <f>IFERROR(VLOOKUP($J50,'Base dados dieta'!$A:$F,MATCH(L$8,$L$8:$N$8,0)+3,FALSE)/VLOOKUP($J50,'Base dados dieta'!$A:$F,2,FALSE)*$K50,"")</f>
        <v/>
      </c>
      <c r="M50" s="324" t="str">
        <f>IFERROR(VLOOKUP($J50,'Base dados dieta'!$A:$F,MATCH(M$8,$L$8:$N$8,0)+3,FALSE)/VLOOKUP($J50,'Base dados dieta'!$A:$F,2,FALSE)*$K50,"")</f>
        <v/>
      </c>
      <c r="N50" s="324" t="str">
        <f>IFERROR(VLOOKUP($J50,'Base dados dieta'!$A:$F,MATCH(N$8,$L$8:$N$8,0)+3,FALSE)/VLOOKUP($J50,'Base dados dieta'!$A:$F,2,FALSE)*$K50,"")</f>
        <v/>
      </c>
      <c r="O50" s="325" t="str">
        <f t="shared" si="26"/>
        <v/>
      </c>
      <c r="W50" s="344"/>
      <c r="X50" s="344"/>
      <c r="Y50" s="344"/>
      <c r="Z50" s="344"/>
      <c r="AA50" s="344"/>
      <c r="AB50" s="344"/>
      <c r="AC50" s="344"/>
    </row>
    <row r="51" spans="1:29" ht="15.75" customHeight="1">
      <c r="A51" s="465"/>
      <c r="B51" s="321"/>
      <c r="C51" s="322"/>
      <c r="D51" s="323" t="str">
        <f>IFERROR(VLOOKUP($B51,'Base dados dieta'!$A:$F,MATCH(D$8,$D$8:$F$8,0)+3,FALSE)/VLOOKUP($B51,'Base dados dieta'!$A:$F,2,FALSE)*$C51,"")</f>
        <v/>
      </c>
      <c r="E51" s="323" t="str">
        <f>IFERROR(VLOOKUP($B51,'Base dados dieta'!$A:$F,MATCH(E$8,$D$8:$F$8,0)+3,FALSE)/VLOOKUP($B51,'Base dados dieta'!$A:$F,2,FALSE)*$C51,"")</f>
        <v/>
      </c>
      <c r="F51" s="323" t="str">
        <f>IFERROR(VLOOKUP($B51,'Base dados dieta'!$A:$F,MATCH(F$8,$D$8:$F$8,0)+3,FALSE)/VLOOKUP($B51,'Base dados dieta'!$A:$F,2,FALSE)*$C51,"")</f>
        <v/>
      </c>
      <c r="G51" s="323" t="str">
        <f t="shared" si="25"/>
        <v/>
      </c>
      <c r="I51" s="458"/>
      <c r="J51" s="321"/>
      <c r="K51" s="322"/>
      <c r="L51" s="324" t="str">
        <f>IFERROR(VLOOKUP($J51,'Base dados dieta'!$A:$F,MATCH(L$8,$L$8:$N$8,0)+3,FALSE)/VLOOKUP($J51,'Base dados dieta'!$A:$F,2,FALSE)*$K51,"")</f>
        <v/>
      </c>
      <c r="M51" s="324" t="str">
        <f>IFERROR(VLOOKUP($J51,'Base dados dieta'!$A:$F,MATCH(M$8,$L$8:$N$8,0)+3,FALSE)/VLOOKUP($J51,'Base dados dieta'!$A:$F,2,FALSE)*$K51,"")</f>
        <v/>
      </c>
      <c r="N51" s="324" t="str">
        <f>IFERROR(VLOOKUP($J51,'Base dados dieta'!$A:$F,MATCH(N$8,$L$8:$N$8,0)+3,FALSE)/VLOOKUP($J51,'Base dados dieta'!$A:$F,2,FALSE)*$K51,"")</f>
        <v/>
      </c>
      <c r="O51" s="325" t="str">
        <f t="shared" si="26"/>
        <v/>
      </c>
      <c r="W51" s="344"/>
      <c r="X51" s="344"/>
      <c r="Y51" s="344"/>
      <c r="Z51" s="344"/>
      <c r="AA51" s="344"/>
      <c r="AB51" s="344"/>
      <c r="AC51" s="344"/>
    </row>
    <row r="52" spans="1:29" ht="15.75" customHeight="1">
      <c r="A52" s="465"/>
      <c r="B52" s="321"/>
      <c r="C52" s="322"/>
      <c r="D52" s="323" t="str">
        <f>IFERROR(VLOOKUP($B52,'Base dados dieta'!$A:$F,MATCH(D$8,$D$8:$F$8,0)+3,FALSE)/VLOOKUP($B52,'Base dados dieta'!$A:$F,2,FALSE)*$C52,"")</f>
        <v/>
      </c>
      <c r="E52" s="323" t="str">
        <f>IFERROR(VLOOKUP($B52,'Base dados dieta'!$A:$F,MATCH(E$8,$D$8:$F$8,0)+3,FALSE)/VLOOKUP($B52,'Base dados dieta'!$A:$F,2,FALSE)*$C52,"")</f>
        <v/>
      </c>
      <c r="F52" s="323" t="str">
        <f>IFERROR(VLOOKUP($B52,'Base dados dieta'!$A:$F,MATCH(F$8,$D$8:$F$8,0)+3,FALSE)/VLOOKUP($B52,'Base dados dieta'!$A:$F,2,FALSE)*$C52,"")</f>
        <v/>
      </c>
      <c r="G52" s="323" t="str">
        <f t="shared" si="25"/>
        <v/>
      </c>
      <c r="I52" s="458"/>
      <c r="J52" s="321"/>
      <c r="K52" s="322"/>
      <c r="L52" s="324" t="str">
        <f>IFERROR(VLOOKUP($J52,'Base dados dieta'!$A:$F,MATCH(L$8,$L$8:$N$8,0)+3,FALSE)/VLOOKUP($J52,'Base dados dieta'!$A:$F,2,FALSE)*$K52,"")</f>
        <v/>
      </c>
      <c r="M52" s="324" t="str">
        <f>IFERROR(VLOOKUP($J52,'Base dados dieta'!$A:$F,MATCH(M$8,$L$8:$N$8,0)+3,FALSE)/VLOOKUP($J52,'Base dados dieta'!$A:$F,2,FALSE)*$K52,"")</f>
        <v/>
      </c>
      <c r="N52" s="324" t="str">
        <f>IFERROR(VLOOKUP($J52,'Base dados dieta'!$A:$F,MATCH(N$8,$L$8:$N$8,0)+3,FALSE)/VLOOKUP($J52,'Base dados dieta'!$A:$F,2,FALSE)*$K52,"")</f>
        <v/>
      </c>
      <c r="O52" s="325" t="str">
        <f t="shared" si="26"/>
        <v/>
      </c>
      <c r="W52" s="344"/>
      <c r="X52" s="344"/>
      <c r="Y52" s="344"/>
      <c r="Z52" s="344"/>
      <c r="AA52" s="344"/>
      <c r="AB52" s="344"/>
      <c r="AC52" s="344"/>
    </row>
    <row r="53" spans="1:29" ht="15.75" customHeight="1">
      <c r="A53" s="465"/>
      <c r="B53" s="321"/>
      <c r="C53" s="322"/>
      <c r="D53" s="323" t="str">
        <f>IFERROR(VLOOKUP($B53,'Base dados dieta'!$A:$F,MATCH(D$8,$D$8:$F$8,0)+3,FALSE)/VLOOKUP($B53,'Base dados dieta'!$A:$F,2,FALSE)*$C53,"")</f>
        <v/>
      </c>
      <c r="E53" s="323" t="str">
        <f>IFERROR(VLOOKUP($B53,'Base dados dieta'!$A:$F,MATCH(E$8,$D$8:$F$8,0)+3,FALSE)/VLOOKUP($B53,'Base dados dieta'!$A:$F,2,FALSE)*$C53,"")</f>
        <v/>
      </c>
      <c r="F53" s="323" t="str">
        <f>IFERROR(VLOOKUP($B53,'Base dados dieta'!$A:$F,MATCH(F$8,$D$8:$F$8,0)+3,FALSE)/VLOOKUP($B53,'Base dados dieta'!$A:$F,2,FALSE)*$C53,"")</f>
        <v/>
      </c>
      <c r="G53" s="323" t="str">
        <f t="shared" si="25"/>
        <v/>
      </c>
      <c r="I53" s="458"/>
      <c r="J53" s="321"/>
      <c r="K53" s="322"/>
      <c r="L53" s="324" t="str">
        <f>IFERROR(VLOOKUP($J53,'Base dados dieta'!$A:$F,MATCH(L$8,$L$8:$N$8,0)+3,FALSE)/VLOOKUP($J53,'Base dados dieta'!$A:$F,2,FALSE)*$K53,"")</f>
        <v/>
      </c>
      <c r="M53" s="324" t="str">
        <f>IFERROR(VLOOKUP($J53,'Base dados dieta'!$A:$F,MATCH(M$8,$L$8:$N$8,0)+3,FALSE)/VLOOKUP($J53,'Base dados dieta'!$A:$F,2,FALSE)*$K53,"")</f>
        <v/>
      </c>
      <c r="N53" s="324" t="str">
        <f>IFERROR(VLOOKUP($J53,'Base dados dieta'!$A:$F,MATCH(N$8,$L$8:$N$8,0)+3,FALSE)/VLOOKUP($J53,'Base dados dieta'!$A:$F,2,FALSE)*$K53,"")</f>
        <v/>
      </c>
      <c r="O53" s="325" t="str">
        <f t="shared" si="26"/>
        <v/>
      </c>
      <c r="W53" s="344"/>
      <c r="X53" s="344"/>
      <c r="Y53" s="344"/>
      <c r="Z53" s="344"/>
      <c r="AA53" s="344"/>
      <c r="AB53" s="344"/>
      <c r="AC53" s="344"/>
    </row>
    <row r="54" spans="1:29" ht="15.75" customHeight="1">
      <c r="A54" s="466"/>
      <c r="B54" s="326"/>
      <c r="C54" s="327"/>
      <c r="D54" s="328" t="str">
        <f>IFERROR(VLOOKUP($B54,'Base dados dieta'!$A:$F,MATCH(D$8,$D$8:$F$8,0)+3,FALSE)/VLOOKUP($B54,'Base dados dieta'!$A:$F,2,FALSE)*$C54,"")</f>
        <v/>
      </c>
      <c r="E54" s="328" t="str">
        <f>IFERROR(VLOOKUP($B54,'Base dados dieta'!$A:$F,MATCH(E$8,$D$8:$F$8,0)+3,FALSE)/VLOOKUP($B54,'Base dados dieta'!$A:$F,2,FALSE)*$C54,"")</f>
        <v/>
      </c>
      <c r="F54" s="328" t="str">
        <f>IFERROR(VLOOKUP($B54,'Base dados dieta'!$A:$F,MATCH(F$8,$D$8:$F$8,0)+3,FALSE)/VLOOKUP($B54,'Base dados dieta'!$A:$F,2,FALSE)*$C54,"")</f>
        <v/>
      </c>
      <c r="G54" s="328" t="str">
        <f t="shared" si="25"/>
        <v/>
      </c>
      <c r="I54" s="459"/>
      <c r="J54" s="329"/>
      <c r="K54" s="330"/>
      <c r="L54" s="331"/>
      <c r="M54" s="331"/>
      <c r="N54" s="331"/>
      <c r="O54" s="332">
        <f t="shared" si="26"/>
        <v>0</v>
      </c>
      <c r="Q54" s="341"/>
      <c r="R54" s="341"/>
      <c r="S54" s="341"/>
      <c r="W54" s="344"/>
      <c r="X54" s="344"/>
      <c r="Y54" s="344"/>
      <c r="Z54" s="344"/>
      <c r="AA54" s="344"/>
      <c r="AB54" s="344"/>
      <c r="AC54" s="344"/>
    </row>
    <row r="55" spans="1:29" ht="15.75" customHeight="1">
      <c r="B55" s="340"/>
      <c r="C55" s="335" t="s">
        <v>133</v>
      </c>
      <c r="D55" s="336">
        <f t="shared" ref="D55:G55" si="27">SUM(D49:D54)</f>
        <v>0</v>
      </c>
      <c r="E55" s="336">
        <f t="shared" si="27"/>
        <v>0</v>
      </c>
      <c r="F55" s="336">
        <f t="shared" si="27"/>
        <v>0</v>
      </c>
      <c r="G55" s="336">
        <f t="shared" si="27"/>
        <v>0</v>
      </c>
      <c r="I55" s="333"/>
      <c r="J55" s="334"/>
      <c r="K55" s="337" t="s">
        <v>133</v>
      </c>
      <c r="L55" s="338">
        <f t="shared" ref="L55:O55" si="28">SUM(L49:L54)</f>
        <v>0</v>
      </c>
      <c r="M55" s="338">
        <f t="shared" si="28"/>
        <v>0</v>
      </c>
      <c r="N55" s="338">
        <f t="shared" si="28"/>
        <v>0</v>
      </c>
      <c r="O55" s="339">
        <f t="shared" si="28"/>
        <v>0</v>
      </c>
    </row>
    <row r="56" spans="1:29" ht="15.75" customHeight="1">
      <c r="B56" s="345"/>
      <c r="C56" s="345"/>
      <c r="D56" s="346"/>
      <c r="E56" s="346"/>
      <c r="F56" s="346"/>
      <c r="G56" s="346"/>
    </row>
    <row r="57" spans="1:29" ht="15.75" customHeight="1"/>
    <row r="58" spans="1:29" ht="15.75" customHeight="1"/>
    <row r="59" spans="1:29" ht="15.75" customHeight="1"/>
    <row r="60" spans="1:29" ht="15.75" customHeight="1"/>
    <row r="61" spans="1:29" ht="18" customHeight="1">
      <c r="A61" s="45"/>
    </row>
    <row r="62" spans="1:29" ht="15.75" customHeight="1">
      <c r="A62" s="45"/>
    </row>
    <row r="63" spans="1:29" ht="15.75" customHeight="1">
      <c r="A63" s="45"/>
    </row>
    <row r="64" spans="1:29" ht="15.75" customHeight="1">
      <c r="A64" s="45"/>
    </row>
    <row r="65" spans="1:29" ht="15.75" customHeight="1">
      <c r="A65" s="45"/>
      <c r="M65" s="347"/>
      <c r="N65" s="347"/>
      <c r="O65" s="347"/>
    </row>
    <row r="66" spans="1:29" ht="15.75" customHeight="1">
      <c r="A66" s="45"/>
      <c r="P66" s="347"/>
      <c r="T66" s="347"/>
      <c r="U66" s="347"/>
      <c r="V66" s="347"/>
      <c r="W66" s="347"/>
      <c r="X66" s="347"/>
      <c r="Y66" s="347"/>
      <c r="Z66" s="347"/>
      <c r="AA66" s="347"/>
      <c r="AB66" s="347"/>
      <c r="AC66" s="347"/>
    </row>
    <row r="67" spans="1:29" ht="15.75" customHeight="1">
      <c r="A67" s="45"/>
    </row>
    <row r="68" spans="1:29" ht="15.75" customHeight="1">
      <c r="A68" s="45"/>
    </row>
    <row r="69" spans="1:29" ht="15.75" customHeight="1">
      <c r="A69" s="45"/>
    </row>
    <row r="70" spans="1:29" ht="15.75" customHeight="1">
      <c r="A70" s="45"/>
    </row>
    <row r="71" spans="1:29" ht="15.75" customHeight="1">
      <c r="A71" s="45"/>
    </row>
    <row r="72" spans="1:29" ht="15.75" customHeight="1">
      <c r="A72" s="45"/>
    </row>
    <row r="73" spans="1:29" ht="15.75" customHeight="1">
      <c r="A73" s="45"/>
    </row>
    <row r="74" spans="1:29" ht="15.75" customHeight="1">
      <c r="A74" s="45"/>
    </row>
    <row r="75" spans="1:29" ht="15.75" customHeight="1">
      <c r="A75" s="45"/>
    </row>
    <row r="76" spans="1:29" ht="15.75" customHeight="1">
      <c r="A76" s="45"/>
    </row>
    <row r="77" spans="1:29" ht="15.75" customHeight="1">
      <c r="A77" s="45"/>
    </row>
    <row r="78" spans="1:29" ht="15.75" customHeight="1">
      <c r="A78" s="45"/>
    </row>
    <row r="79" spans="1:29" ht="15.75" customHeight="1">
      <c r="A79" s="45"/>
    </row>
    <row r="80" spans="1:29" ht="15.75" customHeight="1">
      <c r="A80" s="45"/>
    </row>
    <row r="81" spans="1:29" ht="15.75" customHeight="1">
      <c r="A81" s="45"/>
    </row>
    <row r="82" spans="1:29" ht="15.75" customHeight="1">
      <c r="A82" s="45"/>
    </row>
    <row r="83" spans="1:29" ht="15.75" customHeight="1">
      <c r="A83" s="45"/>
    </row>
    <row r="84" spans="1:29" ht="15.75" customHeight="1">
      <c r="A84" s="45"/>
    </row>
    <row r="85" spans="1:29" ht="15.75" customHeight="1">
      <c r="A85" s="45"/>
    </row>
    <row r="86" spans="1:29" ht="15.75" customHeight="1">
      <c r="A86" s="45"/>
    </row>
    <row r="87" spans="1:29" ht="15.75" customHeight="1">
      <c r="A87" s="45"/>
    </row>
    <row r="88" spans="1:29" ht="15.75" customHeight="1">
      <c r="A88" s="45"/>
    </row>
    <row r="89" spans="1:29" ht="15.75" customHeight="1">
      <c r="A89" s="45"/>
    </row>
    <row r="90" spans="1:29" ht="15.75" customHeight="1">
      <c r="A90" s="45"/>
    </row>
    <row r="91" spans="1:29" ht="15.75" customHeight="1">
      <c r="I91" s="341"/>
      <c r="J91" s="341"/>
      <c r="K91" s="341"/>
      <c r="L91" s="341"/>
      <c r="M91" s="341"/>
      <c r="N91" s="341"/>
      <c r="O91" s="341"/>
      <c r="P91" s="341"/>
      <c r="T91" s="341"/>
      <c r="U91" s="341"/>
      <c r="V91" s="341"/>
      <c r="W91" s="341"/>
      <c r="X91" s="341"/>
      <c r="Y91" s="341"/>
      <c r="Z91" s="341"/>
      <c r="AA91" s="341"/>
      <c r="AB91" s="341"/>
      <c r="AC91" s="341"/>
    </row>
    <row r="92" spans="1:29" ht="15.75" customHeight="1">
      <c r="A92" s="45"/>
    </row>
    <row r="93" spans="1:29" ht="15.75" customHeight="1">
      <c r="A93" s="45"/>
    </row>
    <row r="94" spans="1:29" ht="15.75" customHeight="1">
      <c r="A94" s="45"/>
      <c r="B94" s="45"/>
      <c r="C94" s="45"/>
      <c r="D94" s="45"/>
      <c r="E94" s="45"/>
      <c r="F94" s="45"/>
      <c r="G94" s="45"/>
    </row>
    <row r="95" spans="1:29" ht="15.75" customHeight="1">
      <c r="A95" s="45"/>
      <c r="B95" s="45"/>
      <c r="C95" s="45"/>
      <c r="D95" s="45"/>
      <c r="E95" s="45"/>
      <c r="F95" s="45"/>
      <c r="G95" s="45"/>
    </row>
    <row r="96" spans="1:29" ht="15.75" customHeight="1">
      <c r="A96" s="45"/>
      <c r="B96" s="45"/>
      <c r="C96" s="45"/>
      <c r="D96" s="45"/>
      <c r="E96" s="45"/>
      <c r="F96" s="45"/>
      <c r="G96" s="45"/>
    </row>
    <row r="97" spans="1:7" ht="15.75" customHeight="1">
      <c r="A97" s="45"/>
      <c r="B97" s="45"/>
      <c r="C97" s="45"/>
      <c r="D97" s="45"/>
      <c r="E97" s="45"/>
      <c r="F97" s="45"/>
      <c r="G97" s="45"/>
    </row>
    <row r="98" spans="1:7" ht="15.75" customHeight="1">
      <c r="A98" s="45"/>
      <c r="B98" s="45"/>
      <c r="C98" s="45"/>
      <c r="D98" s="45"/>
      <c r="E98" s="45"/>
      <c r="F98" s="45"/>
      <c r="G98" s="45"/>
    </row>
    <row r="99" spans="1:7" ht="15.75" customHeight="1">
      <c r="A99" s="45"/>
      <c r="B99" s="45"/>
      <c r="C99" s="45"/>
      <c r="D99" s="45"/>
      <c r="E99" s="45"/>
      <c r="F99" s="45"/>
      <c r="G99" s="45"/>
    </row>
    <row r="100" spans="1:7" ht="15.75" customHeight="1">
      <c r="A100" s="45"/>
      <c r="B100" s="45"/>
      <c r="C100" s="45"/>
      <c r="D100" s="45"/>
      <c r="E100" s="45"/>
      <c r="F100" s="45"/>
      <c r="G100" s="45"/>
    </row>
    <row r="101" spans="1:7" ht="15.75" customHeight="1">
      <c r="A101" s="45"/>
      <c r="B101" s="45"/>
      <c r="C101" s="45"/>
      <c r="D101" s="45"/>
      <c r="E101" s="45"/>
      <c r="F101" s="45"/>
      <c r="G101" s="45"/>
    </row>
    <row r="102" spans="1:7" ht="15.75" customHeight="1">
      <c r="A102" s="45"/>
      <c r="B102" s="45"/>
      <c r="C102" s="45"/>
      <c r="D102" s="45"/>
      <c r="E102" s="45"/>
      <c r="F102" s="45"/>
      <c r="G102" s="45"/>
    </row>
    <row r="103" spans="1:7" ht="15.75" customHeight="1">
      <c r="A103" s="45"/>
      <c r="B103" s="45"/>
      <c r="C103" s="45"/>
      <c r="D103" s="45"/>
      <c r="E103" s="45"/>
      <c r="F103" s="45"/>
      <c r="G103" s="45"/>
    </row>
    <row r="104" spans="1:7" ht="15.75" customHeight="1">
      <c r="A104" s="45"/>
      <c r="B104" s="45"/>
      <c r="C104" s="45"/>
      <c r="D104" s="45"/>
      <c r="E104" s="45"/>
      <c r="F104" s="45"/>
      <c r="G104" s="45"/>
    </row>
    <row r="105" spans="1:7" ht="15.75" customHeight="1">
      <c r="A105" s="45"/>
      <c r="B105" s="45"/>
      <c r="C105" s="45"/>
      <c r="D105" s="45"/>
      <c r="E105" s="45"/>
      <c r="F105" s="45"/>
      <c r="G105" s="45"/>
    </row>
    <row r="106" spans="1:7" ht="15.75" customHeight="1">
      <c r="A106" s="45"/>
      <c r="B106" s="45"/>
      <c r="C106" s="45"/>
      <c r="D106" s="45"/>
      <c r="E106" s="45"/>
      <c r="F106" s="45"/>
      <c r="G106" s="45"/>
    </row>
    <row r="107" spans="1:7" ht="15.75" customHeight="1">
      <c r="A107" s="45"/>
      <c r="B107" s="45"/>
      <c r="C107" s="45"/>
      <c r="D107" s="45"/>
      <c r="E107" s="45"/>
      <c r="F107" s="45"/>
      <c r="G107" s="45"/>
    </row>
    <row r="108" spans="1:7" ht="15.75" customHeight="1">
      <c r="A108" s="45"/>
      <c r="B108" s="45"/>
      <c r="C108" s="45"/>
      <c r="D108" s="45"/>
      <c r="E108" s="45"/>
      <c r="F108" s="45"/>
      <c r="G108" s="45"/>
    </row>
    <row r="109" spans="1:7" ht="15.75" customHeight="1">
      <c r="A109" s="45"/>
      <c r="B109" s="45"/>
      <c r="C109" s="45"/>
      <c r="D109" s="45"/>
      <c r="E109" s="45"/>
      <c r="F109" s="45"/>
      <c r="G109" s="45"/>
    </row>
    <row r="110" spans="1:7" ht="15.75" customHeight="1">
      <c r="A110" s="45"/>
      <c r="B110" s="45"/>
      <c r="C110" s="45"/>
      <c r="D110" s="45"/>
      <c r="E110" s="45"/>
      <c r="F110" s="45"/>
      <c r="G110" s="45"/>
    </row>
    <row r="111" spans="1:7" ht="15.75" customHeight="1">
      <c r="A111" s="45"/>
      <c r="B111" s="45"/>
      <c r="C111" s="45"/>
      <c r="D111" s="45"/>
      <c r="E111" s="45"/>
      <c r="F111" s="45"/>
      <c r="G111" s="45"/>
    </row>
    <row r="112" spans="1:7" ht="15.75" customHeight="1">
      <c r="A112" s="45"/>
      <c r="B112" s="45"/>
      <c r="C112" s="45"/>
      <c r="D112" s="45"/>
      <c r="E112" s="45"/>
      <c r="F112" s="45"/>
      <c r="G112" s="45"/>
    </row>
    <row r="113" spans="1:7" ht="15.75" customHeight="1">
      <c r="A113" s="45"/>
      <c r="B113" s="45"/>
      <c r="C113" s="45"/>
      <c r="D113" s="45"/>
      <c r="E113" s="45"/>
      <c r="F113" s="45"/>
      <c r="G113" s="45"/>
    </row>
    <row r="114" spans="1:7" ht="15.75" customHeight="1">
      <c r="A114" s="45"/>
      <c r="B114" s="45"/>
      <c r="C114" s="45"/>
      <c r="D114" s="45"/>
      <c r="E114" s="45"/>
      <c r="F114" s="45"/>
      <c r="G114" s="45"/>
    </row>
    <row r="115" spans="1:7" ht="15.75" customHeight="1">
      <c r="A115" s="45"/>
      <c r="B115" s="45"/>
      <c r="C115" s="45"/>
      <c r="D115" s="45"/>
      <c r="E115" s="45"/>
      <c r="F115" s="45"/>
      <c r="G115" s="45"/>
    </row>
    <row r="116" spans="1:7" ht="15.75" customHeight="1">
      <c r="A116" s="45"/>
      <c r="B116" s="45"/>
      <c r="C116" s="45"/>
      <c r="D116" s="45"/>
      <c r="E116" s="45"/>
      <c r="F116" s="45"/>
      <c r="G116" s="45"/>
    </row>
    <row r="117" spans="1:7" ht="15.75" customHeight="1">
      <c r="A117" s="45"/>
      <c r="B117" s="45"/>
      <c r="C117" s="45"/>
      <c r="D117" s="45"/>
      <c r="E117" s="45"/>
      <c r="F117" s="45"/>
      <c r="G117" s="45"/>
    </row>
    <row r="118" spans="1:7" ht="15.75" customHeight="1">
      <c r="A118" s="45"/>
      <c r="B118" s="45"/>
      <c r="C118" s="45"/>
      <c r="D118" s="45"/>
      <c r="E118" s="45"/>
      <c r="F118" s="45"/>
      <c r="G118" s="45"/>
    </row>
    <row r="119" spans="1:7" ht="15.75" customHeight="1">
      <c r="A119" s="45"/>
      <c r="B119" s="45"/>
      <c r="C119" s="45"/>
      <c r="D119" s="45"/>
      <c r="E119" s="45"/>
      <c r="F119" s="45"/>
      <c r="G119" s="45"/>
    </row>
    <row r="120" spans="1:7" ht="15.75" customHeight="1">
      <c r="A120" s="45"/>
      <c r="B120" s="45"/>
      <c r="C120" s="45"/>
      <c r="D120" s="45"/>
      <c r="E120" s="45"/>
      <c r="F120" s="45"/>
      <c r="G120" s="45"/>
    </row>
    <row r="121" spans="1:7" ht="15.75" customHeight="1">
      <c r="A121" s="45"/>
      <c r="B121" s="45"/>
      <c r="C121" s="45"/>
      <c r="D121" s="45"/>
      <c r="E121" s="45"/>
      <c r="F121" s="45"/>
      <c r="G121" s="45"/>
    </row>
    <row r="122" spans="1:7" ht="15.75" customHeight="1">
      <c r="A122" s="45"/>
      <c r="B122" s="45"/>
      <c r="C122" s="45"/>
      <c r="D122" s="45"/>
      <c r="E122" s="45"/>
      <c r="F122" s="45"/>
      <c r="G122" s="45"/>
    </row>
    <row r="123" spans="1:7" ht="15.75" customHeight="1">
      <c r="A123" s="45"/>
      <c r="B123" s="45"/>
      <c r="C123" s="45"/>
      <c r="D123" s="45"/>
      <c r="E123" s="45"/>
      <c r="F123" s="45"/>
      <c r="G123" s="45"/>
    </row>
    <row r="124" spans="1:7" ht="15.75" customHeight="1">
      <c r="A124" s="45"/>
      <c r="B124" s="45"/>
      <c r="C124" s="45"/>
      <c r="D124" s="45"/>
      <c r="E124" s="45"/>
      <c r="F124" s="45"/>
      <c r="G124" s="45"/>
    </row>
    <row r="125" spans="1:7" ht="15.75" customHeight="1">
      <c r="A125" s="45"/>
      <c r="B125" s="45"/>
      <c r="C125" s="45"/>
      <c r="D125" s="45"/>
      <c r="E125" s="45"/>
      <c r="F125" s="45"/>
      <c r="G125" s="45"/>
    </row>
    <row r="126" spans="1:7" ht="15.75" customHeight="1">
      <c r="A126" s="45"/>
      <c r="B126" s="45"/>
      <c r="C126" s="45"/>
      <c r="D126" s="45"/>
      <c r="E126" s="45"/>
      <c r="F126" s="45"/>
      <c r="G126" s="45"/>
    </row>
    <row r="127" spans="1:7" ht="15.75" customHeight="1">
      <c r="A127" s="45"/>
      <c r="B127" s="45"/>
      <c r="C127" s="45"/>
      <c r="D127" s="45"/>
      <c r="E127" s="45"/>
      <c r="F127" s="45"/>
      <c r="G127" s="45"/>
    </row>
    <row r="128" spans="1:7" ht="15.75" customHeight="1">
      <c r="A128" s="45"/>
      <c r="B128" s="45"/>
      <c r="C128" s="45"/>
      <c r="D128" s="45"/>
      <c r="E128" s="45"/>
      <c r="F128" s="45"/>
      <c r="G128" s="45"/>
    </row>
    <row r="129" spans="1:7" ht="15.75" customHeight="1">
      <c r="A129" s="45"/>
      <c r="B129" s="45"/>
      <c r="C129" s="45"/>
      <c r="D129" s="45"/>
      <c r="E129" s="45"/>
      <c r="F129" s="45"/>
      <c r="G129" s="45"/>
    </row>
    <row r="130" spans="1:7" ht="15.75" customHeight="1">
      <c r="A130" s="45"/>
      <c r="B130" s="45"/>
      <c r="C130" s="45"/>
      <c r="D130" s="45"/>
      <c r="E130" s="45"/>
      <c r="F130" s="45"/>
      <c r="G130" s="45"/>
    </row>
    <row r="131" spans="1:7" ht="15.75" customHeight="1">
      <c r="A131" s="45"/>
      <c r="B131" s="45"/>
      <c r="C131" s="45"/>
      <c r="D131" s="45"/>
      <c r="E131" s="45"/>
      <c r="F131" s="45"/>
      <c r="G131" s="45"/>
    </row>
    <row r="132" spans="1:7" ht="15.75" customHeight="1">
      <c r="A132" s="45"/>
      <c r="B132" s="45"/>
      <c r="C132" s="45"/>
      <c r="D132" s="45"/>
      <c r="E132" s="45"/>
      <c r="F132" s="45"/>
      <c r="G132" s="45"/>
    </row>
    <row r="133" spans="1:7" ht="15.75" customHeight="1">
      <c r="A133" s="45"/>
      <c r="B133" s="45"/>
      <c r="C133" s="45"/>
      <c r="D133" s="45"/>
      <c r="E133" s="45"/>
      <c r="F133" s="45"/>
      <c r="G133" s="45"/>
    </row>
    <row r="134" spans="1:7" ht="15.75" customHeight="1">
      <c r="A134" s="45"/>
      <c r="B134" s="45"/>
      <c r="C134" s="45"/>
      <c r="D134" s="45"/>
      <c r="E134" s="45"/>
      <c r="F134" s="45"/>
      <c r="G134" s="45"/>
    </row>
    <row r="135" spans="1:7" ht="15.75" customHeight="1">
      <c r="A135" s="45"/>
      <c r="B135" s="45"/>
      <c r="C135" s="45"/>
      <c r="D135" s="45"/>
      <c r="E135" s="45"/>
      <c r="F135" s="45"/>
      <c r="G135" s="45"/>
    </row>
    <row r="136" spans="1:7" ht="15.75" customHeight="1">
      <c r="A136" s="45"/>
      <c r="B136" s="45"/>
      <c r="C136" s="45"/>
      <c r="D136" s="45"/>
      <c r="E136" s="45"/>
      <c r="F136" s="45"/>
      <c r="G136" s="45"/>
    </row>
    <row r="137" spans="1:7" ht="15.75" customHeight="1">
      <c r="A137" s="45"/>
      <c r="B137" s="45"/>
      <c r="C137" s="45"/>
      <c r="D137" s="45"/>
      <c r="E137" s="45"/>
      <c r="F137" s="45"/>
      <c r="G137" s="45"/>
    </row>
    <row r="138" spans="1:7" ht="15.75" customHeight="1">
      <c r="A138" s="45"/>
      <c r="B138" s="45"/>
      <c r="C138" s="45"/>
      <c r="D138" s="45"/>
      <c r="E138" s="45"/>
      <c r="F138" s="45"/>
      <c r="G138" s="45"/>
    </row>
    <row r="139" spans="1:7" ht="15.75" customHeight="1">
      <c r="A139" s="45"/>
      <c r="B139" s="45"/>
      <c r="C139" s="45"/>
      <c r="D139" s="45"/>
      <c r="E139" s="45"/>
      <c r="F139" s="45"/>
      <c r="G139" s="45"/>
    </row>
    <row r="140" spans="1:7" ht="15.75" customHeight="1">
      <c r="A140" s="45"/>
      <c r="B140" s="45"/>
      <c r="C140" s="45"/>
      <c r="D140" s="45"/>
      <c r="E140" s="45"/>
      <c r="F140" s="45"/>
      <c r="G140" s="45"/>
    </row>
    <row r="141" spans="1:7" ht="15.75" customHeight="1">
      <c r="A141" s="45"/>
      <c r="B141" s="45"/>
      <c r="C141" s="45"/>
      <c r="D141" s="45"/>
      <c r="E141" s="45"/>
      <c r="F141" s="45"/>
      <c r="G141" s="45"/>
    </row>
    <row r="142" spans="1:7" ht="15.75" customHeight="1">
      <c r="A142" s="45"/>
      <c r="B142" s="45"/>
      <c r="C142" s="45"/>
      <c r="D142" s="45"/>
      <c r="E142" s="45"/>
      <c r="F142" s="45"/>
      <c r="G142" s="45"/>
    </row>
    <row r="143" spans="1:7" ht="15.75" customHeight="1">
      <c r="A143" s="45"/>
      <c r="B143" s="45"/>
      <c r="C143" s="45"/>
      <c r="D143" s="45"/>
      <c r="E143" s="45"/>
      <c r="F143" s="45"/>
      <c r="G143" s="45"/>
    </row>
    <row r="144" spans="1:7" ht="15.75" customHeight="1">
      <c r="A144" s="45"/>
      <c r="B144" s="45"/>
      <c r="C144" s="45"/>
      <c r="D144" s="45"/>
      <c r="E144" s="45"/>
      <c r="F144" s="45"/>
      <c r="G144" s="45"/>
    </row>
    <row r="145" spans="1:7" ht="15.75" customHeight="1">
      <c r="A145" s="45"/>
      <c r="B145" s="45"/>
      <c r="C145" s="45"/>
      <c r="D145" s="45"/>
      <c r="E145" s="45"/>
      <c r="F145" s="45"/>
      <c r="G145" s="45"/>
    </row>
    <row r="146" spans="1:7" ht="15.75" customHeight="1">
      <c r="A146" s="45"/>
      <c r="B146" s="45"/>
      <c r="C146" s="45"/>
      <c r="D146" s="45"/>
      <c r="E146" s="45"/>
      <c r="F146" s="45"/>
      <c r="G146" s="45"/>
    </row>
    <row r="147" spans="1:7" ht="15.75" customHeight="1">
      <c r="A147" s="45"/>
      <c r="B147" s="45"/>
      <c r="C147" s="45"/>
      <c r="D147" s="45"/>
      <c r="E147" s="45"/>
      <c r="F147" s="45"/>
      <c r="G147" s="45"/>
    </row>
    <row r="148" spans="1:7" ht="15.75" customHeight="1">
      <c r="A148" s="45"/>
      <c r="B148" s="45"/>
      <c r="C148" s="45"/>
      <c r="D148" s="45"/>
      <c r="E148" s="45"/>
      <c r="F148" s="45"/>
      <c r="G148" s="45"/>
    </row>
    <row r="149" spans="1:7" ht="15.75" customHeight="1">
      <c r="A149" s="45"/>
      <c r="B149" s="45"/>
      <c r="C149" s="45"/>
      <c r="D149" s="45"/>
      <c r="E149" s="45"/>
      <c r="F149" s="45"/>
      <c r="G149" s="45"/>
    </row>
    <row r="150" spans="1:7" ht="15.75" customHeight="1">
      <c r="A150" s="45"/>
      <c r="B150" s="45"/>
      <c r="C150" s="45"/>
      <c r="D150" s="45"/>
      <c r="E150" s="45"/>
      <c r="F150" s="45"/>
      <c r="G150" s="45"/>
    </row>
    <row r="151" spans="1:7" ht="15.75" customHeight="1">
      <c r="A151" s="45"/>
      <c r="B151" s="45"/>
      <c r="C151" s="45"/>
      <c r="D151" s="45"/>
      <c r="E151" s="45"/>
      <c r="F151" s="45"/>
      <c r="G151" s="45"/>
    </row>
    <row r="152" spans="1:7" ht="15.75" customHeight="1">
      <c r="A152" s="45"/>
      <c r="B152" s="45"/>
      <c r="C152" s="45"/>
      <c r="D152" s="45"/>
      <c r="E152" s="45"/>
      <c r="F152" s="45"/>
      <c r="G152" s="45"/>
    </row>
    <row r="153" spans="1:7" ht="15.75" customHeight="1">
      <c r="A153" s="45"/>
      <c r="B153" s="45"/>
      <c r="C153" s="45"/>
      <c r="D153" s="45"/>
      <c r="E153" s="45"/>
      <c r="F153" s="45"/>
      <c r="G153" s="45"/>
    </row>
    <row r="154" spans="1:7" ht="15.75" customHeight="1">
      <c r="A154" s="45"/>
      <c r="B154" s="45"/>
      <c r="C154" s="45"/>
      <c r="D154" s="45"/>
      <c r="E154" s="45"/>
      <c r="F154" s="45"/>
      <c r="G154" s="45"/>
    </row>
    <row r="155" spans="1:7" ht="15.75" customHeight="1">
      <c r="A155" s="45"/>
      <c r="B155" s="45"/>
      <c r="C155" s="45"/>
      <c r="D155" s="45"/>
      <c r="E155" s="45"/>
      <c r="F155" s="45"/>
      <c r="G155" s="45"/>
    </row>
    <row r="156" spans="1:7" ht="15.75" customHeight="1">
      <c r="A156" s="45"/>
      <c r="B156" s="45"/>
      <c r="C156" s="45"/>
      <c r="D156" s="45"/>
      <c r="E156" s="45"/>
      <c r="F156" s="45"/>
      <c r="G156" s="45"/>
    </row>
    <row r="157" spans="1:7" ht="15.75" customHeight="1">
      <c r="A157" s="45"/>
      <c r="B157" s="45"/>
      <c r="C157" s="45"/>
      <c r="D157" s="45"/>
      <c r="E157" s="45"/>
      <c r="F157" s="45"/>
      <c r="G157" s="45"/>
    </row>
    <row r="158" spans="1:7" ht="15.75" customHeight="1">
      <c r="A158" s="45"/>
      <c r="B158" s="45"/>
      <c r="C158" s="45"/>
      <c r="D158" s="45"/>
      <c r="E158" s="45"/>
      <c r="F158" s="45"/>
      <c r="G158" s="45"/>
    </row>
    <row r="159" spans="1:7" ht="15.75" customHeight="1">
      <c r="A159" s="45"/>
      <c r="B159" s="45"/>
      <c r="C159" s="45"/>
      <c r="D159" s="45"/>
      <c r="E159" s="45"/>
      <c r="F159" s="45"/>
      <c r="G159" s="45"/>
    </row>
    <row r="160" spans="1:7" ht="15.75" customHeight="1">
      <c r="A160" s="45"/>
      <c r="B160" s="45"/>
      <c r="C160" s="45"/>
      <c r="D160" s="45"/>
      <c r="E160" s="45"/>
      <c r="F160" s="45"/>
      <c r="G160" s="45"/>
    </row>
    <row r="161" spans="1:7" ht="15.75" customHeight="1">
      <c r="A161" s="45"/>
      <c r="B161" s="45"/>
      <c r="C161" s="45"/>
      <c r="D161" s="45"/>
      <c r="E161" s="45"/>
      <c r="F161" s="45"/>
      <c r="G161" s="45"/>
    </row>
    <row r="162" spans="1:7" ht="15.75" customHeight="1">
      <c r="A162" s="45"/>
      <c r="B162" s="45"/>
      <c r="C162" s="45"/>
      <c r="D162" s="45"/>
      <c r="E162" s="45"/>
      <c r="F162" s="45"/>
      <c r="G162" s="45"/>
    </row>
    <row r="163" spans="1:7" ht="15.75" customHeight="1">
      <c r="A163" s="45"/>
      <c r="B163" s="45"/>
      <c r="C163" s="45"/>
      <c r="D163" s="45"/>
      <c r="E163" s="45"/>
      <c r="F163" s="45"/>
      <c r="G163" s="45"/>
    </row>
    <row r="164" spans="1:7" ht="15.75" customHeight="1">
      <c r="A164" s="45"/>
      <c r="B164" s="45"/>
      <c r="C164" s="45"/>
      <c r="D164" s="45"/>
      <c r="E164" s="45"/>
      <c r="F164" s="45"/>
      <c r="G164" s="45"/>
    </row>
    <row r="165" spans="1:7" ht="15.75" customHeight="1">
      <c r="A165" s="45"/>
      <c r="B165" s="45"/>
      <c r="C165" s="45"/>
      <c r="D165" s="45"/>
      <c r="E165" s="45"/>
      <c r="F165" s="45"/>
      <c r="G165" s="45"/>
    </row>
    <row r="166" spans="1:7" ht="15.75" customHeight="1">
      <c r="A166" s="45"/>
      <c r="B166" s="45"/>
      <c r="C166" s="45"/>
      <c r="D166" s="45"/>
      <c r="E166" s="45"/>
      <c r="F166" s="45"/>
      <c r="G166" s="45"/>
    </row>
    <row r="167" spans="1:7" ht="15.75" customHeight="1">
      <c r="A167" s="45"/>
      <c r="B167" s="45"/>
      <c r="C167" s="45"/>
      <c r="D167" s="45"/>
      <c r="E167" s="45"/>
      <c r="F167" s="45"/>
      <c r="G167" s="45"/>
    </row>
    <row r="168" spans="1:7" ht="15.75" customHeight="1">
      <c r="A168" s="45"/>
      <c r="B168" s="45"/>
      <c r="C168" s="45"/>
      <c r="D168" s="45"/>
      <c r="E168" s="45"/>
      <c r="F168" s="45"/>
      <c r="G168" s="45"/>
    </row>
    <row r="169" spans="1:7" ht="15.75" customHeight="1">
      <c r="A169" s="45"/>
      <c r="B169" s="45"/>
      <c r="C169" s="45"/>
      <c r="D169" s="45"/>
      <c r="E169" s="45"/>
      <c r="F169" s="45"/>
      <c r="G169" s="45"/>
    </row>
    <row r="170" spans="1:7" ht="15.75" customHeight="1">
      <c r="A170" s="45"/>
      <c r="B170" s="45"/>
      <c r="C170" s="45"/>
      <c r="D170" s="45"/>
      <c r="E170" s="45"/>
      <c r="F170" s="45"/>
      <c r="G170" s="45"/>
    </row>
    <row r="171" spans="1:7" ht="15.75" customHeight="1">
      <c r="A171" s="45"/>
      <c r="B171" s="45"/>
      <c r="C171" s="45"/>
      <c r="D171" s="45"/>
      <c r="E171" s="45"/>
      <c r="F171" s="45"/>
      <c r="G171" s="45"/>
    </row>
    <row r="172" spans="1:7" ht="15.75" customHeight="1">
      <c r="A172" s="45"/>
      <c r="B172" s="45"/>
      <c r="C172" s="45"/>
      <c r="D172" s="45"/>
      <c r="E172" s="45"/>
      <c r="F172" s="45"/>
      <c r="G172" s="45"/>
    </row>
    <row r="173" spans="1:7" ht="15.75" customHeight="1">
      <c r="A173" s="45"/>
      <c r="B173" s="45"/>
      <c r="C173" s="45"/>
      <c r="D173" s="45"/>
      <c r="E173" s="45"/>
      <c r="F173" s="45"/>
      <c r="G173" s="45"/>
    </row>
    <row r="174" spans="1:7" ht="15.75" customHeight="1">
      <c r="A174" s="45"/>
      <c r="B174" s="45"/>
      <c r="C174" s="45"/>
      <c r="D174" s="45"/>
      <c r="E174" s="45"/>
      <c r="F174" s="45"/>
      <c r="G174" s="45"/>
    </row>
    <row r="175" spans="1:7" ht="15.75" customHeight="1">
      <c r="A175" s="45"/>
      <c r="B175" s="45"/>
      <c r="C175" s="45"/>
      <c r="D175" s="45"/>
      <c r="E175" s="45"/>
      <c r="F175" s="45"/>
      <c r="G175" s="45"/>
    </row>
    <row r="176" spans="1:7" ht="15.75" customHeight="1">
      <c r="A176" s="45"/>
      <c r="B176" s="45"/>
      <c r="C176" s="45"/>
      <c r="D176" s="45"/>
      <c r="E176" s="45"/>
      <c r="F176" s="45"/>
      <c r="G176" s="45"/>
    </row>
    <row r="177" spans="1:7" ht="15.75" customHeight="1">
      <c r="A177" s="45"/>
      <c r="B177" s="45"/>
      <c r="C177" s="45"/>
      <c r="D177" s="45"/>
      <c r="E177" s="45"/>
      <c r="F177" s="45"/>
      <c r="G177" s="45"/>
    </row>
    <row r="178" spans="1:7" ht="15.75" customHeight="1">
      <c r="A178" s="45"/>
      <c r="B178" s="45"/>
      <c r="C178" s="45"/>
      <c r="D178" s="45"/>
      <c r="E178" s="45"/>
      <c r="F178" s="45"/>
      <c r="G178" s="45"/>
    </row>
    <row r="179" spans="1:7" ht="15.75" customHeight="1">
      <c r="A179" s="45"/>
      <c r="B179" s="45"/>
      <c r="C179" s="45"/>
      <c r="D179" s="45"/>
      <c r="E179" s="45"/>
      <c r="F179" s="45"/>
      <c r="G179" s="45"/>
    </row>
    <row r="180" spans="1:7" ht="15.75" customHeight="1">
      <c r="A180" s="45"/>
      <c r="B180" s="45"/>
      <c r="C180" s="45"/>
      <c r="D180" s="45"/>
      <c r="E180" s="45"/>
      <c r="F180" s="45"/>
      <c r="G180" s="45"/>
    </row>
    <row r="181" spans="1:7" ht="15.75" customHeight="1">
      <c r="A181" s="45"/>
      <c r="B181" s="45"/>
      <c r="C181" s="45"/>
      <c r="D181" s="45"/>
      <c r="E181" s="45"/>
      <c r="F181" s="45"/>
      <c r="G181" s="45"/>
    </row>
    <row r="182" spans="1:7" ht="15.75" customHeight="1">
      <c r="A182" s="45"/>
      <c r="B182" s="45"/>
      <c r="C182" s="45"/>
      <c r="D182" s="45"/>
      <c r="E182" s="45"/>
      <c r="F182" s="45"/>
      <c r="G182" s="45"/>
    </row>
    <row r="183" spans="1:7" ht="15.75" customHeight="1">
      <c r="A183" s="45"/>
      <c r="B183" s="45"/>
      <c r="C183" s="45"/>
      <c r="D183" s="45"/>
      <c r="E183" s="45"/>
      <c r="F183" s="45"/>
      <c r="G183" s="45"/>
    </row>
    <row r="184" spans="1:7" ht="15.75" customHeight="1">
      <c r="A184" s="45"/>
      <c r="B184" s="45"/>
      <c r="C184" s="45"/>
      <c r="D184" s="45"/>
      <c r="E184" s="45"/>
      <c r="F184" s="45"/>
      <c r="G184" s="45"/>
    </row>
    <row r="185" spans="1:7" ht="15.75" customHeight="1">
      <c r="A185" s="45"/>
      <c r="B185" s="45"/>
      <c r="C185" s="45"/>
      <c r="D185" s="45"/>
      <c r="E185" s="45"/>
      <c r="F185" s="45"/>
      <c r="G185" s="45"/>
    </row>
    <row r="186" spans="1:7" ht="15.75" customHeight="1">
      <c r="A186" s="45"/>
      <c r="B186" s="45"/>
      <c r="C186" s="45"/>
      <c r="D186" s="45"/>
      <c r="E186" s="45"/>
      <c r="F186" s="45"/>
      <c r="G186" s="45"/>
    </row>
    <row r="187" spans="1:7" ht="15.75" customHeight="1">
      <c r="A187" s="45"/>
      <c r="B187" s="45"/>
      <c r="C187" s="45"/>
      <c r="D187" s="45"/>
      <c r="E187" s="45"/>
      <c r="F187" s="45"/>
      <c r="G187" s="45"/>
    </row>
    <row r="188" spans="1:7" ht="15.75" customHeight="1">
      <c r="A188" s="45"/>
      <c r="B188" s="45"/>
      <c r="C188" s="45"/>
      <c r="D188" s="45"/>
      <c r="E188" s="45"/>
      <c r="F188" s="45"/>
      <c r="G188" s="45"/>
    </row>
    <row r="189" spans="1:7" ht="15.75" customHeight="1">
      <c r="A189" s="45"/>
      <c r="B189" s="45"/>
      <c r="C189" s="45"/>
      <c r="D189" s="45"/>
      <c r="E189" s="45"/>
      <c r="F189" s="45"/>
      <c r="G189" s="45"/>
    </row>
    <row r="190" spans="1:7" ht="15.75" customHeight="1">
      <c r="A190" s="45"/>
      <c r="B190" s="45"/>
      <c r="C190" s="45"/>
      <c r="D190" s="45"/>
      <c r="E190" s="45"/>
      <c r="F190" s="45"/>
      <c r="G190" s="45"/>
    </row>
    <row r="191" spans="1:7" ht="15.75" customHeight="1">
      <c r="A191" s="45"/>
      <c r="B191" s="45"/>
      <c r="C191" s="45"/>
      <c r="D191" s="45"/>
      <c r="E191" s="45"/>
      <c r="F191" s="45"/>
      <c r="G191" s="45"/>
    </row>
    <row r="192" spans="1:7" ht="15.75" customHeight="1">
      <c r="A192" s="45"/>
      <c r="B192" s="45"/>
      <c r="C192" s="45"/>
      <c r="D192" s="45"/>
      <c r="E192" s="45"/>
      <c r="F192" s="45"/>
      <c r="G192" s="45"/>
    </row>
    <row r="193" spans="1:7" ht="15.75" customHeight="1">
      <c r="A193" s="45"/>
      <c r="B193" s="45"/>
      <c r="C193" s="45"/>
      <c r="D193" s="45"/>
      <c r="E193" s="45"/>
      <c r="F193" s="45"/>
      <c r="G193" s="45"/>
    </row>
    <row r="194" spans="1:7" ht="15.75" customHeight="1">
      <c r="A194" s="45"/>
      <c r="B194" s="45"/>
      <c r="C194" s="45"/>
      <c r="D194" s="45"/>
      <c r="E194" s="45"/>
      <c r="F194" s="45"/>
      <c r="G194" s="45"/>
    </row>
    <row r="195" spans="1:7" ht="15.75" customHeight="1">
      <c r="A195" s="45"/>
      <c r="B195" s="45"/>
      <c r="C195" s="45"/>
      <c r="D195" s="45"/>
      <c r="E195" s="45"/>
      <c r="F195" s="45"/>
      <c r="G195" s="45"/>
    </row>
    <row r="196" spans="1:7" ht="15.75" customHeight="1">
      <c r="A196" s="45"/>
      <c r="B196" s="45"/>
      <c r="C196" s="45"/>
      <c r="D196" s="45"/>
      <c r="E196" s="45"/>
      <c r="F196" s="45"/>
      <c r="G196" s="45"/>
    </row>
    <row r="197" spans="1:7" ht="15.75" customHeight="1">
      <c r="A197" s="45"/>
      <c r="B197" s="45"/>
      <c r="C197" s="45"/>
      <c r="D197" s="45"/>
      <c r="E197" s="45"/>
      <c r="F197" s="45"/>
      <c r="G197" s="45"/>
    </row>
    <row r="198" spans="1:7" ht="15.75" customHeight="1">
      <c r="A198" s="45"/>
      <c r="B198" s="45"/>
      <c r="C198" s="45"/>
      <c r="D198" s="45"/>
      <c r="E198" s="45"/>
      <c r="F198" s="45"/>
      <c r="G198" s="45"/>
    </row>
    <row r="199" spans="1:7" ht="15.75" customHeight="1">
      <c r="A199" s="45"/>
      <c r="B199" s="45"/>
      <c r="C199" s="45"/>
      <c r="D199" s="45"/>
      <c r="E199" s="45"/>
      <c r="F199" s="45"/>
      <c r="G199" s="45"/>
    </row>
    <row r="200" spans="1:7" ht="15.75" customHeight="1">
      <c r="A200" s="45"/>
      <c r="B200" s="45"/>
      <c r="C200" s="45"/>
      <c r="D200" s="45"/>
      <c r="E200" s="45"/>
      <c r="F200" s="45"/>
      <c r="G200" s="45"/>
    </row>
    <row r="201" spans="1:7" ht="15.75" customHeight="1">
      <c r="A201" s="45"/>
      <c r="B201" s="45"/>
      <c r="C201" s="45"/>
      <c r="D201" s="45"/>
      <c r="E201" s="45"/>
      <c r="F201" s="45"/>
      <c r="G201" s="45"/>
    </row>
    <row r="202" spans="1:7" ht="15.75" customHeight="1">
      <c r="A202" s="45"/>
      <c r="B202" s="45"/>
      <c r="C202" s="45"/>
      <c r="D202" s="45"/>
      <c r="E202" s="45"/>
      <c r="F202" s="45"/>
      <c r="G202" s="45"/>
    </row>
    <row r="203" spans="1:7" ht="15.75" customHeight="1">
      <c r="A203" s="45"/>
      <c r="B203" s="45"/>
      <c r="C203" s="45"/>
      <c r="D203" s="45"/>
      <c r="E203" s="45"/>
      <c r="F203" s="45"/>
      <c r="G203" s="45"/>
    </row>
    <row r="204" spans="1:7" ht="15.75" customHeight="1">
      <c r="A204" s="45"/>
      <c r="B204" s="45"/>
      <c r="C204" s="45"/>
      <c r="D204" s="45"/>
      <c r="E204" s="45"/>
      <c r="F204" s="45"/>
      <c r="G204" s="45"/>
    </row>
    <row r="205" spans="1:7" ht="15.75" customHeight="1">
      <c r="A205" s="45"/>
      <c r="B205" s="45"/>
      <c r="C205" s="45"/>
      <c r="D205" s="45"/>
      <c r="E205" s="45"/>
      <c r="F205" s="45"/>
      <c r="G205" s="45"/>
    </row>
    <row r="206" spans="1:7" ht="15.75" customHeight="1">
      <c r="A206" s="45"/>
      <c r="B206" s="45"/>
      <c r="C206" s="45"/>
      <c r="D206" s="45"/>
      <c r="E206" s="45"/>
      <c r="F206" s="45"/>
      <c r="G206" s="45"/>
    </row>
    <row r="207" spans="1:7" ht="15.75" customHeight="1">
      <c r="A207" s="45"/>
      <c r="B207" s="45"/>
      <c r="C207" s="45"/>
      <c r="D207" s="45"/>
      <c r="E207" s="45"/>
      <c r="F207" s="45"/>
      <c r="G207" s="45"/>
    </row>
    <row r="208" spans="1:7" ht="15.75" customHeight="1">
      <c r="A208" s="45"/>
      <c r="B208" s="45"/>
      <c r="C208" s="45"/>
      <c r="D208" s="45"/>
      <c r="E208" s="45"/>
      <c r="F208" s="45"/>
      <c r="G208" s="45"/>
    </row>
    <row r="209" spans="1:7" ht="15.75" customHeight="1">
      <c r="A209" s="45"/>
      <c r="B209" s="45"/>
      <c r="C209" s="45"/>
      <c r="D209" s="45"/>
      <c r="E209" s="45"/>
      <c r="F209" s="45"/>
      <c r="G209" s="45"/>
    </row>
    <row r="210" spans="1:7" ht="15.75" customHeight="1">
      <c r="A210" s="45"/>
      <c r="B210" s="45"/>
      <c r="C210" s="45"/>
      <c r="D210" s="45"/>
      <c r="E210" s="45"/>
      <c r="F210" s="45"/>
      <c r="G210" s="45"/>
    </row>
    <row r="211" spans="1:7" ht="15.75" customHeight="1">
      <c r="A211" s="45"/>
      <c r="B211" s="45"/>
      <c r="C211" s="45"/>
      <c r="D211" s="45"/>
      <c r="E211" s="45"/>
      <c r="F211" s="45"/>
      <c r="G211" s="45"/>
    </row>
    <row r="212" spans="1:7" ht="15.75" customHeight="1">
      <c r="A212" s="45"/>
      <c r="B212" s="45"/>
      <c r="C212" s="45"/>
      <c r="D212" s="45"/>
      <c r="E212" s="45"/>
      <c r="F212" s="45"/>
      <c r="G212" s="45"/>
    </row>
    <row r="213" spans="1:7" ht="15.75" customHeight="1">
      <c r="A213" s="45"/>
      <c r="B213" s="45"/>
      <c r="C213" s="45"/>
      <c r="D213" s="45"/>
      <c r="E213" s="45"/>
      <c r="F213" s="45"/>
      <c r="G213" s="45"/>
    </row>
    <row r="214" spans="1:7" ht="15.75" customHeight="1">
      <c r="A214" s="45"/>
      <c r="B214" s="45"/>
      <c r="C214" s="45"/>
      <c r="D214" s="45"/>
      <c r="E214" s="45"/>
      <c r="F214" s="45"/>
      <c r="G214" s="45"/>
    </row>
    <row r="215" spans="1:7" ht="15.75" customHeight="1">
      <c r="A215" s="45"/>
      <c r="B215" s="45"/>
      <c r="C215" s="45"/>
      <c r="D215" s="45"/>
      <c r="E215" s="45"/>
      <c r="F215" s="45"/>
      <c r="G215" s="45"/>
    </row>
    <row r="216" spans="1:7" ht="15.75" customHeight="1">
      <c r="A216" s="45"/>
      <c r="B216" s="45"/>
      <c r="C216" s="45"/>
      <c r="D216" s="45"/>
      <c r="E216" s="45"/>
      <c r="F216" s="45"/>
      <c r="G216" s="45"/>
    </row>
    <row r="217" spans="1:7" ht="15.75" customHeight="1">
      <c r="A217" s="45"/>
      <c r="B217" s="45"/>
      <c r="C217" s="45"/>
      <c r="D217" s="45"/>
      <c r="E217" s="45"/>
      <c r="F217" s="45"/>
      <c r="G217" s="45"/>
    </row>
    <row r="218" spans="1:7" ht="15.75" customHeight="1">
      <c r="A218" s="45"/>
      <c r="B218" s="45"/>
      <c r="C218" s="45"/>
      <c r="D218" s="45"/>
      <c r="E218" s="45"/>
      <c r="F218" s="45"/>
      <c r="G218" s="45"/>
    </row>
    <row r="219" spans="1:7" ht="15.75" customHeight="1">
      <c r="A219" s="45"/>
      <c r="B219" s="45"/>
      <c r="C219" s="45"/>
      <c r="D219" s="45"/>
      <c r="E219" s="45"/>
      <c r="F219" s="45"/>
      <c r="G219" s="45"/>
    </row>
    <row r="220" spans="1:7" ht="15.75" customHeight="1">
      <c r="A220" s="45"/>
      <c r="B220" s="45"/>
      <c r="C220" s="45"/>
      <c r="D220" s="45"/>
      <c r="E220" s="45"/>
      <c r="F220" s="45"/>
      <c r="G220" s="45"/>
    </row>
    <row r="221" spans="1:7" ht="15.75" customHeight="1">
      <c r="A221" s="45"/>
      <c r="B221" s="45"/>
      <c r="C221" s="45"/>
      <c r="D221" s="45"/>
      <c r="E221" s="45"/>
      <c r="F221" s="45"/>
      <c r="G221" s="45"/>
    </row>
    <row r="222" spans="1:7" ht="15.75" customHeight="1">
      <c r="A222" s="45"/>
      <c r="B222" s="45"/>
      <c r="C222" s="45"/>
      <c r="D222" s="45"/>
      <c r="E222" s="45"/>
      <c r="F222" s="45"/>
      <c r="G222" s="45"/>
    </row>
    <row r="223" spans="1:7" ht="15.75" customHeight="1">
      <c r="A223" s="45"/>
      <c r="B223" s="45"/>
      <c r="C223" s="45"/>
      <c r="D223" s="45"/>
      <c r="E223" s="45"/>
      <c r="F223" s="45"/>
      <c r="G223" s="45"/>
    </row>
    <row r="224" spans="1:7" ht="15.75" customHeight="1">
      <c r="A224" s="45"/>
      <c r="B224" s="45"/>
      <c r="C224" s="45"/>
      <c r="D224" s="45"/>
      <c r="E224" s="45"/>
      <c r="F224" s="45"/>
      <c r="G224" s="45"/>
    </row>
    <row r="225" spans="1:7" ht="15.75" customHeight="1">
      <c r="A225" s="45"/>
      <c r="B225" s="45"/>
      <c r="C225" s="45"/>
      <c r="D225" s="45"/>
      <c r="E225" s="45"/>
      <c r="F225" s="45"/>
      <c r="G225" s="45"/>
    </row>
    <row r="226" spans="1:7" ht="15.75" customHeight="1">
      <c r="A226" s="45"/>
      <c r="B226" s="45"/>
      <c r="C226" s="45"/>
      <c r="D226" s="45"/>
      <c r="E226" s="45"/>
      <c r="F226" s="45"/>
      <c r="G226" s="45"/>
    </row>
    <row r="227" spans="1:7" ht="15.75" customHeight="1">
      <c r="A227" s="45"/>
      <c r="B227" s="45"/>
      <c r="C227" s="45"/>
      <c r="D227" s="45"/>
      <c r="E227" s="45"/>
      <c r="F227" s="45"/>
      <c r="G227" s="45"/>
    </row>
    <row r="228" spans="1:7" ht="15.75" customHeight="1">
      <c r="A228" s="45"/>
      <c r="B228" s="45"/>
      <c r="C228" s="45"/>
      <c r="D228" s="45"/>
      <c r="E228" s="45"/>
      <c r="F228" s="45"/>
      <c r="G228" s="45"/>
    </row>
    <row r="229" spans="1:7" ht="15.75" customHeight="1">
      <c r="A229" s="45"/>
      <c r="B229" s="45"/>
      <c r="C229" s="45"/>
      <c r="D229" s="45"/>
      <c r="E229" s="45"/>
      <c r="F229" s="45"/>
      <c r="G229" s="45"/>
    </row>
    <row r="230" spans="1:7" ht="15.75" customHeight="1">
      <c r="A230" s="45"/>
      <c r="B230" s="45"/>
      <c r="C230" s="45"/>
      <c r="D230" s="45"/>
      <c r="E230" s="45"/>
      <c r="F230" s="45"/>
      <c r="G230" s="45"/>
    </row>
    <row r="231" spans="1:7" ht="15.75" customHeight="1">
      <c r="A231" s="45"/>
      <c r="B231" s="45"/>
      <c r="C231" s="45"/>
      <c r="D231" s="45"/>
      <c r="E231" s="45"/>
      <c r="F231" s="45"/>
      <c r="G231" s="45"/>
    </row>
    <row r="232" spans="1:7" ht="15.75" customHeight="1">
      <c r="A232" s="45"/>
      <c r="B232" s="45"/>
      <c r="C232" s="45"/>
      <c r="D232" s="45"/>
      <c r="E232" s="45"/>
      <c r="F232" s="45"/>
      <c r="G232" s="45"/>
    </row>
    <row r="233" spans="1:7" ht="15.75" customHeight="1">
      <c r="A233" s="45"/>
      <c r="B233" s="45"/>
      <c r="C233" s="45"/>
      <c r="D233" s="45"/>
      <c r="E233" s="45"/>
      <c r="F233" s="45"/>
      <c r="G233" s="45"/>
    </row>
    <row r="234" spans="1:7" ht="15.75" customHeight="1">
      <c r="A234" s="45"/>
      <c r="B234" s="45"/>
      <c r="C234" s="45"/>
      <c r="D234" s="45"/>
      <c r="E234" s="45"/>
      <c r="F234" s="45"/>
      <c r="G234" s="45"/>
    </row>
    <row r="235" spans="1:7" ht="15.75" customHeight="1">
      <c r="A235" s="45"/>
      <c r="B235" s="45"/>
      <c r="C235" s="45"/>
      <c r="D235" s="45"/>
      <c r="E235" s="45"/>
      <c r="F235" s="45"/>
      <c r="G235" s="45"/>
    </row>
    <row r="236" spans="1:7" ht="15.75" customHeight="1">
      <c r="A236" s="45"/>
      <c r="B236" s="45"/>
      <c r="C236" s="45"/>
      <c r="D236" s="45"/>
      <c r="E236" s="45"/>
      <c r="F236" s="45"/>
      <c r="G236" s="45"/>
    </row>
    <row r="237" spans="1:7" ht="15.75" customHeight="1">
      <c r="A237" s="45"/>
      <c r="B237" s="45"/>
      <c r="C237" s="45"/>
      <c r="D237" s="45"/>
      <c r="E237" s="45"/>
      <c r="F237" s="45"/>
      <c r="G237" s="45"/>
    </row>
    <row r="238" spans="1:7" ht="15.75" customHeight="1">
      <c r="A238" s="45"/>
      <c r="B238" s="45"/>
      <c r="C238" s="45"/>
      <c r="D238" s="45"/>
      <c r="E238" s="45"/>
      <c r="F238" s="45"/>
      <c r="G238" s="45"/>
    </row>
    <row r="239" spans="1:7" ht="15.75" customHeight="1">
      <c r="A239" s="45"/>
      <c r="B239" s="45"/>
      <c r="C239" s="45"/>
      <c r="D239" s="45"/>
      <c r="E239" s="45"/>
      <c r="F239" s="45"/>
      <c r="G239" s="45"/>
    </row>
    <row r="240" spans="1:7" ht="15.75" customHeight="1">
      <c r="A240" s="45"/>
      <c r="B240" s="45"/>
      <c r="C240" s="45"/>
      <c r="D240" s="45"/>
      <c r="E240" s="45"/>
      <c r="F240" s="45"/>
      <c r="G240" s="45"/>
    </row>
    <row r="241" spans="1:7" ht="15.75" customHeight="1">
      <c r="A241" s="45"/>
      <c r="B241" s="45"/>
      <c r="C241" s="45"/>
      <c r="D241" s="45"/>
      <c r="E241" s="45"/>
      <c r="F241" s="45"/>
      <c r="G241" s="45"/>
    </row>
    <row r="242" spans="1:7" ht="15.75" customHeight="1">
      <c r="A242" s="45"/>
      <c r="B242" s="45"/>
      <c r="C242" s="45"/>
      <c r="D242" s="45"/>
      <c r="E242" s="45"/>
      <c r="F242" s="45"/>
      <c r="G242" s="45"/>
    </row>
    <row r="243" spans="1:7" ht="15.75" customHeight="1">
      <c r="A243" s="45"/>
      <c r="B243" s="45"/>
      <c r="C243" s="45"/>
      <c r="D243" s="45"/>
      <c r="E243" s="45"/>
      <c r="F243" s="45"/>
      <c r="G243" s="45"/>
    </row>
    <row r="244" spans="1:7" ht="15.75" customHeight="1">
      <c r="A244" s="45"/>
      <c r="B244" s="45"/>
      <c r="C244" s="45"/>
      <c r="D244" s="45"/>
      <c r="E244" s="45"/>
      <c r="F244" s="45"/>
      <c r="G244" s="45"/>
    </row>
    <row r="245" spans="1:7" ht="15.75" customHeight="1">
      <c r="A245" s="45"/>
      <c r="B245" s="45"/>
      <c r="C245" s="45"/>
      <c r="D245" s="45"/>
      <c r="E245" s="45"/>
      <c r="F245" s="45"/>
      <c r="G245" s="45"/>
    </row>
    <row r="246" spans="1:7" ht="15.75" customHeight="1">
      <c r="A246" s="45"/>
      <c r="B246" s="45"/>
      <c r="C246" s="45"/>
      <c r="D246" s="45"/>
      <c r="E246" s="45"/>
      <c r="F246" s="45"/>
      <c r="G246" s="45"/>
    </row>
    <row r="247" spans="1:7" ht="15.75" customHeight="1">
      <c r="A247" s="45"/>
      <c r="B247" s="45"/>
      <c r="C247" s="45"/>
      <c r="D247" s="45"/>
      <c r="E247" s="45"/>
      <c r="F247" s="45"/>
      <c r="G247" s="45"/>
    </row>
    <row r="248" spans="1:7" ht="15.75" customHeight="1">
      <c r="A248" s="45"/>
      <c r="B248" s="45"/>
      <c r="C248" s="45"/>
      <c r="D248" s="45"/>
      <c r="E248" s="45"/>
      <c r="F248" s="45"/>
      <c r="G248" s="45"/>
    </row>
    <row r="249" spans="1:7" ht="15.75" customHeight="1">
      <c r="A249" s="45"/>
      <c r="B249" s="45"/>
      <c r="C249" s="45"/>
      <c r="D249" s="45"/>
      <c r="E249" s="45"/>
      <c r="F249" s="45"/>
      <c r="G249" s="45"/>
    </row>
    <row r="250" spans="1:7" ht="15.75" customHeight="1">
      <c r="A250" s="45"/>
      <c r="B250" s="45"/>
      <c r="C250" s="45"/>
      <c r="D250" s="45"/>
      <c r="E250" s="45"/>
      <c r="F250" s="45"/>
      <c r="G250" s="45"/>
    </row>
    <row r="251" spans="1:7" ht="15.75" customHeight="1">
      <c r="A251" s="45"/>
      <c r="B251" s="45"/>
      <c r="C251" s="45"/>
      <c r="D251" s="45"/>
      <c r="E251" s="45"/>
      <c r="F251" s="45"/>
      <c r="G251" s="45"/>
    </row>
    <row r="252" spans="1:7" ht="15.75" customHeight="1">
      <c r="A252" s="45"/>
      <c r="B252" s="45"/>
      <c r="C252" s="45"/>
      <c r="D252" s="45"/>
      <c r="E252" s="45"/>
      <c r="F252" s="45"/>
      <c r="G252" s="45"/>
    </row>
    <row r="253" spans="1:7" ht="15.75" customHeight="1">
      <c r="A253" s="45"/>
      <c r="B253" s="45"/>
      <c r="C253" s="45"/>
      <c r="D253" s="45"/>
      <c r="E253" s="45"/>
      <c r="F253" s="45"/>
      <c r="G253" s="45"/>
    </row>
    <row r="254" spans="1:7" ht="15.75" customHeight="1">
      <c r="A254" s="45"/>
      <c r="B254" s="45"/>
      <c r="C254" s="45"/>
      <c r="D254" s="45"/>
      <c r="E254" s="45"/>
      <c r="F254" s="45"/>
      <c r="G254" s="45"/>
    </row>
    <row r="255" spans="1:7" ht="15.75" customHeight="1">
      <c r="A255" s="45"/>
      <c r="B255" s="45"/>
      <c r="C255" s="45"/>
      <c r="D255" s="45"/>
      <c r="E255" s="45"/>
      <c r="F255" s="45"/>
      <c r="G255" s="45"/>
    </row>
    <row r="256" spans="1:7"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9">
    <mergeCell ref="A41:A46"/>
    <mergeCell ref="A49:A54"/>
    <mergeCell ref="A17:A22"/>
    <mergeCell ref="I17:I22"/>
    <mergeCell ref="A25:A30"/>
    <mergeCell ref="I25:I30"/>
    <mergeCell ref="A33:A38"/>
    <mergeCell ref="I33:I38"/>
    <mergeCell ref="I41:I46"/>
    <mergeCell ref="I49:I54"/>
    <mergeCell ref="J6:K6"/>
    <mergeCell ref="I9:I14"/>
    <mergeCell ref="A1:P1"/>
    <mergeCell ref="B4:C4"/>
    <mergeCell ref="J4:K4"/>
    <mergeCell ref="B5:C5"/>
    <mergeCell ref="J5:K5"/>
    <mergeCell ref="B6:C6"/>
    <mergeCell ref="A9:A1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prompt="O alimento não se encontra na base de dados" xr:uid="{00000000-0002-0000-0700-000000000000}">
          <x14:formula1>
            <xm:f>'Base dados dieta'!$A$2:$A$799</xm:f>
          </x14:formula1>
          <xm:sqref>B9:B14 J9:J14 B17:B22 J17:J22 B25:B30 J25:J30 B33:B38 J33:J38 B41:B46 J41:J46 B49:B54 J49:J54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375"/>
  <sheetViews>
    <sheetView showGridLines="0" workbookViewId="0">
      <pane ySplit="1" topLeftCell="A2" activePane="bottomLeft" state="frozen"/>
      <selection pane="bottomLeft" activeCell="B3" sqref="B3"/>
    </sheetView>
  </sheetViews>
  <sheetFormatPr defaultColWidth="12.6328125" defaultRowHeight="15" customHeight="1"/>
  <cols>
    <col min="1" max="1" width="22.6328125" customWidth="1"/>
    <col min="2" max="2" width="7.36328125" customWidth="1"/>
    <col min="3" max="3" width="5.90625" customWidth="1"/>
    <col min="4" max="6" width="8.7265625" customWidth="1"/>
    <col min="7" max="7" width="6.7265625" customWidth="1"/>
    <col min="10" max="12" width="9.453125" customWidth="1"/>
  </cols>
  <sheetData>
    <row r="1" spans="1:7" ht="27" customHeight="1">
      <c r="A1" s="348" t="s">
        <v>902</v>
      </c>
      <c r="B1" s="348" t="s">
        <v>910</v>
      </c>
      <c r="C1" s="348" t="s">
        <v>911</v>
      </c>
      <c r="D1" s="348" t="s">
        <v>18</v>
      </c>
      <c r="E1" s="348" t="s">
        <v>21</v>
      </c>
      <c r="F1" s="348" t="s">
        <v>20</v>
      </c>
      <c r="G1" s="349"/>
    </row>
    <row r="2" spans="1:7" ht="15.75" customHeight="1">
      <c r="A2" s="350" t="s">
        <v>912</v>
      </c>
      <c r="B2" s="351">
        <v>100</v>
      </c>
      <c r="C2" s="351" t="s">
        <v>913</v>
      </c>
      <c r="D2" s="352">
        <v>32</v>
      </c>
      <c r="E2" s="352">
        <v>2.5</v>
      </c>
      <c r="F2" s="352">
        <v>0</v>
      </c>
    </row>
    <row r="3" spans="1:7" ht="15.75" customHeight="1">
      <c r="A3" s="350" t="s">
        <v>914</v>
      </c>
      <c r="B3" s="351">
        <v>100</v>
      </c>
      <c r="C3" s="351" t="s">
        <v>913</v>
      </c>
      <c r="D3" s="352">
        <v>24</v>
      </c>
      <c r="E3" s="352">
        <v>2</v>
      </c>
      <c r="F3" s="352">
        <v>0</v>
      </c>
    </row>
    <row r="4" spans="1:7" ht="15.75" customHeight="1">
      <c r="A4" s="350" t="s">
        <v>915</v>
      </c>
      <c r="B4" s="351">
        <v>100</v>
      </c>
      <c r="C4" s="351" t="s">
        <v>913</v>
      </c>
      <c r="D4" s="352">
        <v>15.6</v>
      </c>
      <c r="E4" s="352">
        <v>0.9</v>
      </c>
      <c r="F4" s="352">
        <v>0</v>
      </c>
    </row>
    <row r="5" spans="1:7" ht="15.75" customHeight="1">
      <c r="A5" s="350" t="s">
        <v>916</v>
      </c>
      <c r="B5" s="351">
        <v>100</v>
      </c>
      <c r="C5" s="351" t="s">
        <v>913</v>
      </c>
      <c r="D5" s="352">
        <v>32.5</v>
      </c>
      <c r="E5" s="352">
        <v>1.6</v>
      </c>
      <c r="F5" s="352">
        <v>0</v>
      </c>
    </row>
    <row r="6" spans="1:7" ht="15.75" customHeight="1">
      <c r="A6" s="350" t="s">
        <v>917</v>
      </c>
      <c r="B6" s="351">
        <v>100</v>
      </c>
      <c r="C6" s="351" t="s">
        <v>913</v>
      </c>
      <c r="D6" s="352">
        <v>19</v>
      </c>
      <c r="E6" s="352">
        <v>0.5</v>
      </c>
      <c r="F6" s="352">
        <v>0.5</v>
      </c>
    </row>
    <row r="7" spans="1:7" ht="15.75" customHeight="1">
      <c r="A7" s="350" t="s">
        <v>918</v>
      </c>
      <c r="B7" s="351">
        <v>100</v>
      </c>
      <c r="C7" s="351" t="s">
        <v>913</v>
      </c>
      <c r="D7" s="352">
        <v>20.100000000000001</v>
      </c>
      <c r="E7" s="352">
        <v>0.9</v>
      </c>
      <c r="F7" s="352">
        <v>0</v>
      </c>
    </row>
    <row r="8" spans="1:7" ht="15.75" customHeight="1">
      <c r="A8" s="350" t="s">
        <v>919</v>
      </c>
      <c r="B8" s="351">
        <v>100</v>
      </c>
      <c r="C8" s="351" t="s">
        <v>913</v>
      </c>
      <c r="D8" s="352">
        <v>75</v>
      </c>
      <c r="E8" s="352">
        <v>6.5</v>
      </c>
      <c r="F8" s="352">
        <v>6.5</v>
      </c>
    </row>
    <row r="9" spans="1:7" ht="15.75" customHeight="1">
      <c r="A9" s="350" t="s">
        <v>920</v>
      </c>
      <c r="B9" s="351">
        <v>100</v>
      </c>
      <c r="C9" s="351" t="s">
        <v>913</v>
      </c>
      <c r="D9" s="352">
        <v>22.4</v>
      </c>
      <c r="E9" s="352">
        <v>1</v>
      </c>
      <c r="F9" s="352">
        <v>0.4</v>
      </c>
    </row>
    <row r="10" spans="1:7" ht="15.75" customHeight="1">
      <c r="A10" s="350" t="s">
        <v>921</v>
      </c>
      <c r="B10" s="351">
        <v>100</v>
      </c>
      <c r="C10" s="351" t="s">
        <v>913</v>
      </c>
      <c r="D10" s="352">
        <v>10</v>
      </c>
      <c r="E10" s="352">
        <v>0</v>
      </c>
      <c r="F10" s="352">
        <v>0.7</v>
      </c>
    </row>
    <row r="11" spans="1:7" ht="15.75" customHeight="1">
      <c r="A11" s="350" t="s">
        <v>922</v>
      </c>
      <c r="B11" s="351">
        <v>100</v>
      </c>
      <c r="C11" s="351" t="s">
        <v>913</v>
      </c>
      <c r="D11" s="352">
        <v>22.1</v>
      </c>
      <c r="E11" s="352">
        <v>1.6</v>
      </c>
      <c r="F11" s="352">
        <v>3.5</v>
      </c>
    </row>
    <row r="12" spans="1:7" ht="15.75" customHeight="1">
      <c r="A12" s="350" t="s">
        <v>923</v>
      </c>
      <c r="B12" s="351">
        <v>100</v>
      </c>
      <c r="C12" s="351" t="s">
        <v>913</v>
      </c>
      <c r="D12" s="352">
        <v>47</v>
      </c>
      <c r="E12" s="352">
        <v>1.3</v>
      </c>
      <c r="F12" s="352">
        <v>17.899999999999999</v>
      </c>
    </row>
    <row r="13" spans="1:7" ht="15.75" customHeight="1">
      <c r="A13" s="350" t="s">
        <v>924</v>
      </c>
      <c r="B13" s="351">
        <v>100</v>
      </c>
      <c r="C13" s="351" t="s">
        <v>913</v>
      </c>
      <c r="D13" s="352">
        <v>11</v>
      </c>
      <c r="E13" s="352">
        <v>0.2</v>
      </c>
      <c r="F13" s="352">
        <v>4</v>
      </c>
    </row>
    <row r="14" spans="1:7" ht="15.75" customHeight="1">
      <c r="A14" s="350" t="s">
        <v>925</v>
      </c>
      <c r="B14" s="351">
        <v>100</v>
      </c>
      <c r="C14" s="351" t="s">
        <v>913</v>
      </c>
      <c r="D14" s="352">
        <v>15.6</v>
      </c>
      <c r="E14" s="352">
        <v>2.9</v>
      </c>
      <c r="F14" s="352">
        <v>9.9</v>
      </c>
    </row>
    <row r="15" spans="1:7" ht="15.75" customHeight="1">
      <c r="A15" s="350" t="s">
        <v>926</v>
      </c>
      <c r="B15" s="351">
        <v>100</v>
      </c>
      <c r="C15" s="351" t="s">
        <v>913</v>
      </c>
      <c r="D15" s="352">
        <v>12</v>
      </c>
      <c r="E15" s="352">
        <v>0.3</v>
      </c>
      <c r="F15" s="352">
        <v>3.9</v>
      </c>
    </row>
    <row r="16" spans="1:7" ht="15.75" customHeight="1">
      <c r="A16" s="350" t="s">
        <v>927</v>
      </c>
      <c r="B16" s="351">
        <v>100</v>
      </c>
      <c r="C16" s="351" t="s">
        <v>913</v>
      </c>
      <c r="D16" s="352">
        <v>12</v>
      </c>
      <c r="E16" s="352">
        <v>1</v>
      </c>
      <c r="F16" s="352">
        <v>8.5</v>
      </c>
    </row>
    <row r="17" spans="1:6" ht="15.75" customHeight="1">
      <c r="A17" s="350" t="s">
        <v>928</v>
      </c>
      <c r="B17" s="351">
        <v>100</v>
      </c>
      <c r="C17" s="351" t="s">
        <v>913</v>
      </c>
      <c r="D17" s="352">
        <v>3.1</v>
      </c>
      <c r="E17" s="352">
        <v>0.1</v>
      </c>
      <c r="F17" s="352">
        <v>4.5</v>
      </c>
    </row>
    <row r="18" spans="1:6" ht="15.75" customHeight="1">
      <c r="A18" s="350" t="s">
        <v>929</v>
      </c>
      <c r="B18" s="351">
        <v>100</v>
      </c>
      <c r="C18" s="351" t="s">
        <v>913</v>
      </c>
      <c r="D18" s="352">
        <v>7.2</v>
      </c>
      <c r="E18" s="352">
        <v>0.5</v>
      </c>
      <c r="F18" s="352">
        <v>13</v>
      </c>
    </row>
    <row r="19" spans="1:6" ht="15.75" customHeight="1">
      <c r="A19" s="350" t="s">
        <v>930</v>
      </c>
      <c r="B19" s="351">
        <v>100</v>
      </c>
      <c r="C19" s="351" t="s">
        <v>913</v>
      </c>
      <c r="D19" s="352">
        <v>25.4</v>
      </c>
      <c r="E19" s="352">
        <v>8.1</v>
      </c>
      <c r="F19" s="352">
        <v>0</v>
      </c>
    </row>
    <row r="20" spans="1:6" ht="15.75" customHeight="1">
      <c r="A20" s="350" t="s">
        <v>931</v>
      </c>
      <c r="B20" s="351">
        <v>100</v>
      </c>
      <c r="C20" s="351" t="s">
        <v>913</v>
      </c>
      <c r="D20" s="352">
        <v>29.1</v>
      </c>
      <c r="E20" s="352">
        <v>8.1</v>
      </c>
      <c r="F20" s="352">
        <v>0</v>
      </c>
    </row>
    <row r="21" spans="1:6" ht="15.75" customHeight="1">
      <c r="A21" s="350" t="s">
        <v>932</v>
      </c>
      <c r="B21" s="351">
        <v>100</v>
      </c>
      <c r="C21" s="351" t="s">
        <v>913</v>
      </c>
      <c r="D21" s="352">
        <v>27.3</v>
      </c>
      <c r="E21" s="352">
        <v>8.1999999999999993</v>
      </c>
      <c r="F21" s="352">
        <v>0</v>
      </c>
    </row>
    <row r="22" spans="1:6" ht="15.75" customHeight="1">
      <c r="A22" s="350" t="s">
        <v>933</v>
      </c>
      <c r="B22" s="351">
        <v>100</v>
      </c>
      <c r="C22" s="351" t="s">
        <v>913</v>
      </c>
      <c r="D22" s="352">
        <v>10</v>
      </c>
      <c r="E22" s="352">
        <v>4.3</v>
      </c>
      <c r="F22" s="352">
        <v>3.8</v>
      </c>
    </row>
    <row r="23" spans="1:6" ht="15.75" customHeight="1">
      <c r="A23" s="350" t="s">
        <v>934</v>
      </c>
      <c r="B23" s="351">
        <v>100</v>
      </c>
      <c r="C23" s="351" t="s">
        <v>913</v>
      </c>
      <c r="D23" s="352">
        <v>5.8</v>
      </c>
      <c r="E23" s="352">
        <v>2.2999999999999998</v>
      </c>
      <c r="F23" s="352">
        <v>14</v>
      </c>
    </row>
    <row r="24" spans="1:6" ht="15.75" customHeight="1">
      <c r="A24" s="350" t="s">
        <v>935</v>
      </c>
      <c r="B24" s="351">
        <v>125</v>
      </c>
      <c r="C24" s="351" t="s">
        <v>913</v>
      </c>
      <c r="D24" s="352">
        <v>25.6</v>
      </c>
      <c r="E24" s="352">
        <v>10.6</v>
      </c>
      <c r="F24" s="352">
        <v>1</v>
      </c>
    </row>
    <row r="25" spans="1:6" ht="15.75" customHeight="1">
      <c r="A25" s="350" t="s">
        <v>936</v>
      </c>
      <c r="B25" s="351">
        <v>100</v>
      </c>
      <c r="C25" s="351" t="s">
        <v>913</v>
      </c>
      <c r="D25" s="352">
        <v>14.2</v>
      </c>
      <c r="E25" s="352">
        <v>7</v>
      </c>
      <c r="F25" s="352">
        <v>1.6</v>
      </c>
    </row>
    <row r="26" spans="1:6" ht="15.75" customHeight="1">
      <c r="A26" s="350" t="s">
        <v>937</v>
      </c>
      <c r="B26" s="351">
        <v>100</v>
      </c>
      <c r="C26" s="351" t="s">
        <v>913</v>
      </c>
      <c r="D26" s="352">
        <v>18.100000000000001</v>
      </c>
      <c r="E26" s="352">
        <v>14.4</v>
      </c>
      <c r="F26" s="352">
        <v>0</v>
      </c>
    </row>
    <row r="27" spans="1:6" ht="15.75" customHeight="1">
      <c r="A27" s="350" t="s">
        <v>938</v>
      </c>
      <c r="B27" s="351">
        <v>100</v>
      </c>
      <c r="C27" s="351" t="s">
        <v>913</v>
      </c>
      <c r="D27" s="352">
        <v>22.3</v>
      </c>
      <c r="E27" s="352">
        <v>9.8000000000000007</v>
      </c>
      <c r="F27" s="352">
        <v>0</v>
      </c>
    </row>
    <row r="28" spans="1:6" ht="15.75" customHeight="1">
      <c r="A28" s="350" t="s">
        <v>939</v>
      </c>
      <c r="B28" s="351">
        <v>100</v>
      </c>
      <c r="C28" s="351" t="s">
        <v>913</v>
      </c>
      <c r="D28" s="352">
        <v>24</v>
      </c>
      <c r="E28" s="352">
        <v>7.6</v>
      </c>
      <c r="F28" s="352">
        <v>0.5</v>
      </c>
    </row>
    <row r="29" spans="1:6" ht="15.75" customHeight="1">
      <c r="A29" s="350" t="s">
        <v>940</v>
      </c>
      <c r="B29" s="351">
        <v>100</v>
      </c>
      <c r="C29" s="351" t="s">
        <v>913</v>
      </c>
      <c r="D29" s="352">
        <v>6.7</v>
      </c>
      <c r="E29" s="352">
        <v>23.9</v>
      </c>
      <c r="F29" s="352">
        <v>3.2</v>
      </c>
    </row>
    <row r="30" spans="1:6" ht="15.75" customHeight="1">
      <c r="A30" s="350" t="s">
        <v>941</v>
      </c>
      <c r="B30" s="351">
        <v>100</v>
      </c>
      <c r="C30" s="351" t="s">
        <v>913</v>
      </c>
      <c r="D30" s="352">
        <v>3.4</v>
      </c>
      <c r="E30" s="352">
        <v>1.6</v>
      </c>
      <c r="F30" s="352">
        <v>4.9000000000000004</v>
      </c>
    </row>
    <row r="31" spans="1:6" ht="15.75" customHeight="1">
      <c r="A31" s="350" t="s">
        <v>942</v>
      </c>
      <c r="B31" s="351">
        <v>100</v>
      </c>
      <c r="C31" s="351" t="s">
        <v>913</v>
      </c>
      <c r="D31" s="352">
        <v>24</v>
      </c>
      <c r="E31" s="352">
        <v>19.3</v>
      </c>
      <c r="F31" s="352">
        <v>0</v>
      </c>
    </row>
    <row r="32" spans="1:6" ht="15.75" customHeight="1">
      <c r="A32" s="350" t="s">
        <v>943</v>
      </c>
      <c r="B32" s="351">
        <v>100</v>
      </c>
      <c r="C32" s="351" t="s">
        <v>913</v>
      </c>
      <c r="D32" s="352">
        <v>24</v>
      </c>
      <c r="E32" s="352">
        <v>21</v>
      </c>
      <c r="F32" s="352">
        <v>1</v>
      </c>
    </row>
    <row r="33" spans="1:6" ht="15.75" customHeight="1">
      <c r="A33" s="350" t="s">
        <v>944</v>
      </c>
      <c r="B33" s="351">
        <v>1</v>
      </c>
      <c r="C33" s="351" t="s">
        <v>945</v>
      </c>
      <c r="D33" s="352">
        <v>5.8</v>
      </c>
      <c r="E33" s="352">
        <v>5.2</v>
      </c>
      <c r="F33" s="352">
        <v>0.5</v>
      </c>
    </row>
    <row r="34" spans="1:6" ht="15.75" customHeight="1">
      <c r="A34" s="350" t="s">
        <v>946</v>
      </c>
      <c r="B34" s="351">
        <v>125</v>
      </c>
      <c r="C34" s="351" t="s">
        <v>913</v>
      </c>
      <c r="D34" s="352">
        <v>18</v>
      </c>
      <c r="E34" s="352">
        <v>19</v>
      </c>
      <c r="F34" s="352">
        <v>2</v>
      </c>
    </row>
    <row r="35" spans="1:6" ht="15.75" customHeight="1">
      <c r="A35" s="350" t="s">
        <v>947</v>
      </c>
      <c r="B35" s="351">
        <v>100</v>
      </c>
      <c r="C35" s="351" t="s">
        <v>913</v>
      </c>
      <c r="D35" s="352">
        <v>30</v>
      </c>
      <c r="E35" s="352">
        <v>52</v>
      </c>
      <c r="F35" s="352">
        <v>7.5</v>
      </c>
    </row>
    <row r="36" spans="1:6" ht="15.75" customHeight="1">
      <c r="A36" s="350" t="s">
        <v>948</v>
      </c>
      <c r="B36" s="351">
        <v>100</v>
      </c>
      <c r="C36" s="351" t="s">
        <v>913</v>
      </c>
      <c r="D36" s="352">
        <v>2.5</v>
      </c>
      <c r="E36" s="352">
        <v>0.2</v>
      </c>
      <c r="F36" s="352">
        <v>28</v>
      </c>
    </row>
    <row r="37" spans="1:6" ht="15.75" customHeight="1">
      <c r="A37" s="350" t="s">
        <v>949</v>
      </c>
      <c r="B37" s="351">
        <v>100</v>
      </c>
      <c r="C37" s="351" t="s">
        <v>913</v>
      </c>
      <c r="D37" s="352">
        <v>0.6</v>
      </c>
      <c r="E37" s="352">
        <v>0.1</v>
      </c>
      <c r="F37" s="352">
        <v>18.399999999999999</v>
      </c>
    </row>
    <row r="38" spans="1:6" ht="15.75" customHeight="1">
      <c r="A38" s="350" t="s">
        <v>950</v>
      </c>
      <c r="B38" s="351">
        <v>100</v>
      </c>
      <c r="C38" s="351" t="s">
        <v>913</v>
      </c>
      <c r="D38" s="352">
        <v>1</v>
      </c>
      <c r="E38" s="352">
        <v>0</v>
      </c>
      <c r="F38" s="352">
        <v>28.3</v>
      </c>
    </row>
    <row r="39" spans="1:6" ht="15.75" customHeight="1">
      <c r="A39" s="350" t="s">
        <v>951</v>
      </c>
      <c r="B39" s="351">
        <v>100</v>
      </c>
      <c r="C39" s="351" t="s">
        <v>913</v>
      </c>
      <c r="D39" s="352">
        <v>5.2</v>
      </c>
      <c r="E39" s="352">
        <v>1.1000000000000001</v>
      </c>
      <c r="F39" s="352">
        <v>24.9</v>
      </c>
    </row>
    <row r="40" spans="1:6" ht="15.75" customHeight="1">
      <c r="A40" s="350" t="s">
        <v>952</v>
      </c>
      <c r="B40" s="351">
        <v>100</v>
      </c>
      <c r="C40" s="351" t="s">
        <v>913</v>
      </c>
      <c r="D40" s="352">
        <v>14.3</v>
      </c>
      <c r="E40" s="352">
        <v>7.3</v>
      </c>
      <c r="F40" s="352">
        <v>56.7</v>
      </c>
    </row>
    <row r="41" spans="1:6" ht="15.75" customHeight="1">
      <c r="A41" s="350" t="s">
        <v>953</v>
      </c>
      <c r="B41" s="351">
        <v>100</v>
      </c>
      <c r="C41" s="351" t="s">
        <v>913</v>
      </c>
      <c r="D41" s="352">
        <v>6.8</v>
      </c>
      <c r="E41" s="352">
        <v>0.4</v>
      </c>
      <c r="F41" s="352">
        <v>59.8</v>
      </c>
    </row>
    <row r="42" spans="1:6" ht="15.75" customHeight="1">
      <c r="A42" s="350" t="s">
        <v>954</v>
      </c>
      <c r="B42" s="351">
        <v>1</v>
      </c>
      <c r="C42" s="351" t="s">
        <v>945</v>
      </c>
      <c r="D42" s="352">
        <v>1.4</v>
      </c>
      <c r="E42" s="352">
        <v>0.2</v>
      </c>
      <c r="F42" s="352">
        <v>17.7</v>
      </c>
    </row>
    <row r="43" spans="1:6" ht="15.75" customHeight="1">
      <c r="A43" s="350" t="s">
        <v>955</v>
      </c>
      <c r="B43" s="351">
        <v>100</v>
      </c>
      <c r="C43" s="351" t="s">
        <v>913</v>
      </c>
      <c r="D43" s="352">
        <v>1.3</v>
      </c>
      <c r="E43" s="352">
        <v>0.7</v>
      </c>
      <c r="F43" s="352">
        <v>10</v>
      </c>
    </row>
    <row r="44" spans="1:6" ht="15.75" customHeight="1">
      <c r="A44" s="350" t="s">
        <v>956</v>
      </c>
      <c r="B44" s="351">
        <v>100</v>
      </c>
      <c r="C44" s="351" t="s">
        <v>913</v>
      </c>
      <c r="D44" s="352">
        <v>0.6</v>
      </c>
      <c r="E44" s="352">
        <v>0.4</v>
      </c>
      <c r="F44" s="352">
        <v>5.7</v>
      </c>
    </row>
    <row r="45" spans="1:6" ht="15.75" customHeight="1">
      <c r="A45" s="350" t="s">
        <v>957</v>
      </c>
      <c r="B45" s="351">
        <v>1</v>
      </c>
      <c r="C45" s="351" t="s">
        <v>945</v>
      </c>
      <c r="D45" s="352">
        <v>1.9</v>
      </c>
      <c r="E45" s="352">
        <v>0.5</v>
      </c>
      <c r="F45" s="352">
        <v>26.2</v>
      </c>
    </row>
    <row r="46" spans="1:6" ht="15.75" customHeight="1">
      <c r="A46" s="350" t="s">
        <v>958</v>
      </c>
      <c r="B46" s="351">
        <v>100</v>
      </c>
      <c r="C46" s="351" t="s">
        <v>913</v>
      </c>
      <c r="D46" s="352">
        <v>0.7</v>
      </c>
      <c r="E46" s="352">
        <v>0.2</v>
      </c>
      <c r="F46" s="352">
        <v>18.100000000000001</v>
      </c>
    </row>
    <row r="47" spans="1:6" ht="15.75" customHeight="1">
      <c r="A47" s="350" t="s">
        <v>959</v>
      </c>
      <c r="B47" s="351">
        <v>100</v>
      </c>
      <c r="C47" s="351" t="s">
        <v>913</v>
      </c>
      <c r="D47" s="352">
        <v>2.6</v>
      </c>
      <c r="E47" s="352">
        <v>1.4</v>
      </c>
      <c r="F47" s="352">
        <v>14</v>
      </c>
    </row>
    <row r="48" spans="1:6" ht="15.75" customHeight="1">
      <c r="A48" s="350" t="s">
        <v>960</v>
      </c>
      <c r="B48" s="351">
        <v>100</v>
      </c>
      <c r="C48" s="351" t="s">
        <v>913</v>
      </c>
      <c r="D48" s="352">
        <v>16.2</v>
      </c>
      <c r="E48" s="352">
        <v>17.8</v>
      </c>
      <c r="F48" s="352">
        <v>75.3</v>
      </c>
    </row>
    <row r="49" spans="1:6" ht="15.75" customHeight="1">
      <c r="A49" s="350" t="s">
        <v>961</v>
      </c>
      <c r="B49" s="351">
        <v>100</v>
      </c>
      <c r="C49" s="351" t="s">
        <v>913</v>
      </c>
      <c r="D49" s="352">
        <v>8.6</v>
      </c>
      <c r="E49" s="352">
        <v>4.5999999999999996</v>
      </c>
      <c r="F49" s="352">
        <v>73.3</v>
      </c>
    </row>
    <row r="50" spans="1:6" ht="15.75" customHeight="1">
      <c r="A50" s="350" t="s">
        <v>962</v>
      </c>
      <c r="B50" s="351">
        <v>100</v>
      </c>
      <c r="C50" s="351" t="s">
        <v>913</v>
      </c>
      <c r="D50" s="352">
        <v>14</v>
      </c>
      <c r="E50" s="352">
        <v>3</v>
      </c>
      <c r="F50" s="352">
        <v>40</v>
      </c>
    </row>
    <row r="51" spans="1:6" ht="15.75" customHeight="1">
      <c r="A51" s="350" t="s">
        <v>963</v>
      </c>
      <c r="B51" s="351">
        <v>100</v>
      </c>
      <c r="C51" s="351" t="s">
        <v>913</v>
      </c>
      <c r="D51" s="352">
        <v>0.8</v>
      </c>
      <c r="E51" s="352">
        <v>0.3</v>
      </c>
      <c r="F51" s="352">
        <v>19</v>
      </c>
    </row>
    <row r="52" spans="1:6" ht="15.75" customHeight="1">
      <c r="A52" s="350" t="s">
        <v>964</v>
      </c>
      <c r="B52" s="351">
        <v>100</v>
      </c>
      <c r="C52" s="351" t="s">
        <v>913</v>
      </c>
      <c r="D52" s="352">
        <v>0.5</v>
      </c>
      <c r="E52" s="352">
        <v>0.1</v>
      </c>
      <c r="F52" s="352">
        <v>12.6</v>
      </c>
    </row>
    <row r="53" spans="1:6" ht="15.75" customHeight="1">
      <c r="A53" s="350" t="s">
        <v>965</v>
      </c>
      <c r="B53" s="351">
        <v>100</v>
      </c>
      <c r="C53" s="351" t="s">
        <v>913</v>
      </c>
      <c r="D53" s="352">
        <v>6.7</v>
      </c>
      <c r="E53" s="352">
        <v>1.7</v>
      </c>
      <c r="F53" s="352">
        <v>83.3</v>
      </c>
    </row>
    <row r="54" spans="1:6" ht="15.75" customHeight="1">
      <c r="A54" s="350" t="s">
        <v>966</v>
      </c>
      <c r="B54" s="351">
        <v>100</v>
      </c>
      <c r="C54" s="351" t="s">
        <v>913</v>
      </c>
      <c r="D54" s="352">
        <v>0.1</v>
      </c>
      <c r="E54" s="352">
        <v>99.9</v>
      </c>
      <c r="F54" s="352">
        <v>0</v>
      </c>
    </row>
    <row r="55" spans="1:6" ht="15.75" customHeight="1">
      <c r="A55" s="350" t="s">
        <v>967</v>
      </c>
      <c r="B55" s="351">
        <v>1</v>
      </c>
      <c r="C55" s="351" t="s">
        <v>945</v>
      </c>
      <c r="D55" s="352">
        <v>2.4</v>
      </c>
      <c r="E55" s="352">
        <v>18.399999999999999</v>
      </c>
      <c r="F55" s="352">
        <v>10.8</v>
      </c>
    </row>
    <row r="56" spans="1:6" ht="15.75" customHeight="1">
      <c r="A56" s="350" t="s">
        <v>968</v>
      </c>
      <c r="B56" s="351">
        <v>100</v>
      </c>
      <c r="C56" s="351" t="s">
        <v>913</v>
      </c>
      <c r="D56" s="352">
        <v>20</v>
      </c>
      <c r="E56" s="352">
        <v>54</v>
      </c>
      <c r="F56" s="352">
        <v>21</v>
      </c>
    </row>
    <row r="57" spans="1:6" ht="15.75" customHeight="1">
      <c r="A57" s="350" t="s">
        <v>969</v>
      </c>
      <c r="B57" s="351">
        <v>100</v>
      </c>
      <c r="C57" s="351" t="s">
        <v>913</v>
      </c>
      <c r="D57" s="352">
        <v>22.5</v>
      </c>
      <c r="E57" s="352">
        <v>56.3</v>
      </c>
      <c r="F57" s="352">
        <v>4.0999999999999996</v>
      </c>
    </row>
    <row r="58" spans="1:6" ht="15.75" customHeight="1">
      <c r="A58" s="350" t="s">
        <v>970</v>
      </c>
      <c r="B58" s="351">
        <v>100</v>
      </c>
      <c r="C58" s="351" t="s">
        <v>913</v>
      </c>
      <c r="D58" s="352">
        <v>26</v>
      </c>
      <c r="E58" s="352">
        <v>49</v>
      </c>
      <c r="F58" s="352">
        <v>16</v>
      </c>
    </row>
    <row r="59" spans="1:6" ht="15.75" customHeight="1">
      <c r="A59" s="350" t="s">
        <v>971</v>
      </c>
      <c r="B59" s="351">
        <v>1</v>
      </c>
      <c r="C59" s="351" t="s">
        <v>945</v>
      </c>
      <c r="D59" s="352">
        <v>3</v>
      </c>
      <c r="E59" s="352">
        <v>5</v>
      </c>
      <c r="F59" s="352">
        <v>1</v>
      </c>
    </row>
    <row r="60" spans="1:6" ht="15.75" customHeight="1">
      <c r="A60" s="350" t="s">
        <v>972</v>
      </c>
      <c r="B60" s="351">
        <v>100</v>
      </c>
      <c r="C60" s="351" t="s">
        <v>913</v>
      </c>
      <c r="D60" s="352">
        <v>21</v>
      </c>
      <c r="E60" s="352">
        <v>51</v>
      </c>
      <c r="F60" s="352">
        <v>20</v>
      </c>
    </row>
    <row r="61" spans="1:6" ht="15.75" customHeight="1">
      <c r="A61" s="350" t="s">
        <v>973</v>
      </c>
      <c r="B61" s="351">
        <v>100</v>
      </c>
      <c r="C61" s="351" t="s">
        <v>913</v>
      </c>
      <c r="D61" s="352">
        <v>13.3</v>
      </c>
      <c r="E61" s="352">
        <v>40</v>
      </c>
      <c r="F61" s="352">
        <v>26.6</v>
      </c>
    </row>
    <row r="62" spans="1:6" ht="15.75" customHeight="1">
      <c r="A62" s="350" t="s">
        <v>974</v>
      </c>
      <c r="B62" s="351">
        <v>100</v>
      </c>
      <c r="C62" s="351" t="s">
        <v>913</v>
      </c>
      <c r="D62" s="352">
        <v>7.1</v>
      </c>
      <c r="E62" s="352">
        <v>14</v>
      </c>
      <c r="F62" s="352">
        <v>68.900000000000006</v>
      </c>
    </row>
    <row r="63" spans="1:6" ht="15.75" customHeight="1">
      <c r="A63" s="350" t="s">
        <v>975</v>
      </c>
      <c r="B63" s="351">
        <v>100</v>
      </c>
      <c r="C63" s="351" t="s">
        <v>913</v>
      </c>
      <c r="D63" s="352">
        <v>20</v>
      </c>
      <c r="E63" s="352">
        <v>3</v>
      </c>
      <c r="F63" s="352">
        <v>1</v>
      </c>
    </row>
    <row r="64" spans="1:6" ht="15.75" customHeight="1">
      <c r="A64" s="350" t="s">
        <v>976</v>
      </c>
      <c r="B64" s="351">
        <v>100</v>
      </c>
      <c r="C64" s="351" t="s">
        <v>913</v>
      </c>
      <c r="D64" s="352">
        <v>10</v>
      </c>
      <c r="E64" s="352">
        <v>1.6</v>
      </c>
      <c r="F64" s="352">
        <v>6.9</v>
      </c>
    </row>
    <row r="65" spans="1:6" ht="15.75" customHeight="1">
      <c r="A65" s="350" t="s">
        <v>977</v>
      </c>
      <c r="B65" s="351">
        <v>1</v>
      </c>
      <c r="C65" s="351" t="s">
        <v>945</v>
      </c>
      <c r="D65" s="352">
        <v>12</v>
      </c>
      <c r="E65" s="352">
        <v>1</v>
      </c>
      <c r="F65" s="352">
        <v>50</v>
      </c>
    </row>
    <row r="66" spans="1:6" ht="15.75" customHeight="1">
      <c r="A66" s="350" t="s">
        <v>978</v>
      </c>
      <c r="B66" s="351">
        <v>100</v>
      </c>
      <c r="C66" s="351" t="s">
        <v>913</v>
      </c>
      <c r="D66" s="352">
        <v>3.7</v>
      </c>
      <c r="E66" s="352">
        <v>10.4</v>
      </c>
      <c r="F66" s="352">
        <v>3.7</v>
      </c>
    </row>
    <row r="67" spans="1:6" ht="15.75" customHeight="1">
      <c r="A67" s="350" t="s">
        <v>979</v>
      </c>
      <c r="B67" s="351">
        <v>100</v>
      </c>
      <c r="C67" s="351" t="s">
        <v>913</v>
      </c>
      <c r="D67" s="352">
        <v>0</v>
      </c>
      <c r="E67" s="352">
        <v>0</v>
      </c>
      <c r="F67" s="352">
        <v>92</v>
      </c>
    </row>
    <row r="68" spans="1:6" ht="15.75" customHeight="1">
      <c r="A68" s="353" t="s">
        <v>980</v>
      </c>
      <c r="B68" s="351">
        <v>100</v>
      </c>
      <c r="C68" s="351" t="s">
        <v>913</v>
      </c>
      <c r="D68" s="354">
        <v>1.1000000000000001</v>
      </c>
      <c r="E68" s="354">
        <v>10.5</v>
      </c>
      <c r="F68" s="354">
        <v>2.2999999999999998</v>
      </c>
    </row>
    <row r="69" spans="1:6" ht="15.75" customHeight="1">
      <c r="A69" s="350" t="s">
        <v>981</v>
      </c>
      <c r="B69" s="351">
        <v>100</v>
      </c>
      <c r="C69" s="351" t="s">
        <v>913</v>
      </c>
      <c r="D69" s="352">
        <v>0</v>
      </c>
      <c r="E69" s="352">
        <v>0.2</v>
      </c>
      <c r="F69" s="352">
        <v>72.400000000000006</v>
      </c>
    </row>
    <row r="70" spans="1:6" ht="15.75" customHeight="1">
      <c r="A70" s="350" t="s">
        <v>982</v>
      </c>
      <c r="B70" s="351">
        <v>100</v>
      </c>
      <c r="C70" s="351" t="s">
        <v>913</v>
      </c>
      <c r="D70" s="352">
        <v>0.3</v>
      </c>
      <c r="E70" s="352">
        <v>0.2</v>
      </c>
      <c r="F70" s="352">
        <v>1.7</v>
      </c>
    </row>
    <row r="71" spans="1:6" ht="15.75" customHeight="1">
      <c r="A71" s="350" t="s">
        <v>983</v>
      </c>
      <c r="B71" s="351">
        <v>100</v>
      </c>
      <c r="C71" s="351" t="s">
        <v>913</v>
      </c>
      <c r="D71" s="352">
        <v>19.399999999999999</v>
      </c>
      <c r="E71" s="352">
        <v>0.1</v>
      </c>
      <c r="F71" s="352">
        <v>0</v>
      </c>
    </row>
    <row r="72" spans="1:6" ht="15.75" customHeight="1">
      <c r="A72" s="350" t="s">
        <v>984</v>
      </c>
      <c r="B72" s="351">
        <v>100</v>
      </c>
      <c r="C72" s="351" t="s">
        <v>913</v>
      </c>
      <c r="D72" s="352">
        <v>17.2</v>
      </c>
      <c r="E72" s="352">
        <v>0.1</v>
      </c>
      <c r="F72" s="352">
        <v>0</v>
      </c>
    </row>
    <row r="73" spans="1:6" ht="15.75" customHeight="1">
      <c r="A73" s="350" t="s">
        <v>985</v>
      </c>
      <c r="B73" s="351">
        <v>100</v>
      </c>
      <c r="C73" s="351" t="s">
        <v>913</v>
      </c>
      <c r="D73" s="352">
        <v>11.4</v>
      </c>
      <c r="E73" s="352">
        <v>5.9</v>
      </c>
      <c r="F73" s="352">
        <v>61.5</v>
      </c>
    </row>
    <row r="74" spans="1:6" ht="15.75" customHeight="1">
      <c r="A74" s="350" t="s">
        <v>986</v>
      </c>
      <c r="B74" s="351">
        <v>100</v>
      </c>
      <c r="C74" s="351" t="s">
        <v>913</v>
      </c>
      <c r="D74" s="352">
        <v>6.7</v>
      </c>
      <c r="E74" s="352">
        <v>7</v>
      </c>
      <c r="F74" s="352">
        <v>44.1</v>
      </c>
    </row>
    <row r="75" spans="1:6" ht="15.75" customHeight="1">
      <c r="A75" s="350" t="s">
        <v>987</v>
      </c>
      <c r="B75" s="351">
        <v>100</v>
      </c>
      <c r="C75" s="351" t="s">
        <v>913</v>
      </c>
      <c r="D75" s="352">
        <v>1.8</v>
      </c>
      <c r="E75" s="352">
        <v>0.2</v>
      </c>
      <c r="F75" s="352">
        <v>2.7</v>
      </c>
    </row>
    <row r="76" spans="1:6" ht="15.75" customHeight="1">
      <c r="A76" s="350" t="s">
        <v>988</v>
      </c>
      <c r="B76" s="351">
        <v>100</v>
      </c>
      <c r="C76" s="351" t="s">
        <v>913</v>
      </c>
      <c r="D76" s="352">
        <v>3.3</v>
      </c>
      <c r="E76" s="352">
        <v>4</v>
      </c>
      <c r="F76" s="352">
        <v>13.1</v>
      </c>
    </row>
    <row r="77" spans="1:6" ht="15.75" customHeight="1">
      <c r="A77" s="350" t="s">
        <v>989</v>
      </c>
      <c r="B77" s="351">
        <v>100</v>
      </c>
      <c r="C77" s="351" t="s">
        <v>913</v>
      </c>
      <c r="D77" s="352">
        <v>3.5</v>
      </c>
      <c r="E77" s="352">
        <v>3.3</v>
      </c>
      <c r="F77" s="352">
        <v>12.3</v>
      </c>
    </row>
    <row r="78" spans="1:6" ht="15.75" customHeight="1">
      <c r="A78" s="350" t="s">
        <v>990</v>
      </c>
      <c r="B78" s="351">
        <v>100</v>
      </c>
      <c r="C78" s="351" t="s">
        <v>913</v>
      </c>
      <c r="D78" s="352">
        <v>3.4</v>
      </c>
      <c r="E78" s="352">
        <v>3.5</v>
      </c>
      <c r="F78" s="352">
        <v>5.7</v>
      </c>
    </row>
    <row r="79" spans="1:6" ht="15.75" customHeight="1">
      <c r="A79" s="350" t="s">
        <v>991</v>
      </c>
      <c r="B79" s="351">
        <v>100</v>
      </c>
      <c r="C79" s="351" t="s">
        <v>913</v>
      </c>
      <c r="D79" s="352">
        <v>4.5</v>
      </c>
      <c r="E79" s="352">
        <v>1.2</v>
      </c>
      <c r="F79" s="352">
        <v>5.4</v>
      </c>
    </row>
    <row r="80" spans="1:6" ht="15.75" customHeight="1">
      <c r="A80" s="350" t="s">
        <v>992</v>
      </c>
      <c r="B80" s="351">
        <v>100</v>
      </c>
      <c r="C80" s="351" t="s">
        <v>913</v>
      </c>
      <c r="D80" s="352">
        <v>3.6</v>
      </c>
      <c r="E80" s="352">
        <v>4</v>
      </c>
      <c r="F80" s="352">
        <v>14</v>
      </c>
    </row>
    <row r="81" spans="1:6" ht="15.75" customHeight="1">
      <c r="A81" s="350" t="s">
        <v>993</v>
      </c>
      <c r="B81" s="351">
        <v>100</v>
      </c>
      <c r="C81" s="351" t="s">
        <v>913</v>
      </c>
      <c r="D81" s="352">
        <v>0</v>
      </c>
      <c r="E81" s="352">
        <v>0</v>
      </c>
      <c r="F81" s="352">
        <v>97.5</v>
      </c>
    </row>
    <row r="82" spans="1:6" ht="15.75" customHeight="1">
      <c r="A82" s="350" t="s">
        <v>994</v>
      </c>
      <c r="B82" s="351">
        <v>100</v>
      </c>
      <c r="C82" s="351" t="s">
        <v>913</v>
      </c>
      <c r="D82" s="352">
        <v>0</v>
      </c>
      <c r="E82" s="352">
        <v>0</v>
      </c>
      <c r="F82" s="352">
        <v>99.3</v>
      </c>
    </row>
    <row r="83" spans="1:6" ht="15.75" customHeight="1">
      <c r="A83" s="350" t="s">
        <v>995</v>
      </c>
      <c r="B83" s="351">
        <v>100</v>
      </c>
      <c r="C83" s="351" t="s">
        <v>913</v>
      </c>
      <c r="D83" s="352">
        <v>3.4</v>
      </c>
      <c r="E83" s="352">
        <v>0.9</v>
      </c>
      <c r="F83" s="352">
        <v>0.4</v>
      </c>
    </row>
    <row r="84" spans="1:6" ht="15.75" customHeight="1">
      <c r="A84" s="350" t="s">
        <v>996</v>
      </c>
      <c r="B84" s="351">
        <v>100</v>
      </c>
      <c r="C84" s="351" t="s">
        <v>913</v>
      </c>
      <c r="D84" s="352">
        <v>0</v>
      </c>
      <c r="E84" s="352">
        <v>0</v>
      </c>
      <c r="F84" s="352">
        <v>0</v>
      </c>
    </row>
    <row r="85" spans="1:6" ht="15.75" customHeight="1">
      <c r="A85" s="350" t="s">
        <v>997</v>
      </c>
      <c r="B85" s="351">
        <v>100</v>
      </c>
      <c r="C85" s="351" t="s">
        <v>913</v>
      </c>
      <c r="D85" s="352">
        <v>0</v>
      </c>
      <c r="E85" s="352">
        <v>0</v>
      </c>
      <c r="F85" s="352">
        <v>0</v>
      </c>
    </row>
    <row r="86" spans="1:6" ht="15.75" customHeight="1">
      <c r="A86" s="350" t="s">
        <v>998</v>
      </c>
      <c r="B86" s="351">
        <v>100</v>
      </c>
      <c r="C86" s="351" t="s">
        <v>913</v>
      </c>
      <c r="D86" s="352">
        <v>0</v>
      </c>
      <c r="E86" s="352">
        <v>0</v>
      </c>
      <c r="F86" s="352">
        <v>0</v>
      </c>
    </row>
    <row r="87" spans="1:6" ht="15.75" customHeight="1">
      <c r="A87" s="350" t="s">
        <v>999</v>
      </c>
      <c r="B87" s="351">
        <v>100</v>
      </c>
      <c r="C87" s="351" t="s">
        <v>913</v>
      </c>
      <c r="D87" s="352">
        <v>0</v>
      </c>
      <c r="E87" s="352">
        <v>0</v>
      </c>
      <c r="F87" s="352">
        <v>0</v>
      </c>
    </row>
    <row r="88" spans="1:6" ht="15.75" customHeight="1">
      <c r="A88" s="350" t="s">
        <v>1000</v>
      </c>
      <c r="B88" s="351">
        <v>100</v>
      </c>
      <c r="C88" s="351" t="s">
        <v>913</v>
      </c>
      <c r="D88" s="352">
        <v>0</v>
      </c>
      <c r="E88" s="352">
        <v>0</v>
      </c>
      <c r="F88" s="352">
        <v>0</v>
      </c>
    </row>
    <row r="89" spans="1:6" ht="15.75" customHeight="1">
      <c r="A89" s="350" t="s">
        <v>1001</v>
      </c>
      <c r="B89" s="351">
        <v>100</v>
      </c>
      <c r="C89" s="351" t="s">
        <v>913</v>
      </c>
      <c r="D89" s="352">
        <v>0</v>
      </c>
      <c r="E89" s="352">
        <v>0</v>
      </c>
      <c r="F89" s="352">
        <v>0</v>
      </c>
    </row>
    <row r="90" spans="1:6" ht="15.75" customHeight="1">
      <c r="A90" s="350" t="s">
        <v>1002</v>
      </c>
      <c r="B90" s="351">
        <v>100</v>
      </c>
      <c r="C90" s="351" t="s">
        <v>913</v>
      </c>
      <c r="D90" s="352">
        <v>1.1000000000000001</v>
      </c>
      <c r="E90" s="352">
        <v>0.1</v>
      </c>
      <c r="F90" s="352">
        <v>1.5</v>
      </c>
    </row>
    <row r="91" spans="1:6" ht="15.75" customHeight="1">
      <c r="A91" s="350" t="s">
        <v>1003</v>
      </c>
      <c r="B91" s="351">
        <v>100</v>
      </c>
      <c r="C91" s="351" t="s">
        <v>913</v>
      </c>
      <c r="D91" s="352">
        <v>3</v>
      </c>
      <c r="E91" s="352">
        <v>0.2</v>
      </c>
      <c r="F91" s="352">
        <v>5.3</v>
      </c>
    </row>
    <row r="92" spans="1:6" ht="15.75" customHeight="1">
      <c r="A92" s="350" t="s">
        <v>1004</v>
      </c>
      <c r="B92" s="351">
        <v>100</v>
      </c>
      <c r="C92" s="351" t="s">
        <v>913</v>
      </c>
      <c r="D92" s="352">
        <v>3</v>
      </c>
      <c r="E92" s="352">
        <v>0.2</v>
      </c>
      <c r="F92" s="352">
        <v>6.8</v>
      </c>
    </row>
    <row r="93" spans="1:6" ht="15.75" customHeight="1">
      <c r="A93" s="350" t="s">
        <v>1005</v>
      </c>
      <c r="B93" s="351">
        <v>100</v>
      </c>
      <c r="C93" s="351" t="s">
        <v>913</v>
      </c>
      <c r="D93" s="352">
        <v>2.4</v>
      </c>
      <c r="E93" s="352">
        <v>0.9</v>
      </c>
      <c r="F93" s="352">
        <v>4.9000000000000004</v>
      </c>
    </row>
    <row r="94" spans="1:6" ht="15.75" customHeight="1">
      <c r="A94" s="350" t="s">
        <v>1006</v>
      </c>
      <c r="B94" s="351">
        <v>100</v>
      </c>
      <c r="C94" s="351" t="s">
        <v>913</v>
      </c>
      <c r="D94" s="352">
        <v>1.4</v>
      </c>
      <c r="E94" s="352">
        <v>4.4000000000000004</v>
      </c>
      <c r="F94" s="352">
        <v>13.5</v>
      </c>
    </row>
    <row r="95" spans="1:6" ht="15.75" customHeight="1">
      <c r="A95" s="350" t="s">
        <v>1007</v>
      </c>
      <c r="B95" s="351">
        <v>100</v>
      </c>
      <c r="C95" s="351" t="s">
        <v>913</v>
      </c>
      <c r="D95" s="352">
        <v>4.9000000000000004</v>
      </c>
      <c r="E95" s="352">
        <v>15.2</v>
      </c>
      <c r="F95" s="352">
        <v>46.4</v>
      </c>
    </row>
    <row r="96" spans="1:6" ht="15.75" customHeight="1">
      <c r="A96" s="350" t="s">
        <v>1008</v>
      </c>
      <c r="B96" s="351">
        <v>100</v>
      </c>
      <c r="C96" s="351" t="s">
        <v>913</v>
      </c>
      <c r="D96" s="352">
        <v>1.8</v>
      </c>
      <c r="E96" s="352">
        <v>0.2</v>
      </c>
      <c r="F96" s="352">
        <v>0.8</v>
      </c>
    </row>
    <row r="97" spans="1:6" ht="15.75" customHeight="1">
      <c r="A97" s="350" t="s">
        <v>1009</v>
      </c>
      <c r="B97" s="351">
        <v>100</v>
      </c>
      <c r="C97" s="351" t="s">
        <v>913</v>
      </c>
      <c r="D97" s="352">
        <v>1.3</v>
      </c>
      <c r="E97" s="352">
        <v>0.2</v>
      </c>
      <c r="F97" s="352">
        <v>1.4</v>
      </c>
    </row>
    <row r="98" spans="1:6" ht="15.75" customHeight="1">
      <c r="A98" s="350" t="s">
        <v>1010</v>
      </c>
      <c r="B98" s="351">
        <v>100</v>
      </c>
      <c r="C98" s="351" t="s">
        <v>913</v>
      </c>
      <c r="D98" s="352">
        <v>8.3000000000000007</v>
      </c>
      <c r="E98" s="352">
        <v>14</v>
      </c>
      <c r="F98" s="352">
        <v>26.8</v>
      </c>
    </row>
    <row r="99" spans="1:6" ht="15.75" customHeight="1">
      <c r="A99" s="350" t="s">
        <v>1011</v>
      </c>
      <c r="B99" s="351">
        <v>100</v>
      </c>
      <c r="C99" s="351" t="s">
        <v>913</v>
      </c>
      <c r="D99" s="352">
        <v>8.3000000000000007</v>
      </c>
      <c r="E99" s="352">
        <v>18.100000000000001</v>
      </c>
      <c r="F99" s="352">
        <v>27.4</v>
      </c>
    </row>
    <row r="100" spans="1:6" ht="15.75" customHeight="1">
      <c r="A100" s="350" t="s">
        <v>1012</v>
      </c>
      <c r="B100" s="351">
        <v>100</v>
      </c>
      <c r="C100" s="351" t="s">
        <v>913</v>
      </c>
      <c r="D100" s="352">
        <v>8.1</v>
      </c>
      <c r="E100" s="352">
        <v>17</v>
      </c>
      <c r="F100" s="352">
        <v>28.5</v>
      </c>
    </row>
    <row r="101" spans="1:6" ht="15.75" customHeight="1">
      <c r="A101" s="350" t="s">
        <v>1013</v>
      </c>
      <c r="B101" s="351">
        <v>100</v>
      </c>
      <c r="C101" s="351" t="s">
        <v>913</v>
      </c>
      <c r="D101" s="352">
        <v>3.8</v>
      </c>
      <c r="E101" s="352">
        <v>0.6</v>
      </c>
      <c r="F101" s="352">
        <v>11.3</v>
      </c>
    </row>
    <row r="102" spans="1:6" ht="15.75" customHeight="1">
      <c r="A102" s="350" t="s">
        <v>1014</v>
      </c>
      <c r="B102" s="351">
        <v>100</v>
      </c>
      <c r="C102" s="351" t="s">
        <v>913</v>
      </c>
      <c r="D102" s="352">
        <v>17.600000000000001</v>
      </c>
      <c r="E102" s="352">
        <v>1.2</v>
      </c>
      <c r="F102" s="352">
        <v>52.3</v>
      </c>
    </row>
    <row r="103" spans="1:6" ht="15.75" customHeight="1">
      <c r="A103" s="350" t="s">
        <v>1015</v>
      </c>
      <c r="B103" s="351">
        <v>100</v>
      </c>
      <c r="C103" s="351" t="s">
        <v>913</v>
      </c>
      <c r="D103" s="352">
        <v>1.8</v>
      </c>
      <c r="E103" s="352">
        <v>0.3</v>
      </c>
      <c r="F103" s="352">
        <v>2.9</v>
      </c>
    </row>
    <row r="104" spans="1:6" ht="15.75" customHeight="1">
      <c r="A104" s="350" t="s">
        <v>1016</v>
      </c>
      <c r="B104" s="351">
        <v>100</v>
      </c>
      <c r="C104" s="351" t="s">
        <v>913</v>
      </c>
      <c r="D104" s="352">
        <v>8</v>
      </c>
      <c r="E104" s="352">
        <v>8.9</v>
      </c>
      <c r="F104" s="352">
        <v>29.2</v>
      </c>
    </row>
    <row r="105" spans="1:6" ht="15.75" customHeight="1">
      <c r="A105" s="350" t="s">
        <v>1017</v>
      </c>
      <c r="B105" s="351">
        <v>100</v>
      </c>
      <c r="C105" s="351" t="s">
        <v>913</v>
      </c>
      <c r="D105" s="352">
        <v>17</v>
      </c>
      <c r="E105" s="352">
        <v>17.399999999999999</v>
      </c>
      <c r="F105" s="352">
        <v>6.4</v>
      </c>
    </row>
    <row r="106" spans="1:6" ht="15.75" customHeight="1">
      <c r="A106" s="350" t="s">
        <v>1018</v>
      </c>
      <c r="B106" s="351">
        <v>100</v>
      </c>
      <c r="C106" s="351" t="s">
        <v>913</v>
      </c>
      <c r="D106" s="352">
        <v>19.2</v>
      </c>
      <c r="E106" s="352">
        <v>16.7</v>
      </c>
      <c r="F106" s="352">
        <v>3.8</v>
      </c>
    </row>
    <row r="107" spans="1:6" ht="15.75" customHeight="1">
      <c r="A107" s="350" t="s">
        <v>1019</v>
      </c>
      <c r="B107" s="351">
        <v>100</v>
      </c>
      <c r="C107" s="351" t="s">
        <v>913</v>
      </c>
      <c r="D107" s="352">
        <v>23.4</v>
      </c>
      <c r="E107" s="352">
        <v>1.8</v>
      </c>
      <c r="F107" s="352">
        <v>5.2</v>
      </c>
    </row>
    <row r="108" spans="1:6" ht="15.75" customHeight="1">
      <c r="A108" s="350" t="s">
        <v>1020</v>
      </c>
      <c r="B108" s="351">
        <v>100</v>
      </c>
      <c r="C108" s="351" t="s">
        <v>913</v>
      </c>
      <c r="D108" s="352">
        <v>11.7</v>
      </c>
      <c r="E108" s="352">
        <v>0.9</v>
      </c>
      <c r="F108" s="352">
        <v>2.6</v>
      </c>
    </row>
    <row r="109" spans="1:6" ht="15.75" customHeight="1">
      <c r="A109" s="350" t="s">
        <v>1021</v>
      </c>
      <c r="B109" s="351">
        <v>100</v>
      </c>
      <c r="C109" s="351" t="s">
        <v>913</v>
      </c>
      <c r="D109" s="352">
        <v>12.8</v>
      </c>
      <c r="E109" s="352">
        <v>2.5</v>
      </c>
      <c r="F109" s="352">
        <v>3.2</v>
      </c>
    </row>
    <row r="110" spans="1:6" ht="15.75" customHeight="1">
      <c r="A110" s="350" t="s">
        <v>1022</v>
      </c>
      <c r="B110" s="351">
        <v>100</v>
      </c>
      <c r="C110" s="351" t="s">
        <v>913</v>
      </c>
      <c r="D110" s="352">
        <v>0.6</v>
      </c>
      <c r="E110" s="352">
        <v>0.2</v>
      </c>
      <c r="F110" s="352">
        <v>7.8</v>
      </c>
    </row>
    <row r="111" spans="1:6" ht="15.75" customHeight="1">
      <c r="A111" s="350" t="s">
        <v>1023</v>
      </c>
      <c r="B111" s="351">
        <v>100</v>
      </c>
      <c r="C111" s="351" t="s">
        <v>913</v>
      </c>
      <c r="D111" s="352">
        <v>0.2</v>
      </c>
      <c r="E111" s="352">
        <v>0.2</v>
      </c>
      <c r="F111" s="352">
        <v>27.5</v>
      </c>
    </row>
    <row r="112" spans="1:6" ht="15.75" customHeight="1">
      <c r="A112" s="350" t="s">
        <v>1024</v>
      </c>
      <c r="B112" s="351">
        <v>100</v>
      </c>
      <c r="C112" s="351" t="s">
        <v>913</v>
      </c>
      <c r="D112" s="352">
        <v>0.8</v>
      </c>
      <c r="E112" s="352">
        <v>0.2</v>
      </c>
      <c r="F112" s="352">
        <v>7.4</v>
      </c>
    </row>
    <row r="113" spans="1:6" ht="15.75" customHeight="1">
      <c r="A113" s="350" t="s">
        <v>1025</v>
      </c>
      <c r="B113" s="351">
        <v>100</v>
      </c>
      <c r="C113" s="351" t="s">
        <v>913</v>
      </c>
      <c r="D113" s="352">
        <v>0.8</v>
      </c>
      <c r="E113" s="352">
        <v>0.1</v>
      </c>
      <c r="F113" s="352">
        <v>11.8</v>
      </c>
    </row>
    <row r="114" spans="1:6" ht="15.75" customHeight="1">
      <c r="A114" s="350" t="s">
        <v>1026</v>
      </c>
      <c r="B114" s="351">
        <v>100</v>
      </c>
      <c r="C114" s="351" t="s">
        <v>913</v>
      </c>
      <c r="D114" s="352">
        <v>2.9</v>
      </c>
      <c r="E114" s="352">
        <v>0.3</v>
      </c>
      <c r="F114" s="352">
        <v>37.799999999999997</v>
      </c>
    </row>
    <row r="115" spans="1:6" ht="15.75" customHeight="1">
      <c r="A115" s="350" t="s">
        <v>1027</v>
      </c>
      <c r="B115" s="351">
        <v>100</v>
      </c>
      <c r="C115" s="351" t="s">
        <v>913</v>
      </c>
      <c r="D115" s="352">
        <v>21.6</v>
      </c>
      <c r="E115" s="352">
        <v>56</v>
      </c>
      <c r="F115" s="352">
        <v>7.2</v>
      </c>
    </row>
    <row r="116" spans="1:6" ht="15.75" customHeight="1">
      <c r="A116" s="350" t="s">
        <v>1028</v>
      </c>
      <c r="B116" s="351">
        <v>100</v>
      </c>
      <c r="C116" s="351" t="s">
        <v>913</v>
      </c>
      <c r="D116" s="352">
        <v>21.6</v>
      </c>
      <c r="E116" s="352">
        <v>56.8</v>
      </c>
      <c r="F116" s="352">
        <v>7.1</v>
      </c>
    </row>
    <row r="117" spans="1:6" ht="15.75" customHeight="1">
      <c r="A117" s="350" t="s">
        <v>1029</v>
      </c>
      <c r="B117" s="351">
        <v>100</v>
      </c>
      <c r="C117" s="351" t="s">
        <v>913</v>
      </c>
      <c r="D117" s="352">
        <v>25.4</v>
      </c>
      <c r="E117" s="352">
        <v>47.7</v>
      </c>
      <c r="F117" s="352">
        <v>10.1</v>
      </c>
    </row>
    <row r="118" spans="1:6" ht="15.75" customHeight="1">
      <c r="A118" s="350" t="s">
        <v>1030</v>
      </c>
      <c r="B118" s="351">
        <v>100</v>
      </c>
      <c r="C118" s="351" t="s">
        <v>913</v>
      </c>
      <c r="D118" s="352">
        <v>26.2</v>
      </c>
      <c r="E118" s="352">
        <v>51.8</v>
      </c>
      <c r="F118" s="352">
        <v>6.6</v>
      </c>
    </row>
    <row r="119" spans="1:6" ht="15.75" customHeight="1">
      <c r="A119" s="350" t="s">
        <v>1031</v>
      </c>
      <c r="B119" s="351">
        <v>100</v>
      </c>
      <c r="C119" s="351" t="s">
        <v>913</v>
      </c>
      <c r="D119" s="352">
        <v>25.6</v>
      </c>
      <c r="E119" s="352">
        <v>49.6</v>
      </c>
      <c r="F119" s="352">
        <v>9.5</v>
      </c>
    </row>
    <row r="120" spans="1:6" ht="15.75" customHeight="1">
      <c r="A120" s="350" t="s">
        <v>1032</v>
      </c>
      <c r="B120" s="351">
        <v>100</v>
      </c>
      <c r="C120" s="351" t="s">
        <v>913</v>
      </c>
      <c r="D120" s="352">
        <v>1.4</v>
      </c>
      <c r="E120" s="352">
        <v>0.9</v>
      </c>
      <c r="F120" s="352">
        <v>4.5</v>
      </c>
    </row>
    <row r="121" spans="1:6" ht="15.75" customHeight="1">
      <c r="A121" s="350" t="s">
        <v>1033</v>
      </c>
      <c r="B121" s="351">
        <v>100</v>
      </c>
      <c r="C121" s="351" t="s">
        <v>913</v>
      </c>
      <c r="D121" s="352">
        <v>0.5</v>
      </c>
      <c r="E121" s="352">
        <v>0.2</v>
      </c>
      <c r="F121" s="352">
        <v>9.5</v>
      </c>
    </row>
    <row r="122" spans="1:6" ht="15.75" customHeight="1">
      <c r="A122" s="350" t="s">
        <v>1034</v>
      </c>
      <c r="B122" s="351">
        <v>100</v>
      </c>
      <c r="C122" s="351" t="s">
        <v>913</v>
      </c>
      <c r="D122" s="352">
        <v>0.2</v>
      </c>
      <c r="E122" s="352">
        <v>0.1</v>
      </c>
      <c r="F122" s="352">
        <v>23.2</v>
      </c>
    </row>
    <row r="123" spans="1:6" ht="15.75" customHeight="1">
      <c r="A123" s="350" t="s">
        <v>1035</v>
      </c>
      <c r="B123" s="351">
        <v>100</v>
      </c>
      <c r="C123" s="351" t="s">
        <v>913</v>
      </c>
      <c r="D123" s="352">
        <v>3.8</v>
      </c>
      <c r="E123" s="352">
        <v>1.5</v>
      </c>
      <c r="F123" s="352">
        <v>72.8</v>
      </c>
    </row>
    <row r="124" spans="1:6" ht="15.75" customHeight="1">
      <c r="A124" s="350" t="s">
        <v>1036</v>
      </c>
      <c r="B124" s="351">
        <v>100</v>
      </c>
      <c r="C124" s="351" t="s">
        <v>913</v>
      </c>
      <c r="D124" s="352">
        <v>25.2</v>
      </c>
      <c r="E124" s="352">
        <v>10</v>
      </c>
      <c r="F124" s="352">
        <v>0</v>
      </c>
    </row>
    <row r="125" spans="1:6" ht="15.75" customHeight="1">
      <c r="A125" s="350" t="s">
        <v>1037</v>
      </c>
      <c r="B125" s="351">
        <v>100</v>
      </c>
      <c r="C125" s="351" t="s">
        <v>913</v>
      </c>
      <c r="D125" s="352">
        <v>1.7</v>
      </c>
      <c r="E125" s="352">
        <v>0.4</v>
      </c>
      <c r="F125" s="352">
        <v>16.8</v>
      </c>
    </row>
    <row r="126" spans="1:6" ht="15.75" customHeight="1">
      <c r="A126" s="350" t="s">
        <v>1038</v>
      </c>
      <c r="B126" s="351">
        <v>100</v>
      </c>
      <c r="C126" s="351" t="s">
        <v>913</v>
      </c>
      <c r="D126" s="352">
        <v>7.2</v>
      </c>
      <c r="E126" s="352">
        <v>1.7</v>
      </c>
      <c r="F126" s="352">
        <v>71.599999999999994</v>
      </c>
    </row>
    <row r="127" spans="1:6" ht="15.75" customHeight="1">
      <c r="A127" s="350" t="s">
        <v>1039</v>
      </c>
      <c r="B127" s="351">
        <v>100</v>
      </c>
      <c r="C127" s="351" t="s">
        <v>913</v>
      </c>
      <c r="D127" s="352">
        <v>6.7</v>
      </c>
      <c r="E127" s="352">
        <v>0.4</v>
      </c>
      <c r="F127" s="352">
        <v>78.099999999999994</v>
      </c>
    </row>
    <row r="128" spans="1:6" ht="15.75" customHeight="1">
      <c r="A128" s="350" t="s">
        <v>1040</v>
      </c>
      <c r="B128" s="351">
        <v>100</v>
      </c>
      <c r="C128" s="351" t="s">
        <v>913</v>
      </c>
      <c r="D128" s="352">
        <v>7.6</v>
      </c>
      <c r="E128" s="352">
        <v>5.3</v>
      </c>
      <c r="F128" s="352">
        <v>7.7</v>
      </c>
    </row>
    <row r="129" spans="1:6" ht="15.75" customHeight="1">
      <c r="A129" s="350" t="s">
        <v>1041</v>
      </c>
      <c r="B129" s="351">
        <v>100</v>
      </c>
      <c r="C129" s="351" t="s">
        <v>913</v>
      </c>
      <c r="D129" s="352">
        <v>7.4</v>
      </c>
      <c r="E129" s="352">
        <v>0.5</v>
      </c>
      <c r="F129" s="352">
        <v>79.599999999999994</v>
      </c>
    </row>
    <row r="130" spans="1:6" ht="15.75" customHeight="1">
      <c r="A130" s="350" t="s">
        <v>1042</v>
      </c>
      <c r="B130" s="351">
        <v>100</v>
      </c>
      <c r="C130" s="351" t="s">
        <v>913</v>
      </c>
      <c r="D130" s="352">
        <v>2.5</v>
      </c>
      <c r="E130" s="352">
        <v>0.2</v>
      </c>
      <c r="F130" s="352">
        <v>28</v>
      </c>
    </row>
    <row r="131" spans="1:6" ht="15.75" customHeight="1">
      <c r="A131" s="350" t="s">
        <v>1043</v>
      </c>
      <c r="B131" s="351">
        <v>100</v>
      </c>
      <c r="C131" s="351" t="s">
        <v>913</v>
      </c>
      <c r="D131" s="352">
        <v>3.1</v>
      </c>
      <c r="E131" s="352">
        <v>1.6</v>
      </c>
      <c r="F131" s="352">
        <v>15.3</v>
      </c>
    </row>
    <row r="132" spans="1:6" ht="15.75" customHeight="1">
      <c r="A132" s="350" t="s">
        <v>1044</v>
      </c>
      <c r="B132" s="351">
        <v>100</v>
      </c>
      <c r="C132" s="351" t="s">
        <v>913</v>
      </c>
      <c r="D132" s="352">
        <v>5.4</v>
      </c>
      <c r="E132" s="352">
        <v>2.1</v>
      </c>
      <c r="F132" s="352">
        <v>12.2</v>
      </c>
    </row>
    <row r="133" spans="1:6" ht="15.75" customHeight="1">
      <c r="A133" s="350" t="s">
        <v>1045</v>
      </c>
      <c r="B133" s="351">
        <v>100</v>
      </c>
      <c r="C133" s="351" t="s">
        <v>913</v>
      </c>
      <c r="D133" s="352">
        <v>9.4</v>
      </c>
      <c r="E133" s="352">
        <v>1.9</v>
      </c>
      <c r="F133" s="352">
        <v>12.2</v>
      </c>
    </row>
    <row r="134" spans="1:6" ht="15.75" customHeight="1">
      <c r="A134" s="350" t="s">
        <v>1046</v>
      </c>
      <c r="B134" s="351">
        <v>100</v>
      </c>
      <c r="C134" s="351" t="s">
        <v>913</v>
      </c>
      <c r="D134" s="352">
        <v>3.5</v>
      </c>
      <c r="E134" s="352">
        <v>2.2999999999999998</v>
      </c>
      <c r="F134" s="352">
        <v>41</v>
      </c>
    </row>
    <row r="135" spans="1:6" ht="15.75" customHeight="1">
      <c r="A135" s="350" t="s">
        <v>1047</v>
      </c>
      <c r="B135" s="351">
        <v>100</v>
      </c>
      <c r="C135" s="351" t="s">
        <v>913</v>
      </c>
      <c r="D135" s="352">
        <v>1.8</v>
      </c>
      <c r="E135" s="352">
        <v>4.2</v>
      </c>
      <c r="F135" s="352">
        <v>19.899999999999999</v>
      </c>
    </row>
    <row r="136" spans="1:6" ht="15.75" customHeight="1">
      <c r="A136" s="350" t="s">
        <v>1048</v>
      </c>
      <c r="B136" s="351">
        <v>100</v>
      </c>
      <c r="C136" s="351" t="s">
        <v>913</v>
      </c>
      <c r="D136" s="352">
        <v>2.2999999999999998</v>
      </c>
      <c r="E136" s="352">
        <v>0.2</v>
      </c>
      <c r="F136" s="352">
        <v>18</v>
      </c>
    </row>
    <row r="137" spans="1:6" ht="15.75" customHeight="1">
      <c r="A137" s="350" t="s">
        <v>1049</v>
      </c>
      <c r="B137" s="351">
        <v>100</v>
      </c>
      <c r="C137" s="351" t="s">
        <v>913</v>
      </c>
      <c r="D137" s="352">
        <v>3.1</v>
      </c>
      <c r="E137" s="352">
        <v>4.4000000000000004</v>
      </c>
      <c r="F137" s="352">
        <v>20.8</v>
      </c>
    </row>
    <row r="138" spans="1:6" ht="15.75" customHeight="1">
      <c r="A138" s="350" t="s">
        <v>1050</v>
      </c>
      <c r="B138" s="351">
        <v>100</v>
      </c>
      <c r="C138" s="351" t="s">
        <v>913</v>
      </c>
      <c r="D138" s="352">
        <v>8.4</v>
      </c>
      <c r="E138" s="352">
        <v>7.6</v>
      </c>
      <c r="F138" s="352">
        <v>25.2</v>
      </c>
    </row>
    <row r="139" spans="1:6" ht="15.75" customHeight="1">
      <c r="A139" s="350" t="s">
        <v>1051</v>
      </c>
      <c r="B139" s="351">
        <v>100</v>
      </c>
      <c r="C139" s="351" t="s">
        <v>913</v>
      </c>
      <c r="D139" s="352">
        <v>10.9</v>
      </c>
      <c r="E139" s="352">
        <v>3.4</v>
      </c>
      <c r="F139" s="352">
        <v>8.8000000000000007</v>
      </c>
    </row>
    <row r="140" spans="1:6" ht="15.75" customHeight="1">
      <c r="A140" s="350" t="s">
        <v>1052</v>
      </c>
      <c r="B140" s="351">
        <v>100</v>
      </c>
      <c r="C140" s="351" t="s">
        <v>913</v>
      </c>
      <c r="D140" s="352">
        <v>10.5</v>
      </c>
      <c r="E140" s="352">
        <v>5.8</v>
      </c>
      <c r="F140" s="352">
        <v>9.3000000000000007</v>
      </c>
    </row>
    <row r="141" spans="1:6" ht="15.75" customHeight="1">
      <c r="A141" s="350" t="s">
        <v>1053</v>
      </c>
      <c r="B141" s="351">
        <v>100</v>
      </c>
      <c r="C141" s="351" t="s">
        <v>913</v>
      </c>
      <c r="D141" s="352">
        <v>6.9</v>
      </c>
      <c r="E141" s="352">
        <v>3.4</v>
      </c>
      <c r="F141" s="352">
        <v>8.8000000000000007</v>
      </c>
    </row>
    <row r="142" spans="1:6" ht="15.75" customHeight="1">
      <c r="A142" s="350" t="s">
        <v>1054</v>
      </c>
      <c r="B142" s="351">
        <v>100</v>
      </c>
      <c r="C142" s="351" t="s">
        <v>913</v>
      </c>
      <c r="D142" s="352">
        <v>4.8</v>
      </c>
      <c r="E142" s="352">
        <v>2.1</v>
      </c>
      <c r="F142" s="352">
        <v>6.7</v>
      </c>
    </row>
    <row r="143" spans="1:6" ht="15.75" customHeight="1">
      <c r="A143" s="350" t="s">
        <v>1055</v>
      </c>
      <c r="B143" s="351">
        <v>100</v>
      </c>
      <c r="C143" s="351" t="s">
        <v>913</v>
      </c>
      <c r="D143" s="352">
        <v>3.8</v>
      </c>
      <c r="E143" s="352">
        <v>7.7</v>
      </c>
      <c r="F143" s="352">
        <v>44.4</v>
      </c>
    </row>
    <row r="144" spans="1:6" ht="15.75" customHeight="1">
      <c r="A144" s="350" t="s">
        <v>1056</v>
      </c>
      <c r="B144" s="351">
        <v>100</v>
      </c>
      <c r="C144" s="351" t="s">
        <v>913</v>
      </c>
      <c r="D144" s="352">
        <v>6.5</v>
      </c>
      <c r="E144" s="352">
        <v>1.4</v>
      </c>
      <c r="F144" s="352">
        <v>8.1999999999999993</v>
      </c>
    </row>
    <row r="145" spans="1:6" ht="15.75" customHeight="1">
      <c r="A145" s="350" t="s">
        <v>1057</v>
      </c>
      <c r="B145" s="351">
        <v>100</v>
      </c>
      <c r="C145" s="351" t="s">
        <v>913</v>
      </c>
      <c r="D145" s="352">
        <v>10.8</v>
      </c>
      <c r="E145" s="352">
        <v>4.2</v>
      </c>
      <c r="F145" s="352">
        <v>8.4</v>
      </c>
    </row>
    <row r="146" spans="1:6" ht="15.75" customHeight="1">
      <c r="A146" s="350" t="s">
        <v>1058</v>
      </c>
      <c r="B146" s="351">
        <v>100</v>
      </c>
      <c r="C146" s="351" t="s">
        <v>913</v>
      </c>
      <c r="D146" s="352">
        <v>7</v>
      </c>
      <c r="E146" s="352">
        <v>3.7</v>
      </c>
      <c r="F146" s="352">
        <v>15.5</v>
      </c>
    </row>
    <row r="147" spans="1:6" ht="15.75" customHeight="1">
      <c r="A147" s="350" t="s">
        <v>1059</v>
      </c>
      <c r="B147" s="351">
        <v>100</v>
      </c>
      <c r="C147" s="351" t="s">
        <v>913</v>
      </c>
      <c r="D147" s="352">
        <v>4.9000000000000004</v>
      </c>
      <c r="E147" s="352">
        <v>0.8</v>
      </c>
      <c r="F147" s="352">
        <v>19.8</v>
      </c>
    </row>
    <row r="148" spans="1:6" ht="15.75" customHeight="1">
      <c r="A148" s="350" t="s">
        <v>1060</v>
      </c>
      <c r="B148" s="351">
        <v>100</v>
      </c>
      <c r="C148" s="351" t="s">
        <v>913</v>
      </c>
      <c r="D148" s="352">
        <v>10.199999999999999</v>
      </c>
      <c r="E148" s="352">
        <v>4.5999999999999996</v>
      </c>
      <c r="F148" s="352">
        <v>10.9</v>
      </c>
    </row>
    <row r="149" spans="1:6" ht="15.75" customHeight="1">
      <c r="A149" s="350" t="s">
        <v>1061</v>
      </c>
      <c r="B149" s="351">
        <v>100</v>
      </c>
      <c r="C149" s="351" t="s">
        <v>913</v>
      </c>
      <c r="D149" s="352">
        <v>5.7</v>
      </c>
      <c r="E149" s="352">
        <v>7.1</v>
      </c>
      <c r="F149" s="352">
        <v>10</v>
      </c>
    </row>
    <row r="150" spans="1:6" ht="15.75" customHeight="1">
      <c r="A150" s="350" t="s">
        <v>1062</v>
      </c>
      <c r="B150" s="351">
        <v>100</v>
      </c>
      <c r="C150" s="351" t="s">
        <v>913</v>
      </c>
      <c r="D150" s="352">
        <v>6.5</v>
      </c>
      <c r="E150" s="352">
        <v>3.6</v>
      </c>
      <c r="F150" s="352">
        <v>6.9</v>
      </c>
    </row>
    <row r="151" spans="1:6" ht="15.75" customHeight="1">
      <c r="A151" s="350" t="s">
        <v>1063</v>
      </c>
      <c r="B151" s="351">
        <v>100</v>
      </c>
      <c r="C151" s="351" t="s">
        <v>913</v>
      </c>
      <c r="D151" s="352">
        <v>5.7</v>
      </c>
      <c r="E151" s="352">
        <v>3.8</v>
      </c>
      <c r="F151" s="352">
        <v>7.1</v>
      </c>
    </row>
    <row r="152" spans="1:6" ht="15.75" customHeight="1">
      <c r="A152" s="350" t="s">
        <v>1064</v>
      </c>
      <c r="B152" s="351">
        <v>100</v>
      </c>
      <c r="C152" s="351" t="s">
        <v>913</v>
      </c>
      <c r="D152" s="352">
        <v>5.9</v>
      </c>
      <c r="E152" s="352">
        <v>0.2</v>
      </c>
      <c r="F152" s="352">
        <v>10</v>
      </c>
    </row>
    <row r="153" spans="1:6" ht="15.75" customHeight="1">
      <c r="A153" s="350" t="s">
        <v>1065</v>
      </c>
      <c r="B153" s="351">
        <v>100</v>
      </c>
      <c r="C153" s="351" t="s">
        <v>913</v>
      </c>
      <c r="D153" s="352">
        <v>2</v>
      </c>
      <c r="E153" s="352">
        <v>4.2</v>
      </c>
      <c r="F153" s="352">
        <v>20.100000000000001</v>
      </c>
    </row>
    <row r="154" spans="1:6" ht="15.75" customHeight="1">
      <c r="A154" s="350" t="s">
        <v>1066</v>
      </c>
      <c r="B154" s="351">
        <v>100</v>
      </c>
      <c r="C154" s="351" t="s">
        <v>913</v>
      </c>
      <c r="D154" s="352">
        <v>2</v>
      </c>
      <c r="E154" s="352">
        <v>3.4</v>
      </c>
      <c r="F154" s="352">
        <v>20.2</v>
      </c>
    </row>
    <row r="155" spans="1:6" ht="15.75" customHeight="1">
      <c r="A155" s="350" t="s">
        <v>1067</v>
      </c>
      <c r="B155" s="351">
        <v>100</v>
      </c>
      <c r="C155" s="351" t="s">
        <v>913</v>
      </c>
      <c r="D155" s="352">
        <v>1.9</v>
      </c>
      <c r="E155" s="352">
        <v>6</v>
      </c>
      <c r="F155" s="352">
        <v>16.8</v>
      </c>
    </row>
    <row r="156" spans="1:6" ht="15.75" customHeight="1">
      <c r="A156" s="350" t="s">
        <v>1068</v>
      </c>
      <c r="B156" s="351">
        <v>100</v>
      </c>
      <c r="C156" s="351" t="s">
        <v>913</v>
      </c>
      <c r="D156" s="352">
        <v>4.4000000000000004</v>
      </c>
      <c r="E156" s="352">
        <v>3.8</v>
      </c>
      <c r="F156" s="352">
        <v>45.2</v>
      </c>
    </row>
    <row r="157" spans="1:6" ht="15.75" customHeight="1">
      <c r="A157" s="350" t="s">
        <v>1069</v>
      </c>
      <c r="B157" s="351">
        <v>100</v>
      </c>
      <c r="C157" s="351" t="s">
        <v>913</v>
      </c>
      <c r="D157" s="352">
        <v>8.6</v>
      </c>
      <c r="E157" s="352">
        <v>2.5</v>
      </c>
      <c r="F157" s="352">
        <v>71.599999999999994</v>
      </c>
    </row>
    <row r="158" spans="1:6" ht="15.75" customHeight="1">
      <c r="A158" s="350" t="s">
        <v>1070</v>
      </c>
      <c r="B158" s="351">
        <v>100</v>
      </c>
      <c r="C158" s="351" t="s">
        <v>913</v>
      </c>
      <c r="D158" s="352">
        <v>24.3</v>
      </c>
      <c r="E158" s="352">
        <v>13</v>
      </c>
      <c r="F158" s="352">
        <v>0</v>
      </c>
    </row>
    <row r="159" spans="1:6" ht="15.75" customHeight="1">
      <c r="A159" s="350" t="s">
        <v>1071</v>
      </c>
      <c r="B159" s="351">
        <v>100</v>
      </c>
      <c r="C159" s="351" t="s">
        <v>913</v>
      </c>
      <c r="D159" s="352">
        <v>9</v>
      </c>
      <c r="E159" s="352">
        <v>9</v>
      </c>
      <c r="F159" s="352">
        <v>2.6</v>
      </c>
    </row>
    <row r="160" spans="1:6" ht="15.75" customHeight="1">
      <c r="A160" s="350" t="s">
        <v>1072</v>
      </c>
      <c r="B160" s="351">
        <v>100</v>
      </c>
      <c r="C160" s="351" t="s">
        <v>913</v>
      </c>
      <c r="D160" s="352">
        <v>24.1</v>
      </c>
      <c r="E160" s="352">
        <v>4.9000000000000004</v>
      </c>
      <c r="F160" s="352">
        <v>0</v>
      </c>
    </row>
    <row r="161" spans="1:6" ht="15.75" customHeight="1">
      <c r="A161" s="350" t="s">
        <v>1073</v>
      </c>
      <c r="B161" s="351">
        <v>100</v>
      </c>
      <c r="C161" s="351" t="s">
        <v>913</v>
      </c>
      <c r="D161" s="352">
        <v>28.4</v>
      </c>
      <c r="E161" s="352">
        <v>5.8</v>
      </c>
      <c r="F161" s="352">
        <v>0</v>
      </c>
    </row>
    <row r="162" spans="1:6" ht="15.75" customHeight="1">
      <c r="A162" s="350" t="s">
        <v>1074</v>
      </c>
      <c r="B162" s="351">
        <v>100</v>
      </c>
      <c r="C162" s="351" t="s">
        <v>913</v>
      </c>
      <c r="D162" s="352">
        <v>14</v>
      </c>
      <c r="E162" s="352">
        <v>66.3</v>
      </c>
      <c r="F162" s="352">
        <v>6</v>
      </c>
    </row>
    <row r="163" spans="1:6" ht="15.75" customHeight="1">
      <c r="A163" s="350" t="s">
        <v>1075</v>
      </c>
      <c r="B163" s="351">
        <v>100</v>
      </c>
      <c r="C163" s="351" t="s">
        <v>913</v>
      </c>
      <c r="D163" s="352">
        <v>0</v>
      </c>
      <c r="E163" s="352">
        <v>99.9</v>
      </c>
      <c r="F163" s="352">
        <v>0</v>
      </c>
    </row>
    <row r="164" spans="1:6" ht="15.75" customHeight="1">
      <c r="A164" s="350" t="s">
        <v>1076</v>
      </c>
      <c r="B164" s="351">
        <v>100</v>
      </c>
      <c r="C164" s="351" t="s">
        <v>913</v>
      </c>
      <c r="D164" s="352">
        <v>1.4</v>
      </c>
      <c r="E164" s="352">
        <v>18.5</v>
      </c>
      <c r="F164" s="352">
        <v>0</v>
      </c>
    </row>
    <row r="165" spans="1:6" ht="15.75" customHeight="1">
      <c r="A165" s="350" t="s">
        <v>1077</v>
      </c>
      <c r="B165" s="351">
        <v>100</v>
      </c>
      <c r="C165" s="351" t="s">
        <v>913</v>
      </c>
      <c r="D165" s="352">
        <v>9.5</v>
      </c>
      <c r="E165" s="352">
        <v>10.1</v>
      </c>
      <c r="F165" s="352">
        <v>8.3000000000000007</v>
      </c>
    </row>
    <row r="166" spans="1:6" ht="15.75" customHeight="1">
      <c r="A166" s="350" t="s">
        <v>1078</v>
      </c>
      <c r="B166" s="351">
        <v>100</v>
      </c>
      <c r="C166" s="351" t="s">
        <v>913</v>
      </c>
      <c r="D166" s="352">
        <v>8.6999999999999993</v>
      </c>
      <c r="E166" s="352">
        <v>14.7</v>
      </c>
      <c r="F166" s="352">
        <v>6.5</v>
      </c>
    </row>
    <row r="167" spans="1:6" ht="15.75" customHeight="1">
      <c r="A167" s="350" t="s">
        <v>1079</v>
      </c>
      <c r="B167" s="351">
        <v>100</v>
      </c>
      <c r="C167" s="351" t="s">
        <v>913</v>
      </c>
      <c r="D167" s="352">
        <v>8</v>
      </c>
      <c r="E167" s="352">
        <v>3.6</v>
      </c>
      <c r="F167" s="352">
        <v>6.5</v>
      </c>
    </row>
    <row r="168" spans="1:6" ht="15.75" customHeight="1">
      <c r="A168" s="350" t="s">
        <v>1080</v>
      </c>
      <c r="B168" s="351">
        <v>100</v>
      </c>
      <c r="C168" s="351" t="s">
        <v>913</v>
      </c>
      <c r="D168" s="352">
        <v>6.7</v>
      </c>
      <c r="E168" s="352">
        <v>6.3</v>
      </c>
      <c r="F168" s="352">
        <v>13.1</v>
      </c>
    </row>
    <row r="169" spans="1:6" ht="15.75" customHeight="1">
      <c r="A169" s="350" t="s">
        <v>1081</v>
      </c>
      <c r="B169" s="351">
        <v>100</v>
      </c>
      <c r="C169" s="351" t="s">
        <v>913</v>
      </c>
      <c r="D169" s="352">
        <v>8.6</v>
      </c>
      <c r="E169" s="352">
        <v>10.4</v>
      </c>
      <c r="F169" s="352">
        <v>7.4</v>
      </c>
    </row>
    <row r="170" spans="1:6" ht="15.75" customHeight="1">
      <c r="A170" s="350" t="s">
        <v>1082</v>
      </c>
      <c r="B170" s="351">
        <v>100</v>
      </c>
      <c r="C170" s="351" t="s">
        <v>913</v>
      </c>
      <c r="D170" s="352">
        <v>20.8</v>
      </c>
      <c r="E170" s="352">
        <v>4.9000000000000004</v>
      </c>
      <c r="F170" s="352">
        <v>0.8</v>
      </c>
    </row>
    <row r="171" spans="1:6" ht="15.75" customHeight="1">
      <c r="A171" s="350" t="s">
        <v>1083</v>
      </c>
      <c r="B171" s="351">
        <v>100</v>
      </c>
      <c r="C171" s="351" t="s">
        <v>913</v>
      </c>
      <c r="D171" s="352">
        <v>9</v>
      </c>
      <c r="E171" s="352">
        <v>2.6</v>
      </c>
      <c r="F171" s="352">
        <v>9.1999999999999993</v>
      </c>
    </row>
    <row r="172" spans="1:6" ht="15.75" customHeight="1">
      <c r="A172" s="350" t="s">
        <v>1084</v>
      </c>
      <c r="B172" s="351">
        <v>100</v>
      </c>
      <c r="C172" s="351" t="s">
        <v>913</v>
      </c>
      <c r="D172" s="352">
        <v>5.3</v>
      </c>
      <c r="E172" s="352">
        <v>12.6</v>
      </c>
      <c r="F172" s="352">
        <v>7.6</v>
      </c>
    </row>
    <row r="173" spans="1:6" ht="15.75" customHeight="1">
      <c r="A173" s="350" t="s">
        <v>1085</v>
      </c>
      <c r="B173" s="351">
        <v>100</v>
      </c>
      <c r="C173" s="351" t="s">
        <v>913</v>
      </c>
      <c r="D173" s="352">
        <v>26.2</v>
      </c>
      <c r="E173" s="352">
        <v>0.1</v>
      </c>
      <c r="F173" s="352">
        <v>0</v>
      </c>
    </row>
    <row r="174" spans="1:6" ht="15.75" customHeight="1">
      <c r="A174" s="350" t="s">
        <v>1086</v>
      </c>
      <c r="B174" s="351">
        <v>100</v>
      </c>
      <c r="C174" s="351" t="s">
        <v>913</v>
      </c>
      <c r="D174" s="352">
        <v>19.100000000000001</v>
      </c>
      <c r="E174" s="352">
        <v>0.8</v>
      </c>
      <c r="F174" s="352">
        <v>0</v>
      </c>
    </row>
    <row r="175" spans="1:6" ht="15.75" customHeight="1">
      <c r="A175" s="350" t="s">
        <v>1087</v>
      </c>
      <c r="B175" s="351">
        <v>100</v>
      </c>
      <c r="C175" s="351" t="s">
        <v>913</v>
      </c>
      <c r="D175" s="352">
        <v>17.8</v>
      </c>
      <c r="E175" s="352">
        <v>0.5</v>
      </c>
      <c r="F175" s="352">
        <v>0</v>
      </c>
    </row>
    <row r="176" spans="1:6" ht="15.75" customHeight="1">
      <c r="A176" s="350" t="s">
        <v>1088</v>
      </c>
      <c r="B176" s="351">
        <v>100</v>
      </c>
      <c r="C176" s="351" t="s">
        <v>913</v>
      </c>
      <c r="D176" s="352">
        <v>30.2</v>
      </c>
      <c r="E176" s="352">
        <v>0.2</v>
      </c>
      <c r="F176" s="352">
        <v>0</v>
      </c>
    </row>
    <row r="177" spans="1:6" ht="15.75" customHeight="1">
      <c r="A177" s="350" t="s">
        <v>1089</v>
      </c>
      <c r="B177" s="351">
        <v>100</v>
      </c>
      <c r="C177" s="351" t="s">
        <v>913</v>
      </c>
      <c r="D177" s="352">
        <v>19</v>
      </c>
      <c r="E177" s="352">
        <v>0.4</v>
      </c>
      <c r="F177" s="352">
        <v>0</v>
      </c>
    </row>
    <row r="178" spans="1:6" ht="15.75" customHeight="1">
      <c r="A178" s="350" t="s">
        <v>1090</v>
      </c>
      <c r="B178" s="351">
        <v>100</v>
      </c>
      <c r="C178" s="351" t="s">
        <v>913</v>
      </c>
      <c r="D178" s="352">
        <v>17.8</v>
      </c>
      <c r="E178" s="352">
        <v>3.8</v>
      </c>
      <c r="F178" s="352">
        <v>0.4</v>
      </c>
    </row>
    <row r="179" spans="1:6" ht="15.75" customHeight="1">
      <c r="A179" s="350" t="s">
        <v>1091</v>
      </c>
      <c r="B179" s="351">
        <v>100</v>
      </c>
      <c r="C179" s="351" t="s">
        <v>913</v>
      </c>
      <c r="D179" s="352">
        <v>13.8</v>
      </c>
      <c r="E179" s="352">
        <v>34.6</v>
      </c>
      <c r="F179" s="352">
        <v>0</v>
      </c>
    </row>
    <row r="180" spans="1:6" ht="15.75" customHeight="1">
      <c r="A180" s="350" t="s">
        <v>1092</v>
      </c>
      <c r="B180" s="351">
        <v>100</v>
      </c>
      <c r="C180" s="351" t="s">
        <v>913</v>
      </c>
      <c r="D180" s="352">
        <v>22.2</v>
      </c>
      <c r="E180" s="352">
        <v>31.5</v>
      </c>
      <c r="F180" s="352">
        <v>0</v>
      </c>
    </row>
    <row r="181" spans="1:6" ht="15.75" customHeight="1">
      <c r="A181" s="350" t="s">
        <v>1093</v>
      </c>
      <c r="B181" s="351">
        <v>100</v>
      </c>
      <c r="C181" s="351" t="s">
        <v>913</v>
      </c>
      <c r="D181" s="352">
        <v>11.2</v>
      </c>
      <c r="E181" s="352">
        <v>2.8</v>
      </c>
      <c r="F181" s="352">
        <v>51.8</v>
      </c>
    </row>
    <row r="182" spans="1:6" ht="15.75" customHeight="1">
      <c r="A182" s="350" t="s">
        <v>1094</v>
      </c>
      <c r="B182" s="351">
        <v>100</v>
      </c>
      <c r="C182" s="351" t="s">
        <v>913</v>
      </c>
      <c r="D182" s="352">
        <v>1.6</v>
      </c>
      <c r="E182" s="352">
        <v>0.4</v>
      </c>
      <c r="F182" s="352">
        <v>21.8</v>
      </c>
    </row>
    <row r="183" spans="1:6" ht="15.75" customHeight="1">
      <c r="A183" s="350" t="s">
        <v>1095</v>
      </c>
      <c r="B183" s="351">
        <v>100</v>
      </c>
      <c r="C183" s="351" t="s">
        <v>913</v>
      </c>
      <c r="D183" s="352">
        <v>0</v>
      </c>
      <c r="E183" s="352">
        <v>99.5</v>
      </c>
      <c r="F183" s="352">
        <v>0</v>
      </c>
    </row>
    <row r="184" spans="1:6" ht="15.75" customHeight="1">
      <c r="A184" s="350" t="s">
        <v>1096</v>
      </c>
      <c r="B184" s="351">
        <v>100</v>
      </c>
      <c r="C184" s="351" t="s">
        <v>913</v>
      </c>
      <c r="D184" s="352">
        <v>0</v>
      </c>
      <c r="E184" s="352">
        <v>0</v>
      </c>
      <c r="F184" s="352">
        <v>89.5</v>
      </c>
    </row>
    <row r="185" spans="1:6" ht="15.75" customHeight="1">
      <c r="A185" s="350" t="s">
        <v>1097</v>
      </c>
      <c r="B185" s="351">
        <v>100</v>
      </c>
      <c r="C185" s="351" t="s">
        <v>913</v>
      </c>
      <c r="D185" s="352">
        <v>0</v>
      </c>
      <c r="E185" s="352">
        <v>0</v>
      </c>
      <c r="F185" s="352">
        <v>88.9</v>
      </c>
    </row>
    <row r="186" spans="1:6" ht="15.75" customHeight="1">
      <c r="A186" s="350" t="s">
        <v>1098</v>
      </c>
      <c r="B186" s="351">
        <v>100</v>
      </c>
      <c r="C186" s="351" t="s">
        <v>913</v>
      </c>
      <c r="D186" s="352">
        <v>2.5</v>
      </c>
      <c r="E186" s="352">
        <v>0</v>
      </c>
      <c r="F186" s="352">
        <v>19.2</v>
      </c>
    </row>
    <row r="187" spans="1:6" ht="15.75" customHeight="1">
      <c r="A187" s="350" t="s">
        <v>1099</v>
      </c>
      <c r="B187" s="351">
        <v>100</v>
      </c>
      <c r="C187" s="351" t="s">
        <v>913</v>
      </c>
      <c r="D187" s="352">
        <v>3.2</v>
      </c>
      <c r="E187" s="352">
        <v>4.8</v>
      </c>
      <c r="F187" s="352">
        <v>24.8</v>
      </c>
    </row>
    <row r="188" spans="1:6" ht="15.75" customHeight="1">
      <c r="A188" s="350" t="s">
        <v>1100</v>
      </c>
      <c r="B188" s="351">
        <v>100</v>
      </c>
      <c r="C188" s="351" t="s">
        <v>913</v>
      </c>
      <c r="D188" s="352">
        <v>2.4</v>
      </c>
      <c r="E188" s="352">
        <v>0</v>
      </c>
      <c r="F188" s="352">
        <v>18.5</v>
      </c>
    </row>
    <row r="189" spans="1:6" ht="15.75" customHeight="1">
      <c r="A189" s="350" t="s">
        <v>1101</v>
      </c>
      <c r="B189" s="351">
        <v>100</v>
      </c>
      <c r="C189" s="351" t="s">
        <v>913</v>
      </c>
      <c r="D189" s="352">
        <v>2.5</v>
      </c>
      <c r="E189" s="352">
        <v>0</v>
      </c>
      <c r="F189" s="352">
        <v>19.2</v>
      </c>
    </row>
    <row r="190" spans="1:6" ht="15.75" customHeight="1">
      <c r="A190" s="350" t="s">
        <v>1102</v>
      </c>
      <c r="B190" s="351">
        <v>100</v>
      </c>
      <c r="C190" s="351" t="s">
        <v>913</v>
      </c>
      <c r="D190" s="352">
        <v>1</v>
      </c>
      <c r="E190" s="352">
        <v>0</v>
      </c>
      <c r="F190" s="352">
        <v>28.3</v>
      </c>
    </row>
    <row r="191" spans="1:6" ht="15.75" customHeight="1">
      <c r="A191" s="350" t="s">
        <v>1103</v>
      </c>
      <c r="B191" s="351">
        <v>100</v>
      </c>
      <c r="C191" s="351" t="s">
        <v>913</v>
      </c>
      <c r="D191" s="352">
        <v>1</v>
      </c>
      <c r="E191" s="352">
        <v>0</v>
      </c>
      <c r="F191" s="352">
        <v>28.3</v>
      </c>
    </row>
    <row r="192" spans="1:6" ht="15.75" customHeight="1">
      <c r="A192" s="350" t="s">
        <v>1104</v>
      </c>
      <c r="B192" s="351">
        <v>100</v>
      </c>
      <c r="C192" s="351" t="s">
        <v>913</v>
      </c>
      <c r="D192" s="352">
        <v>2</v>
      </c>
      <c r="E192" s="352">
        <v>3.1</v>
      </c>
      <c r="F192" s="352">
        <v>14.5</v>
      </c>
    </row>
    <row r="193" spans="1:6" ht="15.75" customHeight="1">
      <c r="A193" s="350" t="s">
        <v>1105</v>
      </c>
      <c r="B193" s="351">
        <v>100</v>
      </c>
      <c r="C193" s="351" t="s">
        <v>913</v>
      </c>
      <c r="D193" s="352">
        <v>0.5</v>
      </c>
      <c r="E193" s="352">
        <v>0.3</v>
      </c>
      <c r="F193" s="352">
        <v>85</v>
      </c>
    </row>
    <row r="194" spans="1:6" ht="15.75" customHeight="1">
      <c r="A194" s="350" t="s">
        <v>1106</v>
      </c>
      <c r="B194" s="351">
        <v>100</v>
      </c>
      <c r="C194" s="351" t="s">
        <v>913</v>
      </c>
      <c r="D194" s="352">
        <v>3.7</v>
      </c>
      <c r="E194" s="352">
        <v>10.8</v>
      </c>
      <c r="F194" s="352">
        <v>27.6</v>
      </c>
    </row>
    <row r="195" spans="1:6" ht="15.75" customHeight="1">
      <c r="A195" s="350" t="s">
        <v>1107</v>
      </c>
      <c r="B195" s="351">
        <v>100</v>
      </c>
      <c r="C195" s="351" t="s">
        <v>913</v>
      </c>
      <c r="D195" s="352">
        <v>5.7</v>
      </c>
      <c r="E195" s="352">
        <v>38.1</v>
      </c>
      <c r="F195" s="352">
        <v>39</v>
      </c>
    </row>
    <row r="196" spans="1:6" ht="15.75" customHeight="1">
      <c r="A196" s="350" t="s">
        <v>1108</v>
      </c>
      <c r="B196" s="351">
        <v>100</v>
      </c>
      <c r="C196" s="351" t="s">
        <v>913</v>
      </c>
      <c r="D196" s="352">
        <v>3.6</v>
      </c>
      <c r="E196" s="352">
        <v>2.1</v>
      </c>
      <c r="F196" s="352">
        <v>4.2</v>
      </c>
    </row>
    <row r="197" spans="1:6" ht="15.75" customHeight="1">
      <c r="A197" s="350" t="s">
        <v>1109</v>
      </c>
      <c r="B197" s="351">
        <v>100</v>
      </c>
      <c r="C197" s="351" t="s">
        <v>913</v>
      </c>
      <c r="D197" s="352">
        <v>3.8</v>
      </c>
      <c r="E197" s="352">
        <v>2.2000000000000002</v>
      </c>
      <c r="F197" s="352">
        <v>6.4</v>
      </c>
    </row>
    <row r="198" spans="1:6" ht="15.75" customHeight="1">
      <c r="A198" s="350" t="s">
        <v>1110</v>
      </c>
      <c r="B198" s="351">
        <v>100</v>
      </c>
      <c r="C198" s="351" t="s">
        <v>913</v>
      </c>
      <c r="D198" s="352">
        <v>3.7</v>
      </c>
      <c r="E198" s="352">
        <v>2.2000000000000002</v>
      </c>
      <c r="F198" s="352">
        <v>0.4</v>
      </c>
    </row>
    <row r="199" spans="1:6" ht="15.75" customHeight="1">
      <c r="A199" s="350" t="s">
        <v>1111</v>
      </c>
      <c r="B199" s="351">
        <v>100</v>
      </c>
      <c r="C199" s="351" t="s">
        <v>913</v>
      </c>
      <c r="D199" s="352">
        <v>0</v>
      </c>
      <c r="E199" s="352">
        <v>0</v>
      </c>
      <c r="F199" s="352">
        <v>9</v>
      </c>
    </row>
    <row r="200" spans="1:6" ht="15.75" customHeight="1">
      <c r="A200" s="350" t="s">
        <v>1112</v>
      </c>
      <c r="B200" s="351">
        <v>100</v>
      </c>
      <c r="C200" s="351" t="s">
        <v>913</v>
      </c>
      <c r="D200" s="352">
        <v>0</v>
      </c>
      <c r="E200" s="352">
        <v>0</v>
      </c>
      <c r="F200" s="352">
        <v>0</v>
      </c>
    </row>
    <row r="201" spans="1:6" ht="15.75" customHeight="1">
      <c r="A201" s="350" t="s">
        <v>1113</v>
      </c>
      <c r="B201" s="351">
        <v>100</v>
      </c>
      <c r="C201" s="351" t="s">
        <v>913</v>
      </c>
      <c r="D201" s="352">
        <v>0</v>
      </c>
      <c r="E201" s="352">
        <v>0</v>
      </c>
      <c r="F201" s="352">
        <v>7</v>
      </c>
    </row>
    <row r="202" spans="1:6" ht="15.75" customHeight="1">
      <c r="A202" s="350" t="s">
        <v>1114</v>
      </c>
      <c r="B202" s="351">
        <v>100</v>
      </c>
      <c r="C202" s="351" t="s">
        <v>913</v>
      </c>
      <c r="D202" s="352">
        <v>0</v>
      </c>
      <c r="E202" s="352">
        <v>0</v>
      </c>
      <c r="F202" s="352">
        <v>10.5</v>
      </c>
    </row>
    <row r="203" spans="1:6" ht="15.75" customHeight="1">
      <c r="A203" s="350" t="s">
        <v>1115</v>
      </c>
      <c r="B203" s="351">
        <v>100</v>
      </c>
      <c r="C203" s="351" t="s">
        <v>913</v>
      </c>
      <c r="D203" s="352">
        <v>1</v>
      </c>
      <c r="E203" s="352">
        <v>0</v>
      </c>
      <c r="F203" s="352">
        <v>1</v>
      </c>
    </row>
    <row r="204" spans="1:6" ht="15.75" customHeight="1">
      <c r="A204" s="350" t="s">
        <v>1116</v>
      </c>
      <c r="B204" s="351">
        <v>100</v>
      </c>
      <c r="C204" s="351" t="s">
        <v>913</v>
      </c>
      <c r="D204" s="352">
        <v>21</v>
      </c>
      <c r="E204" s="352">
        <v>1.4</v>
      </c>
      <c r="F204" s="352">
        <v>5.4</v>
      </c>
    </row>
    <row r="205" spans="1:6" ht="15.75" customHeight="1">
      <c r="A205" s="350" t="s">
        <v>1117</v>
      </c>
      <c r="B205" s="351">
        <v>100</v>
      </c>
      <c r="C205" s="351" t="s">
        <v>913</v>
      </c>
      <c r="D205" s="352">
        <v>10.5</v>
      </c>
      <c r="E205" s="352">
        <v>0.7</v>
      </c>
      <c r="F205" s="352">
        <v>2.7</v>
      </c>
    </row>
    <row r="206" spans="1:6" ht="15.75" customHeight="1">
      <c r="A206" s="350" t="s">
        <v>1118</v>
      </c>
      <c r="B206" s="351">
        <v>100</v>
      </c>
      <c r="C206" s="351" t="s">
        <v>913</v>
      </c>
      <c r="D206" s="352">
        <v>1.1000000000000001</v>
      </c>
      <c r="E206" s="352">
        <v>0.2</v>
      </c>
      <c r="F206" s="352">
        <v>2.4</v>
      </c>
    </row>
    <row r="207" spans="1:6" ht="15.75" customHeight="1">
      <c r="A207" s="350" t="s">
        <v>1119</v>
      </c>
      <c r="B207" s="351">
        <v>100</v>
      </c>
      <c r="C207" s="351" t="s">
        <v>913</v>
      </c>
      <c r="D207" s="352">
        <v>2</v>
      </c>
      <c r="E207" s="352">
        <v>7.1</v>
      </c>
      <c r="F207" s="352">
        <v>4.3</v>
      </c>
    </row>
    <row r="208" spans="1:6" ht="15.75" customHeight="1">
      <c r="A208" s="350" t="s">
        <v>1120</v>
      </c>
      <c r="B208" s="351">
        <v>100</v>
      </c>
      <c r="C208" s="351" t="s">
        <v>913</v>
      </c>
      <c r="D208" s="352">
        <v>19.5</v>
      </c>
      <c r="E208" s="352">
        <v>2.7</v>
      </c>
      <c r="F208" s="352">
        <v>0</v>
      </c>
    </row>
    <row r="209" spans="1:6" ht="15.75" customHeight="1">
      <c r="A209" s="350" t="s">
        <v>1121</v>
      </c>
      <c r="B209" s="351">
        <v>100</v>
      </c>
      <c r="C209" s="351" t="s">
        <v>913</v>
      </c>
      <c r="D209" s="352">
        <v>1</v>
      </c>
      <c r="E209" s="352">
        <v>0</v>
      </c>
      <c r="F209" s="352">
        <v>3.4</v>
      </c>
    </row>
    <row r="210" spans="1:6" ht="15.75" customHeight="1">
      <c r="A210" s="350" t="s">
        <v>1122</v>
      </c>
      <c r="B210" s="351">
        <v>100</v>
      </c>
      <c r="C210" s="351" t="s">
        <v>913</v>
      </c>
      <c r="D210" s="352">
        <v>1</v>
      </c>
      <c r="E210" s="352">
        <v>0</v>
      </c>
      <c r="F210" s="352">
        <v>3.5</v>
      </c>
    </row>
    <row r="211" spans="1:6" ht="15.75" customHeight="1">
      <c r="A211" s="350" t="s">
        <v>1123</v>
      </c>
      <c r="B211" s="351">
        <v>100</v>
      </c>
      <c r="C211" s="351" t="s">
        <v>913</v>
      </c>
      <c r="D211" s="352">
        <v>23.1</v>
      </c>
      <c r="E211" s="352">
        <v>10.1</v>
      </c>
      <c r="F211" s="352">
        <v>0.2</v>
      </c>
    </row>
    <row r="212" spans="1:6" ht="15.75" customHeight="1">
      <c r="A212" s="350" t="s">
        <v>1124</v>
      </c>
      <c r="B212" s="351">
        <v>100</v>
      </c>
      <c r="C212" s="351" t="s">
        <v>913</v>
      </c>
      <c r="D212" s="352">
        <v>21.1</v>
      </c>
      <c r="E212" s="352">
        <v>3.5</v>
      </c>
      <c r="F212" s="352">
        <v>0</v>
      </c>
    </row>
    <row r="213" spans="1:6" ht="15.75" customHeight="1">
      <c r="A213" s="350" t="s">
        <v>1125</v>
      </c>
      <c r="B213" s="351">
        <v>100</v>
      </c>
      <c r="C213" s="351" t="s">
        <v>913</v>
      </c>
      <c r="D213" s="352">
        <v>23.3</v>
      </c>
      <c r="E213" s="352">
        <v>9.3000000000000007</v>
      </c>
      <c r="F213" s="352">
        <v>0</v>
      </c>
    </row>
    <row r="214" spans="1:6" ht="15.75" customHeight="1">
      <c r="A214" s="350" t="s">
        <v>1126</v>
      </c>
      <c r="B214" s="351">
        <v>100</v>
      </c>
      <c r="C214" s="351" t="s">
        <v>913</v>
      </c>
      <c r="D214" s="352">
        <v>23.3</v>
      </c>
      <c r="E214" s="352">
        <v>9.1999999999999993</v>
      </c>
      <c r="F214" s="352">
        <v>0</v>
      </c>
    </row>
    <row r="215" spans="1:6" ht="15.75" customHeight="1">
      <c r="A215" s="350" t="s">
        <v>1127</v>
      </c>
      <c r="B215" s="351">
        <v>100</v>
      </c>
      <c r="C215" s="351" t="s">
        <v>913</v>
      </c>
      <c r="D215" s="352">
        <v>24.7</v>
      </c>
      <c r="E215" s="352">
        <v>5.4</v>
      </c>
      <c r="F215" s="352">
        <v>0</v>
      </c>
    </row>
    <row r="216" spans="1:6" ht="15.75" customHeight="1">
      <c r="A216" s="350" t="s">
        <v>1128</v>
      </c>
      <c r="B216" s="351">
        <v>100</v>
      </c>
      <c r="C216" s="351" t="s">
        <v>913</v>
      </c>
      <c r="D216" s="352">
        <v>17.100000000000001</v>
      </c>
      <c r="E216" s="352">
        <v>8.1</v>
      </c>
      <c r="F216" s="352">
        <v>0.4</v>
      </c>
    </row>
    <row r="217" spans="1:6" ht="15.75" customHeight="1">
      <c r="A217" s="350" t="s">
        <v>1129</v>
      </c>
      <c r="B217" s="351">
        <v>100</v>
      </c>
      <c r="C217" s="351" t="s">
        <v>913</v>
      </c>
      <c r="D217" s="352">
        <v>16.7</v>
      </c>
      <c r="E217" s="352">
        <v>14.2</v>
      </c>
      <c r="F217" s="352">
        <v>0.7</v>
      </c>
    </row>
    <row r="218" spans="1:6" ht="15.75" customHeight="1">
      <c r="A218" s="350" t="s">
        <v>1130</v>
      </c>
      <c r="B218" s="351">
        <v>100</v>
      </c>
      <c r="C218" s="351" t="s">
        <v>913</v>
      </c>
      <c r="D218" s="352">
        <v>16.899999999999999</v>
      </c>
      <c r="E218" s="352">
        <v>16.5</v>
      </c>
      <c r="F218" s="352">
        <v>1.6</v>
      </c>
    </row>
    <row r="219" spans="1:6" ht="15.75" customHeight="1">
      <c r="A219" s="350" t="s">
        <v>1131</v>
      </c>
      <c r="B219" s="351">
        <v>100</v>
      </c>
      <c r="C219" s="351" t="s">
        <v>913</v>
      </c>
      <c r="D219" s="352">
        <v>16</v>
      </c>
      <c r="E219" s="352">
        <v>33.299999999999997</v>
      </c>
      <c r="F219" s="352">
        <v>0.9</v>
      </c>
    </row>
    <row r="220" spans="1:6" ht="15.75" customHeight="1">
      <c r="A220" s="350" t="s">
        <v>1132</v>
      </c>
      <c r="B220" s="351">
        <v>100</v>
      </c>
      <c r="C220" s="351" t="s">
        <v>913</v>
      </c>
      <c r="D220" s="352">
        <v>16</v>
      </c>
      <c r="E220" s="352">
        <v>32.799999999999997</v>
      </c>
      <c r="F220" s="352">
        <v>0.8</v>
      </c>
    </row>
    <row r="221" spans="1:6" ht="15.75" customHeight="1">
      <c r="A221" s="350" t="s">
        <v>1133</v>
      </c>
      <c r="B221" s="351">
        <v>100</v>
      </c>
      <c r="C221" s="351" t="s">
        <v>913</v>
      </c>
      <c r="D221" s="352">
        <v>23.5</v>
      </c>
      <c r="E221" s="352">
        <v>14.5</v>
      </c>
      <c r="F221" s="352">
        <v>0.5</v>
      </c>
    </row>
    <row r="222" spans="1:6" ht="15.75" customHeight="1">
      <c r="A222" s="350" t="s">
        <v>1134</v>
      </c>
      <c r="B222" s="351">
        <v>100</v>
      </c>
      <c r="C222" s="351" t="s">
        <v>913</v>
      </c>
      <c r="D222" s="352">
        <v>23.9</v>
      </c>
      <c r="E222" s="352">
        <v>11.1</v>
      </c>
      <c r="F222" s="352">
        <v>0.6</v>
      </c>
    </row>
    <row r="223" spans="1:6" ht="15.75" customHeight="1">
      <c r="A223" s="350" t="s">
        <v>1135</v>
      </c>
      <c r="B223" s="351">
        <v>100</v>
      </c>
      <c r="C223" s="351" t="s">
        <v>913</v>
      </c>
      <c r="D223" s="352">
        <v>20.9</v>
      </c>
      <c r="E223" s="352">
        <v>4.3</v>
      </c>
      <c r="F223" s="352">
        <v>0</v>
      </c>
    </row>
    <row r="224" spans="1:6" ht="15.75" customHeight="1">
      <c r="A224" s="350" t="s">
        <v>1136</v>
      </c>
      <c r="B224" s="351">
        <v>100</v>
      </c>
      <c r="C224" s="351" t="s">
        <v>913</v>
      </c>
      <c r="D224" s="352">
        <v>24.2</v>
      </c>
      <c r="E224" s="352">
        <v>11.5</v>
      </c>
      <c r="F224" s="352">
        <v>0.1</v>
      </c>
    </row>
    <row r="225" spans="1:6" ht="15.75" customHeight="1">
      <c r="A225" s="350" t="s">
        <v>1137</v>
      </c>
      <c r="B225" s="351">
        <v>100</v>
      </c>
      <c r="C225" s="351" t="s">
        <v>913</v>
      </c>
      <c r="D225" s="352">
        <v>28.8</v>
      </c>
      <c r="E225" s="352">
        <v>7.5</v>
      </c>
      <c r="F225" s="352">
        <v>0</v>
      </c>
    </row>
    <row r="226" spans="1:6" ht="15.75" customHeight="1">
      <c r="A226" s="350" t="s">
        <v>1138</v>
      </c>
      <c r="B226" s="351">
        <v>100</v>
      </c>
      <c r="C226" s="351" t="s">
        <v>913</v>
      </c>
      <c r="D226" s="352">
        <v>26.4</v>
      </c>
      <c r="E226" s="352">
        <v>6.4</v>
      </c>
      <c r="F226" s="352">
        <v>0</v>
      </c>
    </row>
    <row r="227" spans="1:6" ht="15.75" customHeight="1">
      <c r="A227" s="350" t="s">
        <v>1139</v>
      </c>
      <c r="B227" s="351">
        <v>100</v>
      </c>
      <c r="C227" s="351" t="s">
        <v>913</v>
      </c>
      <c r="D227" s="352">
        <v>19.899999999999999</v>
      </c>
      <c r="E227" s="352">
        <v>7.6</v>
      </c>
      <c r="F227" s="352">
        <v>0.2</v>
      </c>
    </row>
    <row r="228" spans="1:6" ht="15.75" customHeight="1">
      <c r="A228" s="350" t="s">
        <v>1140</v>
      </c>
      <c r="B228" s="351">
        <v>100</v>
      </c>
      <c r="C228" s="351" t="s">
        <v>913</v>
      </c>
      <c r="D228" s="352">
        <v>19</v>
      </c>
      <c r="E228" s="352">
        <v>16.399999999999999</v>
      </c>
      <c r="F228" s="352">
        <v>0.4</v>
      </c>
    </row>
    <row r="229" spans="1:6" ht="15.75" customHeight="1">
      <c r="A229" s="350" t="s">
        <v>1141</v>
      </c>
      <c r="B229" s="351">
        <v>100</v>
      </c>
      <c r="C229" s="351" t="s">
        <v>913</v>
      </c>
      <c r="D229" s="352">
        <v>5.4</v>
      </c>
      <c r="E229" s="352">
        <v>16.5</v>
      </c>
      <c r="F229" s="352">
        <v>69.7</v>
      </c>
    </row>
    <row r="230" spans="1:6" ht="15.75" customHeight="1">
      <c r="A230" s="350" t="s">
        <v>1142</v>
      </c>
      <c r="B230" s="351">
        <v>100</v>
      </c>
      <c r="C230" s="351" t="s">
        <v>913</v>
      </c>
      <c r="D230" s="352">
        <v>6.7</v>
      </c>
      <c r="E230" s="352">
        <v>11</v>
      </c>
      <c r="F230" s="352">
        <v>73.400000000000006</v>
      </c>
    </row>
    <row r="231" spans="1:6" ht="15.75" customHeight="1">
      <c r="A231" s="350" t="s">
        <v>1143</v>
      </c>
      <c r="B231" s="351">
        <v>100</v>
      </c>
      <c r="C231" s="351" t="s">
        <v>913</v>
      </c>
      <c r="D231" s="352">
        <v>6.7</v>
      </c>
      <c r="E231" s="352">
        <v>4.4000000000000004</v>
      </c>
      <c r="F231" s="352">
        <v>77.900000000000006</v>
      </c>
    </row>
    <row r="232" spans="1:6" ht="15.75" customHeight="1">
      <c r="A232" s="350" t="s">
        <v>1144</v>
      </c>
      <c r="B232" s="351">
        <v>100</v>
      </c>
      <c r="C232" s="351" t="s">
        <v>913</v>
      </c>
      <c r="D232" s="352">
        <v>5.2</v>
      </c>
      <c r="E232" s="352">
        <v>1.8</v>
      </c>
      <c r="F232" s="352">
        <v>84.1</v>
      </c>
    </row>
    <row r="233" spans="1:6" ht="15.75" customHeight="1">
      <c r="A233" s="350" t="s">
        <v>1145</v>
      </c>
      <c r="B233" s="351">
        <v>100</v>
      </c>
      <c r="C233" s="351" t="s">
        <v>913</v>
      </c>
      <c r="D233" s="352">
        <v>5.8</v>
      </c>
      <c r="E233" s="352">
        <v>20.7</v>
      </c>
      <c r="F233" s="352">
        <v>65.099999999999994</v>
      </c>
    </row>
    <row r="234" spans="1:6" ht="15.75" customHeight="1">
      <c r="A234" s="350" t="s">
        <v>1146</v>
      </c>
      <c r="B234" s="351">
        <v>100</v>
      </c>
      <c r="C234" s="351" t="s">
        <v>913</v>
      </c>
      <c r="D234" s="352">
        <v>11.5</v>
      </c>
      <c r="E234" s="352">
        <v>7.2</v>
      </c>
      <c r="F234" s="352">
        <v>66.599999999999994</v>
      </c>
    </row>
    <row r="235" spans="1:6" ht="15.75" customHeight="1">
      <c r="A235" s="350" t="s">
        <v>1147</v>
      </c>
      <c r="B235" s="351">
        <v>100</v>
      </c>
      <c r="C235" s="351" t="s">
        <v>913</v>
      </c>
      <c r="D235" s="352">
        <v>9.8000000000000007</v>
      </c>
      <c r="E235" s="352">
        <v>17.8</v>
      </c>
      <c r="F235" s="352">
        <v>61</v>
      </c>
    </row>
    <row r="236" spans="1:6" ht="15.75" customHeight="1">
      <c r="A236" s="350" t="s">
        <v>1148</v>
      </c>
      <c r="B236" s="351">
        <v>100</v>
      </c>
      <c r="C236" s="351" t="s">
        <v>913</v>
      </c>
      <c r="D236" s="352">
        <v>10</v>
      </c>
      <c r="E236" s="352">
        <v>18.3</v>
      </c>
      <c r="F236" s="352">
        <v>57.5</v>
      </c>
    </row>
    <row r="237" spans="1:6" ht="15.75" customHeight="1">
      <c r="A237" s="350" t="s">
        <v>1149</v>
      </c>
      <c r="B237" s="351">
        <v>100</v>
      </c>
      <c r="C237" s="351" t="s">
        <v>913</v>
      </c>
      <c r="D237" s="352">
        <v>7.1</v>
      </c>
      <c r="E237" s="352">
        <v>19.600000000000001</v>
      </c>
      <c r="F237" s="352">
        <v>70.099999999999994</v>
      </c>
    </row>
    <row r="238" spans="1:6" ht="15.75" customHeight="1">
      <c r="A238" s="350" t="s">
        <v>1150</v>
      </c>
      <c r="B238" s="351">
        <v>100</v>
      </c>
      <c r="C238" s="351" t="s">
        <v>913</v>
      </c>
      <c r="D238" s="352">
        <v>5.7</v>
      </c>
      <c r="E238" s="352">
        <v>19.8</v>
      </c>
      <c r="F238" s="352">
        <v>65.400000000000006</v>
      </c>
    </row>
    <row r="239" spans="1:6" ht="15.75" customHeight="1">
      <c r="A239" s="350" t="s">
        <v>1151</v>
      </c>
      <c r="B239" s="351">
        <v>100</v>
      </c>
      <c r="C239" s="351" t="s">
        <v>913</v>
      </c>
      <c r="D239" s="352">
        <v>10.8</v>
      </c>
      <c r="E239" s="352">
        <v>16.2</v>
      </c>
      <c r="F239" s="352">
        <v>61.6</v>
      </c>
    </row>
    <row r="240" spans="1:6" ht="15.75" customHeight="1">
      <c r="A240" s="350" t="s">
        <v>1152</v>
      </c>
      <c r="B240" s="351">
        <v>100</v>
      </c>
      <c r="C240" s="351" t="s">
        <v>913</v>
      </c>
      <c r="D240" s="352">
        <v>8.8000000000000007</v>
      </c>
      <c r="E240" s="352">
        <v>15.6</v>
      </c>
      <c r="F240" s="352">
        <v>65.599999999999994</v>
      </c>
    </row>
    <row r="241" spans="1:6" ht="15.75" customHeight="1">
      <c r="A241" s="350" t="s">
        <v>1153</v>
      </c>
      <c r="B241" s="351">
        <v>100</v>
      </c>
      <c r="C241" s="351" t="s">
        <v>913</v>
      </c>
      <c r="D241" s="352">
        <v>6.2</v>
      </c>
      <c r="E241" s="352">
        <v>21.3</v>
      </c>
      <c r="F241" s="352">
        <v>65.2</v>
      </c>
    </row>
    <row r="242" spans="1:6" ht="15.75" customHeight="1">
      <c r="A242" s="350" t="s">
        <v>1154</v>
      </c>
      <c r="B242" s="351">
        <v>100</v>
      </c>
      <c r="C242" s="351" t="s">
        <v>913</v>
      </c>
      <c r="D242" s="352">
        <v>8.4</v>
      </c>
      <c r="E242" s="352">
        <v>12.2</v>
      </c>
      <c r="F242" s="352">
        <v>72</v>
      </c>
    </row>
    <row r="243" spans="1:6" ht="15.75" customHeight="1">
      <c r="A243" s="350" t="s">
        <v>1155</v>
      </c>
      <c r="B243" s="351">
        <v>100</v>
      </c>
      <c r="C243" s="351" t="s">
        <v>913</v>
      </c>
      <c r="D243" s="352">
        <v>7.3</v>
      </c>
      <c r="E243" s="352">
        <v>14.4</v>
      </c>
      <c r="F243" s="352">
        <v>68.5</v>
      </c>
    </row>
    <row r="244" spans="1:6" ht="15.75" customHeight="1">
      <c r="A244" s="350" t="s">
        <v>1156</v>
      </c>
      <c r="B244" s="351">
        <v>100</v>
      </c>
      <c r="C244" s="351" t="s">
        <v>913</v>
      </c>
      <c r="D244" s="352">
        <v>3.2</v>
      </c>
      <c r="E244" s="352">
        <v>36.4</v>
      </c>
      <c r="F244" s="352">
        <v>55.3</v>
      </c>
    </row>
    <row r="245" spans="1:6" ht="15.75" customHeight="1">
      <c r="A245" s="350" t="s">
        <v>1157</v>
      </c>
      <c r="B245" s="351">
        <v>100</v>
      </c>
      <c r="C245" s="351" t="s">
        <v>913</v>
      </c>
      <c r="D245" s="352">
        <v>6.8</v>
      </c>
      <c r="E245" s="352">
        <v>21.5</v>
      </c>
      <c r="F245" s="352">
        <v>43.7</v>
      </c>
    </row>
    <row r="246" spans="1:6" ht="15.75" customHeight="1">
      <c r="A246" s="350" t="s">
        <v>1158</v>
      </c>
      <c r="B246" s="351">
        <v>100</v>
      </c>
      <c r="C246" s="351" t="s">
        <v>913</v>
      </c>
      <c r="D246" s="352">
        <v>4.4000000000000004</v>
      </c>
      <c r="E246" s="352">
        <v>14.8</v>
      </c>
      <c r="F246" s="352">
        <v>62.7</v>
      </c>
    </row>
    <row r="247" spans="1:6" ht="15.75" customHeight="1">
      <c r="A247" s="350" t="s">
        <v>1159</v>
      </c>
      <c r="B247" s="351">
        <v>100</v>
      </c>
      <c r="C247" s="351" t="s">
        <v>913</v>
      </c>
      <c r="D247" s="352">
        <v>3.9</v>
      </c>
      <c r="E247" s="352">
        <v>20.7</v>
      </c>
      <c r="F247" s="352">
        <v>46.3</v>
      </c>
    </row>
    <row r="248" spans="1:6" ht="15.75" customHeight="1">
      <c r="A248" s="350" t="s">
        <v>1160</v>
      </c>
      <c r="B248" s="351">
        <v>100</v>
      </c>
      <c r="C248" s="351" t="s">
        <v>913</v>
      </c>
      <c r="D248" s="352">
        <v>7.4</v>
      </c>
      <c r="E248" s="352">
        <v>26.4</v>
      </c>
      <c r="F248" s="352">
        <v>47</v>
      </c>
    </row>
    <row r="249" spans="1:6" ht="15.75" customHeight="1">
      <c r="A249" s="350" t="s">
        <v>1161</v>
      </c>
      <c r="B249" s="351">
        <v>100</v>
      </c>
      <c r="C249" s="351" t="s">
        <v>913</v>
      </c>
      <c r="D249" s="352">
        <v>4.2</v>
      </c>
      <c r="E249" s="352">
        <v>31</v>
      </c>
      <c r="F249" s="352">
        <v>37.799999999999997</v>
      </c>
    </row>
    <row r="250" spans="1:6" ht="15.75" customHeight="1">
      <c r="A250" s="350" t="s">
        <v>1162</v>
      </c>
      <c r="B250" s="351">
        <v>100</v>
      </c>
      <c r="C250" s="351" t="s">
        <v>913</v>
      </c>
      <c r="D250" s="352">
        <v>5.9</v>
      </c>
      <c r="E250" s="352">
        <v>4.0999999999999996</v>
      </c>
      <c r="F250" s="352">
        <v>71.599999999999994</v>
      </c>
    </row>
    <row r="251" spans="1:6" ht="15.75" customHeight="1">
      <c r="A251" s="350" t="s">
        <v>1163</v>
      </c>
      <c r="B251" s="351">
        <v>100</v>
      </c>
      <c r="C251" s="351" t="s">
        <v>913</v>
      </c>
      <c r="D251" s="352">
        <v>5.0999999999999996</v>
      </c>
      <c r="E251" s="352">
        <v>13.9</v>
      </c>
      <c r="F251" s="352">
        <v>57</v>
      </c>
    </row>
    <row r="252" spans="1:6" ht="15.75" customHeight="1">
      <c r="A252" s="350" t="s">
        <v>1164</v>
      </c>
      <c r="B252" s="351">
        <v>100</v>
      </c>
      <c r="C252" s="351" t="s">
        <v>913</v>
      </c>
      <c r="D252" s="352">
        <v>7.9</v>
      </c>
      <c r="E252" s="352">
        <v>14.9</v>
      </c>
      <c r="F252" s="352">
        <v>57.4</v>
      </c>
    </row>
    <row r="253" spans="1:6" ht="15.75" customHeight="1">
      <c r="A253" s="350" t="s">
        <v>1165</v>
      </c>
      <c r="B253" s="351">
        <v>100</v>
      </c>
      <c r="C253" s="351" t="s">
        <v>913</v>
      </c>
      <c r="D253" s="352">
        <v>0</v>
      </c>
      <c r="E253" s="352">
        <v>0</v>
      </c>
      <c r="F253" s="352">
        <v>0</v>
      </c>
    </row>
    <row r="254" spans="1:6" ht="15.75" customHeight="1">
      <c r="A254" s="350" t="s">
        <v>1166</v>
      </c>
      <c r="B254" s="351">
        <v>100</v>
      </c>
      <c r="C254" s="351" t="s">
        <v>913</v>
      </c>
      <c r="D254" s="352">
        <v>2.8</v>
      </c>
      <c r="E254" s="352">
        <v>0.7</v>
      </c>
      <c r="F254" s="352">
        <v>1.3</v>
      </c>
    </row>
    <row r="255" spans="1:6" ht="15.75" customHeight="1">
      <c r="A255" s="350" t="s">
        <v>1167</v>
      </c>
      <c r="B255" s="351">
        <v>100</v>
      </c>
      <c r="C255" s="351" t="s">
        <v>913</v>
      </c>
      <c r="D255" s="352">
        <v>3.4</v>
      </c>
      <c r="E255" s="352">
        <v>0.8</v>
      </c>
      <c r="F255" s="352">
        <v>1.5</v>
      </c>
    </row>
    <row r="256" spans="1:6" ht="15.75" customHeight="1">
      <c r="A256" s="350" t="s">
        <v>1168</v>
      </c>
      <c r="B256" s="351">
        <v>100</v>
      </c>
      <c r="C256" s="351" t="s">
        <v>913</v>
      </c>
      <c r="D256" s="352">
        <v>12.1</v>
      </c>
      <c r="E256" s="352">
        <v>1.9</v>
      </c>
      <c r="F256" s="352">
        <v>65.599999999999994</v>
      </c>
    </row>
    <row r="257" spans="1:6" ht="15.75" customHeight="1">
      <c r="A257" s="350" t="s">
        <v>1169</v>
      </c>
      <c r="B257" s="351">
        <v>100</v>
      </c>
      <c r="C257" s="351" t="s">
        <v>913</v>
      </c>
      <c r="D257" s="352">
        <v>17.8</v>
      </c>
      <c r="E257" s="352">
        <v>0.2</v>
      </c>
      <c r="F257" s="352">
        <v>2.2999999999999998</v>
      </c>
    </row>
    <row r="258" spans="1:6" ht="15.75" customHeight="1">
      <c r="A258" s="350" t="s">
        <v>1170</v>
      </c>
      <c r="B258" s="351">
        <v>100</v>
      </c>
      <c r="C258" s="351" t="s">
        <v>913</v>
      </c>
      <c r="D258" s="352">
        <v>14.3</v>
      </c>
      <c r="E258" s="352">
        <v>32.9</v>
      </c>
      <c r="F258" s="352">
        <v>0.3</v>
      </c>
    </row>
    <row r="259" spans="1:6" ht="15.75" customHeight="1">
      <c r="A259" s="350" t="s">
        <v>1171</v>
      </c>
      <c r="B259" s="351">
        <v>100</v>
      </c>
      <c r="C259" s="351" t="s">
        <v>913</v>
      </c>
      <c r="D259" s="352">
        <v>20</v>
      </c>
      <c r="E259" s="352">
        <v>0.2</v>
      </c>
      <c r="F259" s="352">
        <v>0</v>
      </c>
    </row>
    <row r="260" spans="1:6" ht="15.75" customHeight="1">
      <c r="A260" s="350" t="s">
        <v>1172</v>
      </c>
      <c r="B260" s="351">
        <v>100</v>
      </c>
      <c r="C260" s="351" t="s">
        <v>913</v>
      </c>
      <c r="D260" s="352">
        <v>24</v>
      </c>
      <c r="E260" s="352">
        <v>7</v>
      </c>
      <c r="F260" s="352">
        <v>2.7</v>
      </c>
    </row>
    <row r="261" spans="1:6" ht="15.75" customHeight="1">
      <c r="A261" s="350" t="s">
        <v>1173</v>
      </c>
      <c r="B261" s="351">
        <v>100</v>
      </c>
      <c r="C261" s="351" t="s">
        <v>913</v>
      </c>
      <c r="D261" s="352">
        <v>19.600000000000001</v>
      </c>
      <c r="E261" s="352">
        <v>23.4</v>
      </c>
      <c r="F261" s="352">
        <v>11.1</v>
      </c>
    </row>
    <row r="262" spans="1:6" ht="15.75" customHeight="1">
      <c r="A262" s="350" t="s">
        <v>1174</v>
      </c>
      <c r="B262" s="351">
        <v>100</v>
      </c>
      <c r="C262" s="351" t="s">
        <v>913</v>
      </c>
      <c r="D262" s="352">
        <v>21.3</v>
      </c>
      <c r="E262" s="352">
        <v>5.6</v>
      </c>
      <c r="F262" s="352">
        <v>0.3</v>
      </c>
    </row>
    <row r="263" spans="1:6" ht="15.75" customHeight="1">
      <c r="A263" s="350" t="s">
        <v>1175</v>
      </c>
      <c r="B263" s="351">
        <v>100</v>
      </c>
      <c r="C263" s="351" t="s">
        <v>913</v>
      </c>
      <c r="D263" s="352">
        <v>18.3</v>
      </c>
      <c r="E263" s="352">
        <v>0.7</v>
      </c>
      <c r="F263" s="352">
        <v>0</v>
      </c>
    </row>
    <row r="264" spans="1:6" ht="15.75" customHeight="1">
      <c r="A264" s="350" t="s">
        <v>1176</v>
      </c>
      <c r="B264" s="351">
        <v>100</v>
      </c>
      <c r="C264" s="351" t="s">
        <v>913</v>
      </c>
      <c r="D264" s="352">
        <v>0.4</v>
      </c>
      <c r="E264" s="352">
        <v>0.1</v>
      </c>
      <c r="F264" s="352">
        <v>0.3</v>
      </c>
    </row>
    <row r="265" spans="1:6" ht="15.75" customHeight="1">
      <c r="A265" s="350" t="s">
        <v>1177</v>
      </c>
      <c r="B265" s="351">
        <v>100</v>
      </c>
      <c r="C265" s="351" t="s">
        <v>913</v>
      </c>
      <c r="D265" s="352">
        <v>0.2</v>
      </c>
      <c r="E265" s="352">
        <v>0</v>
      </c>
      <c r="F265" s="352">
        <v>0.3</v>
      </c>
    </row>
    <row r="266" spans="1:6" ht="15.75" customHeight="1">
      <c r="A266" s="350" t="s">
        <v>1178</v>
      </c>
      <c r="B266" s="351">
        <v>100</v>
      </c>
      <c r="C266" s="351" t="s">
        <v>913</v>
      </c>
      <c r="D266" s="352">
        <v>0.2</v>
      </c>
      <c r="E266" s="352">
        <v>0</v>
      </c>
      <c r="F266" s="352">
        <v>0.3</v>
      </c>
    </row>
    <row r="267" spans="1:6" ht="15.75" customHeight="1">
      <c r="A267" s="350" t="s">
        <v>1179</v>
      </c>
      <c r="B267" s="351">
        <v>100</v>
      </c>
      <c r="C267" s="351" t="s">
        <v>913</v>
      </c>
      <c r="D267" s="352">
        <v>0.3</v>
      </c>
      <c r="E267" s="352">
        <v>0.1</v>
      </c>
      <c r="F267" s="352">
        <v>0.3</v>
      </c>
    </row>
    <row r="268" spans="1:6" ht="15.75" customHeight="1">
      <c r="A268" s="350" t="s">
        <v>1180</v>
      </c>
      <c r="B268" s="351">
        <v>100</v>
      </c>
      <c r="C268" s="351" t="s">
        <v>913</v>
      </c>
      <c r="D268" s="352">
        <v>14.9</v>
      </c>
      <c r="E268" s="352">
        <v>0.5</v>
      </c>
      <c r="F268" s="352">
        <v>41.1</v>
      </c>
    </row>
    <row r="269" spans="1:6" ht="15.75" customHeight="1">
      <c r="A269" s="350" t="s">
        <v>1181</v>
      </c>
      <c r="B269" s="351">
        <v>100</v>
      </c>
      <c r="C269" s="351" t="s">
        <v>913</v>
      </c>
      <c r="D269" s="352">
        <v>14.7</v>
      </c>
      <c r="E269" s="352">
        <v>0.2</v>
      </c>
      <c r="F269" s="352">
        <v>42.6</v>
      </c>
    </row>
    <row r="270" spans="1:6" ht="15.75" customHeight="1">
      <c r="A270" s="350" t="s">
        <v>1182</v>
      </c>
      <c r="B270" s="351">
        <v>100</v>
      </c>
      <c r="C270" s="351" t="s">
        <v>913</v>
      </c>
      <c r="D270" s="352">
        <v>4.2</v>
      </c>
      <c r="E270" s="352">
        <v>2.1</v>
      </c>
      <c r="F270" s="352">
        <v>7.1</v>
      </c>
    </row>
    <row r="271" spans="1:6" ht="15.75" customHeight="1">
      <c r="A271" s="350" t="s">
        <v>1183</v>
      </c>
      <c r="B271" s="351">
        <v>100</v>
      </c>
      <c r="C271" s="351" t="s">
        <v>913</v>
      </c>
      <c r="D271" s="352">
        <v>7</v>
      </c>
      <c r="E271" s="352">
        <v>8.5</v>
      </c>
      <c r="F271" s="352">
        <v>9.6999999999999993</v>
      </c>
    </row>
    <row r="272" spans="1:6" ht="15.75" customHeight="1">
      <c r="A272" s="350" t="s">
        <v>1184</v>
      </c>
      <c r="B272" s="351">
        <v>100</v>
      </c>
      <c r="C272" s="351" t="s">
        <v>913</v>
      </c>
      <c r="D272" s="352">
        <v>11.3</v>
      </c>
      <c r="E272" s="352">
        <v>4.3</v>
      </c>
      <c r="F272" s="352">
        <v>8.3000000000000007</v>
      </c>
    </row>
    <row r="273" spans="1:6" ht="15.75" customHeight="1">
      <c r="A273" s="350" t="s">
        <v>1185</v>
      </c>
      <c r="B273" s="351">
        <v>100</v>
      </c>
      <c r="C273" s="351" t="s">
        <v>913</v>
      </c>
      <c r="D273" s="352">
        <v>11.3</v>
      </c>
      <c r="E273" s="352">
        <v>4</v>
      </c>
      <c r="F273" s="352">
        <v>8.3000000000000007</v>
      </c>
    </row>
    <row r="274" spans="1:6" ht="15.75" customHeight="1">
      <c r="A274" s="350" t="s">
        <v>1186</v>
      </c>
      <c r="B274" s="351">
        <v>100</v>
      </c>
      <c r="C274" s="351" t="s">
        <v>913</v>
      </c>
      <c r="D274" s="352">
        <v>6.6</v>
      </c>
      <c r="E274" s="352">
        <v>11.9</v>
      </c>
      <c r="F274" s="352">
        <v>8.1999999999999993</v>
      </c>
    </row>
    <row r="275" spans="1:6" ht="15.75" customHeight="1">
      <c r="A275" s="350" t="s">
        <v>1187</v>
      </c>
      <c r="B275" s="351">
        <v>100</v>
      </c>
      <c r="C275" s="351" t="s">
        <v>913</v>
      </c>
      <c r="D275" s="352">
        <v>7.4</v>
      </c>
      <c r="E275" s="352">
        <v>21.4</v>
      </c>
      <c r="F275" s="352">
        <v>5.3</v>
      </c>
    </row>
    <row r="276" spans="1:6" ht="15.75" customHeight="1">
      <c r="A276" s="350" t="s">
        <v>1188</v>
      </c>
      <c r="B276" s="351">
        <v>100</v>
      </c>
      <c r="C276" s="351" t="s">
        <v>913</v>
      </c>
      <c r="D276" s="352">
        <v>7.2</v>
      </c>
      <c r="E276" s="352">
        <v>9.8000000000000007</v>
      </c>
      <c r="F276" s="352">
        <v>4.4000000000000004</v>
      </c>
    </row>
    <row r="277" spans="1:6" ht="15.75" customHeight="1">
      <c r="A277" s="350" t="s">
        <v>1189</v>
      </c>
      <c r="B277" s="351">
        <v>100</v>
      </c>
      <c r="C277" s="351" t="s">
        <v>913</v>
      </c>
      <c r="D277" s="352">
        <v>7.5</v>
      </c>
      <c r="E277" s="352">
        <v>3.5</v>
      </c>
      <c r="F277" s="352">
        <v>4.4000000000000004</v>
      </c>
    </row>
    <row r="278" spans="1:6" ht="15.75" customHeight="1">
      <c r="A278" s="350" t="s">
        <v>1190</v>
      </c>
      <c r="B278" s="351">
        <v>100</v>
      </c>
      <c r="C278" s="351" t="s">
        <v>913</v>
      </c>
      <c r="D278" s="352">
        <v>6.9</v>
      </c>
      <c r="E278" s="352">
        <v>2.7</v>
      </c>
      <c r="F278" s="352">
        <v>5.8</v>
      </c>
    </row>
    <row r="279" spans="1:6" ht="15.75" customHeight="1">
      <c r="A279" s="350" t="s">
        <v>1191</v>
      </c>
      <c r="B279" s="351">
        <v>100</v>
      </c>
      <c r="C279" s="351" t="s">
        <v>913</v>
      </c>
      <c r="D279" s="352">
        <v>4.5</v>
      </c>
      <c r="E279" s="352">
        <v>3.1</v>
      </c>
      <c r="F279" s="352">
        <v>7.2</v>
      </c>
    </row>
    <row r="280" spans="1:6" ht="15.75" customHeight="1">
      <c r="A280" s="350" t="s">
        <v>1192</v>
      </c>
      <c r="B280" s="351">
        <v>100</v>
      </c>
      <c r="C280" s="351" t="s">
        <v>913</v>
      </c>
      <c r="D280" s="352">
        <v>7</v>
      </c>
      <c r="E280" s="352">
        <v>2.9</v>
      </c>
      <c r="F280" s="352">
        <v>9.8000000000000007</v>
      </c>
    </row>
    <row r="281" spans="1:6" ht="15.75" customHeight="1">
      <c r="A281" s="350" t="s">
        <v>1193</v>
      </c>
      <c r="B281" s="351">
        <v>100</v>
      </c>
      <c r="C281" s="351" t="s">
        <v>913</v>
      </c>
      <c r="D281" s="352">
        <v>0.3</v>
      </c>
      <c r="E281" s="352">
        <v>0.3</v>
      </c>
      <c r="F281" s="352">
        <v>0.2</v>
      </c>
    </row>
    <row r="282" spans="1:6" ht="15.75" customHeight="1">
      <c r="A282" s="350" t="s">
        <v>1194</v>
      </c>
      <c r="B282" s="351">
        <v>100</v>
      </c>
      <c r="C282" s="351" t="s">
        <v>913</v>
      </c>
      <c r="D282" s="352">
        <v>0.4</v>
      </c>
      <c r="E282" s="352">
        <v>0.2</v>
      </c>
      <c r="F282" s="352">
        <v>0.2</v>
      </c>
    </row>
    <row r="283" spans="1:6" ht="15.75" customHeight="1">
      <c r="A283" s="350" t="s">
        <v>1195</v>
      </c>
      <c r="B283" s="351">
        <v>100</v>
      </c>
      <c r="C283" s="351" t="s">
        <v>913</v>
      </c>
      <c r="D283" s="352">
        <v>22.6</v>
      </c>
      <c r="E283" s="352">
        <v>0.8</v>
      </c>
      <c r="F283" s="352">
        <v>0.4</v>
      </c>
    </row>
    <row r="284" spans="1:6" ht="15.75" customHeight="1">
      <c r="A284" s="350" t="s">
        <v>1196</v>
      </c>
      <c r="B284" s="351">
        <v>100</v>
      </c>
      <c r="C284" s="351" t="s">
        <v>913</v>
      </c>
      <c r="D284" s="352">
        <v>20.2</v>
      </c>
      <c r="E284" s="352">
        <v>1.1000000000000001</v>
      </c>
      <c r="F284" s="352">
        <v>0.3</v>
      </c>
    </row>
    <row r="285" spans="1:6" ht="15.75" customHeight="1">
      <c r="A285" s="350" t="s">
        <v>1197</v>
      </c>
      <c r="B285" s="351">
        <v>100</v>
      </c>
      <c r="C285" s="351" t="s">
        <v>913</v>
      </c>
      <c r="D285" s="352">
        <v>17.600000000000001</v>
      </c>
      <c r="E285" s="352">
        <v>0.6</v>
      </c>
      <c r="F285" s="352">
        <v>0.3</v>
      </c>
    </row>
    <row r="286" spans="1:6" ht="15.75" customHeight="1">
      <c r="A286" s="350" t="s">
        <v>1198</v>
      </c>
      <c r="B286" s="351">
        <v>100</v>
      </c>
      <c r="C286" s="351" t="s">
        <v>913</v>
      </c>
      <c r="D286" s="352">
        <v>3.9</v>
      </c>
      <c r="E286" s="352">
        <v>3.2</v>
      </c>
      <c r="F286" s="352">
        <v>55.5</v>
      </c>
    </row>
    <row r="287" spans="1:6" ht="15.75" customHeight="1">
      <c r="A287" s="350" t="s">
        <v>1199</v>
      </c>
      <c r="B287" s="351">
        <v>100</v>
      </c>
      <c r="C287" s="351" t="s">
        <v>913</v>
      </c>
      <c r="D287" s="352">
        <v>7.8</v>
      </c>
      <c r="E287" s="352">
        <v>1.7</v>
      </c>
      <c r="F287" s="352">
        <v>2.2999999999999998</v>
      </c>
    </row>
    <row r="288" spans="1:6" ht="15.75" customHeight="1">
      <c r="A288" s="350" t="s">
        <v>1200</v>
      </c>
      <c r="B288" s="351">
        <v>100</v>
      </c>
      <c r="C288" s="351" t="s">
        <v>913</v>
      </c>
      <c r="D288" s="352">
        <v>10.8</v>
      </c>
      <c r="E288" s="352">
        <v>1</v>
      </c>
      <c r="F288" s="352">
        <v>2.1</v>
      </c>
    </row>
    <row r="289" spans="1:6" ht="15.75" customHeight="1">
      <c r="A289" s="350" t="s">
        <v>1201</v>
      </c>
      <c r="B289" s="351">
        <v>100</v>
      </c>
      <c r="C289" s="351" t="s">
        <v>913</v>
      </c>
      <c r="D289" s="352">
        <v>2</v>
      </c>
      <c r="E289" s="352">
        <v>0.4</v>
      </c>
      <c r="F289" s="352">
        <v>2</v>
      </c>
    </row>
    <row r="290" spans="1:6" ht="15.75" customHeight="1">
      <c r="A290" s="350" t="s">
        <v>1202</v>
      </c>
      <c r="B290" s="351">
        <v>100</v>
      </c>
      <c r="C290" s="351" t="s">
        <v>913</v>
      </c>
      <c r="D290" s="352">
        <v>13.6</v>
      </c>
      <c r="E290" s="352">
        <v>8.6</v>
      </c>
      <c r="F290" s="352">
        <v>1.2</v>
      </c>
    </row>
    <row r="291" spans="1:6" ht="15.75" customHeight="1">
      <c r="A291" s="350" t="s">
        <v>1203</v>
      </c>
      <c r="B291" s="351">
        <v>100</v>
      </c>
      <c r="C291" s="351" t="s">
        <v>913</v>
      </c>
      <c r="D291" s="352">
        <v>8.6999999999999993</v>
      </c>
      <c r="E291" s="352">
        <v>4.9000000000000004</v>
      </c>
      <c r="F291" s="352">
        <v>5.7</v>
      </c>
    </row>
    <row r="292" spans="1:6" ht="15.75" customHeight="1">
      <c r="A292" s="350" t="s">
        <v>1204</v>
      </c>
      <c r="B292" s="351">
        <v>100</v>
      </c>
      <c r="C292" s="351" t="s">
        <v>913</v>
      </c>
      <c r="D292" s="352">
        <v>19.3</v>
      </c>
      <c r="E292" s="352">
        <v>2.4</v>
      </c>
      <c r="F292" s="352">
        <v>0</v>
      </c>
    </row>
    <row r="293" spans="1:6" ht="15.75" customHeight="1">
      <c r="A293" s="350" t="s">
        <v>1205</v>
      </c>
      <c r="B293" s="351">
        <v>100</v>
      </c>
      <c r="C293" s="351" t="s">
        <v>913</v>
      </c>
      <c r="D293" s="352">
        <v>18.600000000000001</v>
      </c>
      <c r="E293" s="352">
        <v>2.9</v>
      </c>
      <c r="F293" s="352">
        <v>0</v>
      </c>
    </row>
    <row r="294" spans="1:6" ht="15.75" customHeight="1">
      <c r="A294" s="350" t="s">
        <v>1206</v>
      </c>
      <c r="B294" s="351">
        <v>100</v>
      </c>
      <c r="C294" s="351" t="s">
        <v>913</v>
      </c>
      <c r="D294" s="352">
        <v>17.3</v>
      </c>
      <c r="E294" s="352">
        <v>2.7</v>
      </c>
      <c r="F294" s="352">
        <v>1.1000000000000001</v>
      </c>
    </row>
    <row r="295" spans="1:6" ht="15.75" customHeight="1">
      <c r="A295" s="350" t="s">
        <v>1207</v>
      </c>
      <c r="B295" s="351">
        <v>100</v>
      </c>
      <c r="C295" s="351" t="s">
        <v>913</v>
      </c>
      <c r="D295" s="352">
        <v>16.100000000000001</v>
      </c>
      <c r="E295" s="352">
        <v>1.4</v>
      </c>
      <c r="F295" s="352">
        <v>2</v>
      </c>
    </row>
    <row r="296" spans="1:6" ht="15.75" customHeight="1">
      <c r="A296" s="350" t="s">
        <v>1208</v>
      </c>
      <c r="B296" s="351">
        <v>100</v>
      </c>
      <c r="C296" s="351" t="s">
        <v>913</v>
      </c>
      <c r="D296" s="352">
        <v>0.5</v>
      </c>
      <c r="E296" s="352">
        <v>0.3</v>
      </c>
      <c r="F296" s="352">
        <v>7.1</v>
      </c>
    </row>
    <row r="297" spans="1:6" ht="15.75" customHeight="1">
      <c r="A297" s="350" t="s">
        <v>1209</v>
      </c>
      <c r="B297" s="351">
        <v>100</v>
      </c>
      <c r="C297" s="351" t="s">
        <v>913</v>
      </c>
      <c r="D297" s="352">
        <v>19.7</v>
      </c>
      <c r="E297" s="352">
        <v>2.9</v>
      </c>
      <c r="F297" s="352">
        <v>0</v>
      </c>
    </row>
    <row r="298" spans="1:6" ht="15.75" customHeight="1">
      <c r="A298" s="350" t="s">
        <v>1210</v>
      </c>
      <c r="B298" s="351">
        <v>100</v>
      </c>
      <c r="C298" s="351" t="s">
        <v>913</v>
      </c>
      <c r="D298" s="352">
        <v>24</v>
      </c>
      <c r="E298" s="352">
        <v>9.6</v>
      </c>
      <c r="F298" s="352">
        <v>1</v>
      </c>
    </row>
    <row r="299" spans="1:6" ht="15.75" customHeight="1">
      <c r="A299" s="350" t="s">
        <v>1211</v>
      </c>
      <c r="B299" s="351">
        <v>100</v>
      </c>
      <c r="C299" s="351" t="s">
        <v>913</v>
      </c>
      <c r="D299" s="352">
        <v>26.3</v>
      </c>
      <c r="E299" s="352">
        <v>3.7</v>
      </c>
      <c r="F299" s="352">
        <v>0</v>
      </c>
    </row>
    <row r="300" spans="1:6" ht="15.75" customHeight="1">
      <c r="A300" s="350" t="s">
        <v>1212</v>
      </c>
      <c r="B300" s="351">
        <v>100</v>
      </c>
      <c r="C300" s="351" t="s">
        <v>913</v>
      </c>
      <c r="D300" s="352">
        <v>10.8</v>
      </c>
      <c r="E300" s="352">
        <v>6.2</v>
      </c>
      <c r="F300" s="352">
        <v>49.5</v>
      </c>
    </row>
    <row r="301" spans="1:6" ht="15.75" customHeight="1">
      <c r="A301" s="350" t="s">
        <v>1213</v>
      </c>
      <c r="B301" s="351">
        <v>100</v>
      </c>
      <c r="C301" s="351" t="s">
        <v>913</v>
      </c>
      <c r="D301" s="352">
        <v>12.7</v>
      </c>
      <c r="E301" s="352">
        <v>13.8</v>
      </c>
      <c r="F301" s="352">
        <v>25.2</v>
      </c>
    </row>
    <row r="302" spans="1:6" ht="15.75" customHeight="1">
      <c r="A302" s="350" t="s">
        <v>1214</v>
      </c>
      <c r="B302" s="351">
        <v>100</v>
      </c>
      <c r="C302" s="351" t="s">
        <v>913</v>
      </c>
      <c r="D302" s="352">
        <v>11.5</v>
      </c>
      <c r="E302" s="352">
        <v>14</v>
      </c>
      <c r="F302" s="352">
        <v>15.6</v>
      </c>
    </row>
    <row r="303" spans="1:6" ht="15.75" customHeight="1">
      <c r="A303" s="350" t="s">
        <v>1215</v>
      </c>
      <c r="B303" s="351">
        <v>100</v>
      </c>
      <c r="C303" s="351" t="s">
        <v>913</v>
      </c>
      <c r="D303" s="352">
        <v>9.6999999999999993</v>
      </c>
      <c r="E303" s="352">
        <v>8.1</v>
      </c>
      <c r="F303" s="352">
        <v>5.6</v>
      </c>
    </row>
    <row r="304" spans="1:6" ht="15.75" customHeight="1">
      <c r="A304" s="350" t="s">
        <v>1216</v>
      </c>
      <c r="B304" s="351">
        <v>100</v>
      </c>
      <c r="C304" s="351" t="s">
        <v>913</v>
      </c>
      <c r="D304" s="352">
        <v>14.6</v>
      </c>
      <c r="E304" s="352">
        <v>16.899999999999999</v>
      </c>
      <c r="F304" s="352">
        <v>1.8</v>
      </c>
    </row>
    <row r="305" spans="1:6" ht="15.75" customHeight="1">
      <c r="A305" s="350" t="s">
        <v>1217</v>
      </c>
      <c r="B305" s="351">
        <v>100</v>
      </c>
      <c r="C305" s="351" t="s">
        <v>913</v>
      </c>
      <c r="D305" s="352">
        <v>16</v>
      </c>
      <c r="E305" s="352">
        <v>11.8</v>
      </c>
      <c r="F305" s="352">
        <v>2.2000000000000002</v>
      </c>
    </row>
    <row r="306" spans="1:6" ht="15.75" customHeight="1">
      <c r="A306" s="350" t="s">
        <v>1218</v>
      </c>
      <c r="B306" s="351">
        <v>100</v>
      </c>
      <c r="C306" s="351" t="s">
        <v>913</v>
      </c>
      <c r="D306" s="352">
        <v>86.2</v>
      </c>
      <c r="E306" s="352">
        <v>1.5</v>
      </c>
      <c r="F306" s="352">
        <v>0</v>
      </c>
    </row>
    <row r="307" spans="1:6" ht="15.75" customHeight="1">
      <c r="A307" s="350" t="s">
        <v>1219</v>
      </c>
      <c r="B307" s="351">
        <v>100</v>
      </c>
      <c r="C307" s="351" t="s">
        <v>913</v>
      </c>
      <c r="D307" s="352">
        <v>3.5</v>
      </c>
      <c r="E307" s="352">
        <v>1.3</v>
      </c>
      <c r="F307" s="352">
        <v>45.5</v>
      </c>
    </row>
    <row r="308" spans="1:6" ht="15.75" customHeight="1">
      <c r="A308" s="350" t="s">
        <v>1220</v>
      </c>
      <c r="B308" s="351">
        <v>100</v>
      </c>
      <c r="C308" s="351" t="s">
        <v>913</v>
      </c>
      <c r="D308" s="352">
        <v>2.8</v>
      </c>
      <c r="E308" s="352">
        <v>1</v>
      </c>
      <c r="F308" s="352">
        <v>35.9</v>
      </c>
    </row>
    <row r="309" spans="1:6" ht="15.75" customHeight="1">
      <c r="A309" s="350" t="s">
        <v>1221</v>
      </c>
      <c r="B309" s="351">
        <v>100</v>
      </c>
      <c r="C309" s="351" t="s">
        <v>913</v>
      </c>
      <c r="D309" s="352">
        <v>19.600000000000001</v>
      </c>
      <c r="E309" s="352">
        <v>50</v>
      </c>
      <c r="F309" s="352">
        <v>19.399999999999999</v>
      </c>
    </row>
    <row r="310" spans="1:6" ht="15.75" customHeight="1">
      <c r="A310" s="350" t="s">
        <v>1222</v>
      </c>
      <c r="B310" s="351">
        <v>100</v>
      </c>
      <c r="C310" s="351" t="s">
        <v>913</v>
      </c>
      <c r="D310" s="352">
        <v>19.600000000000001</v>
      </c>
      <c r="E310" s="352">
        <v>50</v>
      </c>
      <c r="F310" s="352">
        <v>19.399999999999999</v>
      </c>
    </row>
    <row r="311" spans="1:6" ht="15.75" customHeight="1">
      <c r="A311" s="350" t="s">
        <v>1223</v>
      </c>
      <c r="B311" s="351">
        <v>100</v>
      </c>
      <c r="C311" s="351" t="s">
        <v>913</v>
      </c>
      <c r="D311" s="352">
        <v>9.6</v>
      </c>
      <c r="E311" s="352">
        <v>66.7</v>
      </c>
      <c r="F311" s="352">
        <v>2.6</v>
      </c>
    </row>
    <row r="312" spans="1:6" ht="15.75" customHeight="1">
      <c r="A312" s="350" t="s">
        <v>1224</v>
      </c>
      <c r="B312" s="351">
        <v>100</v>
      </c>
      <c r="C312" s="351" t="s">
        <v>913</v>
      </c>
      <c r="D312" s="352">
        <v>3.1</v>
      </c>
      <c r="E312" s="352">
        <v>1.1000000000000001</v>
      </c>
      <c r="F312" s="352">
        <v>39.799999999999997</v>
      </c>
    </row>
    <row r="313" spans="1:6" ht="15.75" customHeight="1">
      <c r="A313" s="350" t="s">
        <v>1225</v>
      </c>
      <c r="B313" s="351">
        <v>100</v>
      </c>
      <c r="C313" s="351" t="s">
        <v>913</v>
      </c>
      <c r="D313" s="352">
        <v>5.0999999999999996</v>
      </c>
      <c r="E313" s="352">
        <v>2</v>
      </c>
      <c r="F313" s="352">
        <v>70</v>
      </c>
    </row>
    <row r="314" spans="1:6" ht="15.75" customHeight="1">
      <c r="A314" s="350" t="s">
        <v>1226</v>
      </c>
      <c r="B314" s="351">
        <v>100</v>
      </c>
      <c r="C314" s="351" t="s">
        <v>913</v>
      </c>
      <c r="D314" s="352">
        <v>20.5</v>
      </c>
      <c r="E314" s="352">
        <v>12.2</v>
      </c>
      <c r="F314" s="352">
        <v>0</v>
      </c>
    </row>
    <row r="315" spans="1:6" ht="15.75" customHeight="1">
      <c r="A315" s="350" t="s">
        <v>1227</v>
      </c>
      <c r="B315" s="351">
        <v>100</v>
      </c>
      <c r="C315" s="351" t="s">
        <v>913</v>
      </c>
      <c r="D315" s="352">
        <v>20.3</v>
      </c>
      <c r="E315" s="352">
        <v>13.4</v>
      </c>
      <c r="F315" s="352">
        <v>0</v>
      </c>
    </row>
    <row r="316" spans="1:6" ht="15.75" customHeight="1">
      <c r="A316" s="350" t="s">
        <v>1228</v>
      </c>
      <c r="B316" s="351">
        <v>100</v>
      </c>
      <c r="C316" s="351" t="s">
        <v>913</v>
      </c>
      <c r="D316" s="352">
        <v>24</v>
      </c>
      <c r="E316" s="352">
        <v>9.6</v>
      </c>
      <c r="F316" s="352">
        <v>0</v>
      </c>
    </row>
    <row r="317" spans="1:6" ht="15.75" customHeight="1">
      <c r="A317" s="350" t="s">
        <v>1229</v>
      </c>
      <c r="B317" s="351">
        <v>100</v>
      </c>
      <c r="C317" s="351" t="s">
        <v>913</v>
      </c>
      <c r="D317" s="352">
        <v>18.5</v>
      </c>
      <c r="E317" s="352">
        <v>12.2</v>
      </c>
      <c r="F317" s="352">
        <v>0.6</v>
      </c>
    </row>
    <row r="318" spans="1:6" ht="15.75" customHeight="1">
      <c r="A318" s="350" t="s">
        <v>1230</v>
      </c>
      <c r="B318" s="351">
        <v>100</v>
      </c>
      <c r="C318" s="351" t="s">
        <v>913</v>
      </c>
      <c r="D318" s="352">
        <v>12.9</v>
      </c>
      <c r="E318" s="352">
        <v>14.3</v>
      </c>
      <c r="F318" s="352">
        <v>2.2999999999999998</v>
      </c>
    </row>
    <row r="319" spans="1:6" ht="15.75" customHeight="1">
      <c r="A319" s="350" t="s">
        <v>1231</v>
      </c>
      <c r="B319" s="351">
        <v>100</v>
      </c>
      <c r="C319" s="351" t="s">
        <v>913</v>
      </c>
      <c r="D319" s="352">
        <v>1</v>
      </c>
      <c r="E319" s="352">
        <v>0.2</v>
      </c>
      <c r="F319" s="352">
        <v>2.4</v>
      </c>
    </row>
    <row r="320" spans="1:6" ht="15.75" customHeight="1">
      <c r="A320" s="350" t="s">
        <v>1232</v>
      </c>
      <c r="B320" s="351">
        <v>100</v>
      </c>
      <c r="C320" s="351" t="s">
        <v>913</v>
      </c>
      <c r="D320" s="352">
        <v>0.9</v>
      </c>
      <c r="E320" s="352">
        <v>0.2</v>
      </c>
      <c r="F320" s="352">
        <v>3.1</v>
      </c>
    </row>
    <row r="321" spans="1:6" ht="15.75" customHeight="1">
      <c r="A321" s="350" t="s">
        <v>1233</v>
      </c>
      <c r="B321" s="351">
        <v>100</v>
      </c>
      <c r="C321" s="351" t="s">
        <v>913</v>
      </c>
      <c r="D321" s="352">
        <v>1.9</v>
      </c>
      <c r="E321" s="352">
        <v>11.2</v>
      </c>
      <c r="F321" s="352">
        <v>6.2</v>
      </c>
    </row>
    <row r="322" spans="1:6" ht="15.75" customHeight="1">
      <c r="A322" s="350" t="s">
        <v>1234</v>
      </c>
      <c r="B322" s="351">
        <v>100</v>
      </c>
      <c r="C322" s="351" t="s">
        <v>913</v>
      </c>
      <c r="D322" s="352">
        <v>2.8</v>
      </c>
      <c r="E322" s="352">
        <v>0.6</v>
      </c>
      <c r="F322" s="352">
        <v>1.7</v>
      </c>
    </row>
    <row r="323" spans="1:6" ht="15.75" customHeight="1">
      <c r="A323" s="350" t="s">
        <v>1235</v>
      </c>
      <c r="B323" s="351">
        <v>100</v>
      </c>
      <c r="C323" s="351" t="s">
        <v>913</v>
      </c>
      <c r="D323" s="352">
        <v>0.6</v>
      </c>
      <c r="E323" s="352">
        <v>0.1</v>
      </c>
      <c r="F323" s="352">
        <v>4.8</v>
      </c>
    </row>
    <row r="324" spans="1:6" ht="15.75" customHeight="1">
      <c r="A324" s="350" t="s">
        <v>1236</v>
      </c>
      <c r="B324" s="351">
        <v>100</v>
      </c>
      <c r="C324" s="351" t="s">
        <v>913</v>
      </c>
      <c r="D324" s="352">
        <v>0.7</v>
      </c>
      <c r="E324" s="352">
        <v>0</v>
      </c>
      <c r="F324" s="352">
        <v>3.6</v>
      </c>
    </row>
    <row r="325" spans="1:6" ht="15.75" customHeight="1">
      <c r="A325" s="350" t="s">
        <v>1237</v>
      </c>
      <c r="B325" s="351">
        <v>100</v>
      </c>
      <c r="C325" s="351" t="s">
        <v>913</v>
      </c>
      <c r="D325" s="352">
        <v>0.6</v>
      </c>
      <c r="E325" s="352">
        <v>0</v>
      </c>
      <c r="F325" s="352">
        <v>4.4000000000000004</v>
      </c>
    </row>
    <row r="326" spans="1:6" ht="15.75" customHeight="1">
      <c r="A326" s="350" t="s">
        <v>1238</v>
      </c>
      <c r="B326" s="351">
        <v>100</v>
      </c>
      <c r="C326" s="351" t="s">
        <v>913</v>
      </c>
      <c r="D326" s="352">
        <v>15.1</v>
      </c>
      <c r="E326" s="352">
        <v>3.4</v>
      </c>
      <c r="F326" s="352">
        <v>39.799999999999997</v>
      </c>
    </row>
    <row r="327" spans="1:6" ht="15.75" customHeight="1">
      <c r="A327" s="350" t="s">
        <v>1239</v>
      </c>
      <c r="B327" s="351">
        <v>100</v>
      </c>
      <c r="C327" s="351" t="s">
        <v>913</v>
      </c>
      <c r="D327" s="352">
        <v>10.7</v>
      </c>
      <c r="E327" s="352">
        <v>2</v>
      </c>
      <c r="F327" s="352">
        <v>71.5</v>
      </c>
    </row>
    <row r="328" spans="1:6" ht="15.75" customHeight="1">
      <c r="A328" s="350" t="s">
        <v>1240</v>
      </c>
      <c r="B328" s="351">
        <v>100</v>
      </c>
      <c r="C328" s="351" t="s">
        <v>913</v>
      </c>
      <c r="D328" s="352">
        <v>4</v>
      </c>
      <c r="E328" s="352">
        <v>1</v>
      </c>
      <c r="F328" s="352">
        <v>12</v>
      </c>
    </row>
    <row r="329" spans="1:6" ht="15.75" customHeight="1">
      <c r="A329" s="350" t="s">
        <v>1241</v>
      </c>
      <c r="B329" s="351">
        <v>100</v>
      </c>
      <c r="C329" s="351" t="s">
        <v>913</v>
      </c>
      <c r="D329" s="352">
        <v>0.8</v>
      </c>
      <c r="E329" s="352">
        <v>0.7</v>
      </c>
      <c r="F329" s="352">
        <v>13.3</v>
      </c>
    </row>
    <row r="330" spans="1:6" ht="15.75" customHeight="1">
      <c r="A330" s="350" t="s">
        <v>1242</v>
      </c>
      <c r="B330" s="351">
        <v>100</v>
      </c>
      <c r="C330" s="351" t="s">
        <v>913</v>
      </c>
      <c r="D330" s="352">
        <v>0.4</v>
      </c>
      <c r="E330" s="352">
        <v>0.2</v>
      </c>
      <c r="F330" s="352">
        <v>28.7</v>
      </c>
    </row>
    <row r="331" spans="1:6" ht="15.75" customHeight="1">
      <c r="A331" s="350" t="s">
        <v>1243</v>
      </c>
      <c r="B331" s="351">
        <v>100</v>
      </c>
      <c r="C331" s="351" t="s">
        <v>913</v>
      </c>
      <c r="D331" s="352">
        <v>0.4</v>
      </c>
      <c r="E331" s="352">
        <v>0.2</v>
      </c>
      <c r="F331" s="352">
        <v>79.900000000000006</v>
      </c>
    </row>
    <row r="332" spans="1:6" ht="15.75" customHeight="1">
      <c r="A332" s="350" t="s">
        <v>1244</v>
      </c>
      <c r="B332" s="351">
        <v>100</v>
      </c>
      <c r="C332" s="351" t="s">
        <v>913</v>
      </c>
      <c r="D332" s="352">
        <v>4.4000000000000004</v>
      </c>
      <c r="E332" s="352">
        <v>3.8</v>
      </c>
      <c r="F332" s="352">
        <v>72.599999999999994</v>
      </c>
    </row>
    <row r="333" spans="1:6" ht="15.75" customHeight="1">
      <c r="A333" s="350" t="s">
        <v>1245</v>
      </c>
      <c r="B333" s="351">
        <v>100</v>
      </c>
      <c r="C333" s="351" t="s">
        <v>913</v>
      </c>
      <c r="D333" s="352">
        <v>0.4</v>
      </c>
      <c r="E333" s="352">
        <v>0</v>
      </c>
      <c r="F333" s="352">
        <v>0.5</v>
      </c>
    </row>
    <row r="334" spans="1:6" ht="15.75" customHeight="1">
      <c r="A334" s="350" t="s">
        <v>1246</v>
      </c>
      <c r="B334" s="351">
        <v>100</v>
      </c>
      <c r="C334" s="351" t="s">
        <v>913</v>
      </c>
      <c r="D334" s="352">
        <v>0.5</v>
      </c>
      <c r="E334" s="352">
        <v>0</v>
      </c>
      <c r="F334" s="352">
        <v>0.6</v>
      </c>
    </row>
    <row r="335" spans="1:6" ht="15.75" customHeight="1">
      <c r="A335" s="350" t="s">
        <v>1247</v>
      </c>
      <c r="B335" s="351">
        <v>100</v>
      </c>
      <c r="C335" s="351" t="s">
        <v>913</v>
      </c>
      <c r="D335" s="352">
        <v>0.3</v>
      </c>
      <c r="E335" s="352">
        <v>0</v>
      </c>
      <c r="F335" s="352">
        <v>1.5</v>
      </c>
    </row>
    <row r="336" spans="1:6" ht="15.75" customHeight="1">
      <c r="A336" s="350" t="s">
        <v>1248</v>
      </c>
      <c r="B336" s="351">
        <v>100</v>
      </c>
      <c r="C336" s="351" t="s">
        <v>913</v>
      </c>
      <c r="D336" s="352">
        <v>0.1</v>
      </c>
      <c r="E336" s="352">
        <v>0</v>
      </c>
      <c r="F336" s="352">
        <v>0</v>
      </c>
    </row>
    <row r="337" spans="1:6" ht="15.75" customHeight="1">
      <c r="A337" s="350" t="s">
        <v>1249</v>
      </c>
      <c r="B337" s="351">
        <v>100</v>
      </c>
      <c r="C337" s="351" t="s">
        <v>913</v>
      </c>
      <c r="D337" s="352">
        <v>0.1</v>
      </c>
      <c r="E337" s="352">
        <v>0</v>
      </c>
      <c r="F337" s="352">
        <v>0</v>
      </c>
    </row>
    <row r="338" spans="1:6" ht="15.75" customHeight="1">
      <c r="A338" s="350" t="s">
        <v>1250</v>
      </c>
      <c r="B338" s="351">
        <v>100</v>
      </c>
      <c r="C338" s="351" t="s">
        <v>913</v>
      </c>
      <c r="D338" s="352">
        <v>20.3</v>
      </c>
      <c r="E338" s="352">
        <v>12.6</v>
      </c>
      <c r="F338" s="352">
        <v>0.2</v>
      </c>
    </row>
    <row r="339" spans="1:6" ht="15.75" customHeight="1">
      <c r="A339" s="350" t="s">
        <v>1251</v>
      </c>
      <c r="B339" s="351">
        <v>100</v>
      </c>
      <c r="C339" s="351" t="s">
        <v>913</v>
      </c>
      <c r="D339" s="352">
        <v>9.1</v>
      </c>
      <c r="E339" s="352">
        <v>16.3</v>
      </c>
      <c r="F339" s="352">
        <v>39.299999999999997</v>
      </c>
    </row>
    <row r="340" spans="1:6" ht="15.75" customHeight="1">
      <c r="A340" s="350" t="s">
        <v>1252</v>
      </c>
      <c r="B340" s="351">
        <v>100</v>
      </c>
      <c r="C340" s="351" t="s">
        <v>913</v>
      </c>
      <c r="D340" s="352">
        <v>18.899999999999999</v>
      </c>
      <c r="E340" s="352">
        <v>5.4</v>
      </c>
      <c r="F340" s="352">
        <v>0</v>
      </c>
    </row>
    <row r="341" spans="1:6" ht="15.75" customHeight="1">
      <c r="A341" s="350" t="s">
        <v>1253</v>
      </c>
      <c r="B341" s="351">
        <v>100</v>
      </c>
      <c r="C341" s="351" t="s">
        <v>913</v>
      </c>
      <c r="D341" s="352">
        <v>17.899999999999999</v>
      </c>
      <c r="E341" s="352">
        <v>6.7</v>
      </c>
      <c r="F341" s="352">
        <v>0</v>
      </c>
    </row>
    <row r="342" spans="1:6" ht="15.75" customHeight="1">
      <c r="A342" s="350" t="s">
        <v>1254</v>
      </c>
      <c r="B342" s="351">
        <v>100</v>
      </c>
      <c r="C342" s="351" t="s">
        <v>913</v>
      </c>
      <c r="D342" s="352">
        <v>24.1</v>
      </c>
      <c r="E342" s="352">
        <v>6.3</v>
      </c>
      <c r="F342" s="352">
        <v>0</v>
      </c>
    </row>
    <row r="343" spans="1:6" ht="15.75" customHeight="1">
      <c r="A343" s="350" t="s">
        <v>1255</v>
      </c>
      <c r="B343" s="351">
        <v>100</v>
      </c>
      <c r="C343" s="351" t="s">
        <v>913</v>
      </c>
      <c r="D343" s="352">
        <v>21.1</v>
      </c>
      <c r="E343" s="352">
        <v>3</v>
      </c>
      <c r="F343" s="352">
        <v>0</v>
      </c>
    </row>
    <row r="344" spans="1:6" ht="15.75" customHeight="1">
      <c r="A344" s="350" t="s">
        <v>1256</v>
      </c>
      <c r="B344" s="351">
        <v>100</v>
      </c>
      <c r="C344" s="351" t="s">
        <v>913</v>
      </c>
      <c r="D344" s="352">
        <v>19.7</v>
      </c>
      <c r="E344" s="352">
        <v>2.9</v>
      </c>
      <c r="F344" s="352">
        <v>0</v>
      </c>
    </row>
    <row r="345" spans="1:6" ht="15.75" customHeight="1">
      <c r="A345" s="350" t="s">
        <v>1257</v>
      </c>
      <c r="B345" s="351">
        <v>100</v>
      </c>
      <c r="C345" s="351" t="s">
        <v>913</v>
      </c>
      <c r="D345" s="352">
        <v>26.3</v>
      </c>
      <c r="E345" s="352">
        <v>3.7</v>
      </c>
      <c r="F345" s="352">
        <v>0</v>
      </c>
    </row>
    <row r="346" spans="1:6" ht="15.75" customHeight="1">
      <c r="A346" s="350" t="s">
        <v>1258</v>
      </c>
      <c r="B346" s="351">
        <v>100</v>
      </c>
      <c r="C346" s="351" t="s">
        <v>913</v>
      </c>
      <c r="D346" s="352">
        <v>1</v>
      </c>
      <c r="E346" s="352">
        <v>0.1</v>
      </c>
      <c r="F346" s="352">
        <v>0.9</v>
      </c>
    </row>
    <row r="347" spans="1:6" ht="15.75" customHeight="1">
      <c r="A347" s="350" t="s">
        <v>1259</v>
      </c>
      <c r="B347" s="351">
        <v>100</v>
      </c>
      <c r="C347" s="351" t="s">
        <v>913</v>
      </c>
      <c r="D347" s="352">
        <v>16.100000000000001</v>
      </c>
      <c r="E347" s="352">
        <v>33.799999999999997</v>
      </c>
      <c r="F347" s="352">
        <v>0.2</v>
      </c>
    </row>
    <row r="348" spans="1:6" ht="15.75" customHeight="1">
      <c r="A348" s="350" t="s">
        <v>1260</v>
      </c>
      <c r="B348" s="351">
        <v>100</v>
      </c>
      <c r="C348" s="351" t="s">
        <v>913</v>
      </c>
      <c r="D348" s="352">
        <v>18.899999999999999</v>
      </c>
      <c r="E348" s="352">
        <v>0.4</v>
      </c>
      <c r="F348" s="352">
        <v>0</v>
      </c>
    </row>
    <row r="349" spans="1:6" ht="15.75" customHeight="1">
      <c r="A349" s="350" t="s">
        <v>1261</v>
      </c>
      <c r="B349" s="351">
        <v>100</v>
      </c>
      <c r="C349" s="351" t="s">
        <v>913</v>
      </c>
      <c r="D349" s="352">
        <v>25.8</v>
      </c>
      <c r="E349" s="352">
        <v>0.6</v>
      </c>
      <c r="F349" s="352">
        <v>0</v>
      </c>
    </row>
    <row r="350" spans="1:6" ht="15.75" customHeight="1">
      <c r="A350" s="350" t="s">
        <v>1262</v>
      </c>
      <c r="B350" s="351">
        <v>100</v>
      </c>
      <c r="C350" s="351" t="s">
        <v>913</v>
      </c>
      <c r="D350" s="352">
        <v>8</v>
      </c>
      <c r="E350" s="352">
        <v>33.9</v>
      </c>
      <c r="F350" s="352">
        <v>53.1</v>
      </c>
    </row>
    <row r="351" spans="1:6" ht="15.75" customHeight="1">
      <c r="A351" s="350" t="s">
        <v>1263</v>
      </c>
      <c r="B351" s="351">
        <v>100</v>
      </c>
      <c r="C351" s="351" t="s">
        <v>913</v>
      </c>
      <c r="D351" s="352">
        <v>5.4</v>
      </c>
      <c r="E351" s="352">
        <v>30.5</v>
      </c>
      <c r="F351" s="352">
        <v>44</v>
      </c>
    </row>
    <row r="352" spans="1:6" ht="15.75" customHeight="1">
      <c r="A352" s="350" t="s">
        <v>1264</v>
      </c>
      <c r="B352" s="351">
        <v>100</v>
      </c>
      <c r="C352" s="351" t="s">
        <v>913</v>
      </c>
      <c r="D352" s="352">
        <v>4.2</v>
      </c>
      <c r="E352" s="352">
        <v>20.3</v>
      </c>
      <c r="F352" s="352">
        <v>63.8</v>
      </c>
    </row>
    <row r="353" spans="1:6" ht="15.75" customHeight="1">
      <c r="A353" s="350" t="s">
        <v>1265</v>
      </c>
      <c r="B353" s="351">
        <v>100</v>
      </c>
      <c r="C353" s="351" t="s">
        <v>913</v>
      </c>
      <c r="D353" s="352">
        <v>5.2</v>
      </c>
      <c r="E353" s="352">
        <v>31.7</v>
      </c>
      <c r="F353" s="352">
        <v>52.6</v>
      </c>
    </row>
    <row r="354" spans="1:6" ht="15.75" customHeight="1">
      <c r="A354" s="350" t="s">
        <v>1266</v>
      </c>
      <c r="B354" s="351">
        <v>100</v>
      </c>
      <c r="C354" s="351" t="s">
        <v>913</v>
      </c>
      <c r="D354" s="352">
        <v>20</v>
      </c>
      <c r="E354" s="352">
        <v>44.1</v>
      </c>
      <c r="F354" s="352">
        <v>0</v>
      </c>
    </row>
    <row r="355" spans="1:6" ht="15.75" customHeight="1">
      <c r="A355" s="350" t="s">
        <v>1267</v>
      </c>
      <c r="B355" s="351">
        <v>100</v>
      </c>
      <c r="C355" s="351" t="s">
        <v>913</v>
      </c>
      <c r="D355" s="352">
        <v>15.4</v>
      </c>
      <c r="E355" s="352">
        <v>53.6</v>
      </c>
      <c r="F355" s="352">
        <v>0</v>
      </c>
    </row>
    <row r="356" spans="1:6" ht="15.75" customHeight="1">
      <c r="A356" s="350" t="s">
        <v>1268</v>
      </c>
      <c r="B356" s="351">
        <v>100</v>
      </c>
      <c r="C356" s="351" t="s">
        <v>913</v>
      </c>
      <c r="D356" s="352">
        <v>24.8</v>
      </c>
      <c r="E356" s="352">
        <v>26.1</v>
      </c>
      <c r="F356" s="352">
        <v>0</v>
      </c>
    </row>
    <row r="357" spans="1:6" ht="15.75" customHeight="1">
      <c r="A357" s="350" t="s">
        <v>1269</v>
      </c>
      <c r="B357" s="351">
        <v>100</v>
      </c>
      <c r="C357" s="351" t="s">
        <v>913</v>
      </c>
      <c r="D357" s="352">
        <v>24.5</v>
      </c>
      <c r="E357" s="352">
        <v>34.5</v>
      </c>
      <c r="F357" s="352">
        <v>0</v>
      </c>
    </row>
    <row r="358" spans="1:6" ht="15.75" customHeight="1">
      <c r="A358" s="350" t="s">
        <v>1270</v>
      </c>
      <c r="B358" s="351">
        <v>100</v>
      </c>
      <c r="C358" s="351" t="s">
        <v>913</v>
      </c>
      <c r="D358" s="352">
        <v>31.6</v>
      </c>
      <c r="E358" s="352">
        <v>24.1</v>
      </c>
      <c r="F358" s="352">
        <v>0</v>
      </c>
    </row>
    <row r="359" spans="1:6" ht="15.75" customHeight="1">
      <c r="A359" s="350" t="s">
        <v>1271</v>
      </c>
      <c r="B359" s="351">
        <v>100</v>
      </c>
      <c r="C359" s="351" t="s">
        <v>913</v>
      </c>
      <c r="D359" s="352">
        <v>11.2</v>
      </c>
      <c r="E359" s="352">
        <v>24.2</v>
      </c>
      <c r="F359" s="352">
        <v>0</v>
      </c>
    </row>
    <row r="360" spans="1:6" ht="15.75" customHeight="1">
      <c r="A360" s="350" t="s">
        <v>1272</v>
      </c>
      <c r="B360" s="351">
        <v>100</v>
      </c>
      <c r="C360" s="351" t="s">
        <v>913</v>
      </c>
      <c r="D360" s="352">
        <v>11</v>
      </c>
      <c r="E360" s="352">
        <v>31.6</v>
      </c>
      <c r="F360" s="352">
        <v>0</v>
      </c>
    </row>
    <row r="361" spans="1:6" ht="15.75" customHeight="1">
      <c r="A361" s="350" t="s">
        <v>1273</v>
      </c>
      <c r="B361" s="351">
        <v>100</v>
      </c>
      <c r="C361" s="351" t="s">
        <v>913</v>
      </c>
      <c r="D361" s="352">
        <v>0.8</v>
      </c>
      <c r="E361" s="352">
        <v>0.1</v>
      </c>
      <c r="F361" s="352">
        <v>2.9</v>
      </c>
    </row>
    <row r="362" spans="1:6" ht="15.75" customHeight="1">
      <c r="A362" s="350" t="s">
        <v>1274</v>
      </c>
      <c r="B362" s="351">
        <v>100</v>
      </c>
      <c r="C362" s="351" t="s">
        <v>913</v>
      </c>
      <c r="D362" s="352">
        <v>1.3</v>
      </c>
      <c r="E362" s="352">
        <v>0.3</v>
      </c>
      <c r="F362" s="352">
        <v>1.1000000000000001</v>
      </c>
    </row>
    <row r="363" spans="1:6" ht="15.75" customHeight="1">
      <c r="A363" s="350" t="s">
        <v>1275</v>
      </c>
      <c r="B363" s="351">
        <v>100</v>
      </c>
      <c r="C363" s="351" t="s">
        <v>913</v>
      </c>
      <c r="D363" s="352">
        <v>11</v>
      </c>
      <c r="E363" s="352">
        <v>0.3</v>
      </c>
      <c r="F363" s="352">
        <v>0</v>
      </c>
    </row>
    <row r="364" spans="1:6" ht="15.75" customHeight="1">
      <c r="A364" s="350" t="s">
        <v>1276</v>
      </c>
      <c r="B364" s="351">
        <v>100</v>
      </c>
      <c r="C364" s="351" t="s">
        <v>913</v>
      </c>
      <c r="D364" s="352">
        <v>10.5</v>
      </c>
      <c r="E364" s="352">
        <v>0</v>
      </c>
      <c r="F364" s="352">
        <v>1</v>
      </c>
    </row>
    <row r="365" spans="1:6" ht="15.75" customHeight="1">
      <c r="A365" s="350" t="s">
        <v>1277</v>
      </c>
      <c r="B365" s="351">
        <v>100</v>
      </c>
      <c r="C365" s="351" t="s">
        <v>913</v>
      </c>
      <c r="D365" s="352">
        <v>0.8</v>
      </c>
      <c r="E365" s="352">
        <v>0.2</v>
      </c>
      <c r="F365" s="352">
        <v>11.1</v>
      </c>
    </row>
    <row r="366" spans="1:6" ht="15.75" customHeight="1">
      <c r="A366" s="350" t="s">
        <v>1278</v>
      </c>
      <c r="B366" s="351">
        <v>100</v>
      </c>
      <c r="C366" s="351" t="s">
        <v>913</v>
      </c>
      <c r="D366" s="352">
        <v>5.6</v>
      </c>
      <c r="E366" s="352">
        <v>62</v>
      </c>
      <c r="F366" s="352">
        <v>6.4</v>
      </c>
    </row>
    <row r="367" spans="1:6" ht="15.75" customHeight="1">
      <c r="A367" s="350" t="s">
        <v>1279</v>
      </c>
      <c r="B367" s="351">
        <v>100</v>
      </c>
      <c r="C367" s="351" t="s">
        <v>913</v>
      </c>
      <c r="D367" s="352">
        <v>22.1</v>
      </c>
      <c r="E367" s="352">
        <v>3.4</v>
      </c>
      <c r="F367" s="352">
        <v>0</v>
      </c>
    </row>
    <row r="368" spans="1:6" ht="15.75" customHeight="1">
      <c r="A368" s="350" t="s">
        <v>1280</v>
      </c>
      <c r="B368" s="351">
        <v>100</v>
      </c>
      <c r="C368" s="351" t="s">
        <v>913</v>
      </c>
      <c r="D368" s="352">
        <v>21.5</v>
      </c>
      <c r="E368" s="352">
        <v>9.3000000000000007</v>
      </c>
      <c r="F368" s="352">
        <v>0</v>
      </c>
    </row>
    <row r="369" spans="1:6" ht="15.75" customHeight="1">
      <c r="A369" s="350" t="s">
        <v>1281</v>
      </c>
      <c r="B369" s="351">
        <v>100</v>
      </c>
      <c r="C369" s="351" t="s">
        <v>913</v>
      </c>
      <c r="D369" s="352">
        <v>25.6</v>
      </c>
      <c r="E369" s="352">
        <v>13.4</v>
      </c>
      <c r="F369" s="352">
        <v>0.7</v>
      </c>
    </row>
    <row r="370" spans="1:6" ht="15.75" customHeight="1">
      <c r="A370" s="350" t="s">
        <v>1282</v>
      </c>
      <c r="B370" s="351">
        <v>100</v>
      </c>
      <c r="C370" s="351" t="s">
        <v>913</v>
      </c>
      <c r="D370" s="352">
        <v>24.5</v>
      </c>
      <c r="E370" s="352">
        <v>11.6</v>
      </c>
      <c r="F370" s="352">
        <v>0</v>
      </c>
    </row>
    <row r="371" spans="1:6" ht="15.75" customHeight="1">
      <c r="A371" s="350" t="s">
        <v>1283</v>
      </c>
      <c r="B371" s="351">
        <v>100</v>
      </c>
      <c r="C371" s="351" t="s">
        <v>913</v>
      </c>
      <c r="D371" s="352">
        <v>12.3</v>
      </c>
      <c r="E371" s="352">
        <v>12.7</v>
      </c>
      <c r="F371" s="352">
        <v>1.6</v>
      </c>
    </row>
    <row r="372" spans="1:6" ht="15.75" customHeight="1">
      <c r="A372" s="350" t="s">
        <v>1284</v>
      </c>
      <c r="B372" s="351">
        <v>100</v>
      </c>
      <c r="C372" s="351" t="s">
        <v>913</v>
      </c>
      <c r="D372" s="352">
        <v>20.3</v>
      </c>
      <c r="E372" s="352">
        <v>4</v>
      </c>
      <c r="F372" s="352">
        <v>0</v>
      </c>
    </row>
    <row r="373" spans="1:6" ht="15.75" customHeight="1">
      <c r="A373" s="350" t="s">
        <v>1285</v>
      </c>
      <c r="B373" s="351">
        <v>100</v>
      </c>
      <c r="C373" s="351" t="s">
        <v>913</v>
      </c>
      <c r="D373" s="352">
        <v>11.3</v>
      </c>
      <c r="E373" s="352">
        <v>11.6</v>
      </c>
      <c r="F373" s="352">
        <v>1.4</v>
      </c>
    </row>
    <row r="374" spans="1:6" ht="15.75" customHeight="1">
      <c r="A374" s="350" t="s">
        <v>1286</v>
      </c>
      <c r="B374" s="351">
        <v>100</v>
      </c>
      <c r="C374" s="351" t="s">
        <v>913</v>
      </c>
      <c r="D374" s="352">
        <v>26.6</v>
      </c>
      <c r="E374" s="352">
        <v>10.199999999999999</v>
      </c>
      <c r="F374" s="352">
        <v>0.9</v>
      </c>
    </row>
    <row r="375" spans="1:6" ht="15.75" customHeight="1">
      <c r="A375" s="350" t="s">
        <v>1287</v>
      </c>
      <c r="B375" s="351">
        <v>100</v>
      </c>
      <c r="C375" s="351" t="s">
        <v>913</v>
      </c>
      <c r="D375" s="352">
        <v>26.6</v>
      </c>
      <c r="E375" s="352">
        <v>11</v>
      </c>
      <c r="F375" s="352">
        <v>0.9</v>
      </c>
    </row>
    <row r="376" spans="1:6" ht="15.75" customHeight="1">
      <c r="A376" s="350" t="s">
        <v>1288</v>
      </c>
      <c r="B376" s="351">
        <v>100</v>
      </c>
      <c r="C376" s="351" t="s">
        <v>913</v>
      </c>
      <c r="D376" s="352">
        <v>26.6</v>
      </c>
      <c r="E376" s="352">
        <v>9.5</v>
      </c>
      <c r="F376" s="352">
        <v>0.9</v>
      </c>
    </row>
    <row r="377" spans="1:6" ht="15.75" customHeight="1">
      <c r="A377" s="350" t="s">
        <v>1289</v>
      </c>
      <c r="B377" s="351">
        <v>100</v>
      </c>
      <c r="C377" s="351" t="s">
        <v>913</v>
      </c>
      <c r="D377" s="352">
        <v>2.4</v>
      </c>
      <c r="E377" s="352">
        <v>0.6</v>
      </c>
      <c r="F377" s="352">
        <v>1.8</v>
      </c>
    </row>
    <row r="378" spans="1:6" ht="15.75" customHeight="1">
      <c r="A378" s="350" t="s">
        <v>1290</v>
      </c>
      <c r="B378" s="351">
        <v>100</v>
      </c>
      <c r="C378" s="351" t="s">
        <v>913</v>
      </c>
      <c r="D378" s="352">
        <v>1.8</v>
      </c>
      <c r="E378" s="352">
        <v>0.5</v>
      </c>
      <c r="F378" s="352">
        <v>0.5</v>
      </c>
    </row>
    <row r="379" spans="1:6" ht="15.75" customHeight="1">
      <c r="A379" s="350" t="s">
        <v>1291</v>
      </c>
      <c r="B379" s="351">
        <v>100</v>
      </c>
      <c r="C379" s="351" t="s">
        <v>913</v>
      </c>
      <c r="D379" s="352">
        <v>2.1</v>
      </c>
      <c r="E379" s="352">
        <v>0.4</v>
      </c>
      <c r="F379" s="352">
        <v>0</v>
      </c>
    </row>
    <row r="380" spans="1:6" ht="15.75" customHeight="1">
      <c r="A380" s="350" t="s">
        <v>1292</v>
      </c>
      <c r="B380" s="351">
        <v>100</v>
      </c>
      <c r="C380" s="351" t="s">
        <v>913</v>
      </c>
      <c r="D380" s="352">
        <v>2.4</v>
      </c>
      <c r="E380" s="352">
        <v>16.2</v>
      </c>
      <c r="F380" s="352">
        <v>0.3</v>
      </c>
    </row>
    <row r="381" spans="1:6" ht="15.75" customHeight="1">
      <c r="A381" s="350" t="s">
        <v>1293</v>
      </c>
      <c r="B381" s="351">
        <v>100</v>
      </c>
      <c r="C381" s="351" t="s">
        <v>913</v>
      </c>
      <c r="D381" s="352">
        <v>14.8</v>
      </c>
      <c r="E381" s="352">
        <v>13</v>
      </c>
      <c r="F381" s="352">
        <v>35</v>
      </c>
    </row>
    <row r="382" spans="1:6" ht="15.75" customHeight="1">
      <c r="A382" s="350" t="s">
        <v>1294</v>
      </c>
      <c r="B382" s="351">
        <v>100</v>
      </c>
      <c r="C382" s="351" t="s">
        <v>913</v>
      </c>
      <c r="D382" s="352">
        <v>18</v>
      </c>
      <c r="E382" s="352">
        <v>22</v>
      </c>
      <c r="F382" s="352">
        <v>34</v>
      </c>
    </row>
    <row r="383" spans="1:6" ht="15.75" customHeight="1">
      <c r="A383" s="350" t="s">
        <v>1295</v>
      </c>
      <c r="B383" s="351">
        <v>100</v>
      </c>
      <c r="C383" s="351" t="s">
        <v>913</v>
      </c>
      <c r="D383" s="352">
        <v>0.3</v>
      </c>
      <c r="E383" s="352">
        <v>0</v>
      </c>
      <c r="F383" s="352">
        <v>49.2</v>
      </c>
    </row>
    <row r="384" spans="1:6" ht="15.75" customHeight="1">
      <c r="A384" s="350" t="s">
        <v>1296</v>
      </c>
      <c r="B384" s="351">
        <v>100</v>
      </c>
      <c r="C384" s="351" t="s">
        <v>913</v>
      </c>
      <c r="D384" s="352">
        <v>0.5</v>
      </c>
      <c r="E384" s="352">
        <v>0.1</v>
      </c>
      <c r="F384" s="352">
        <v>50.8</v>
      </c>
    </row>
    <row r="385" spans="1:6" ht="15.75" customHeight="1">
      <c r="A385" s="350" t="s">
        <v>1297</v>
      </c>
      <c r="B385" s="351">
        <v>100</v>
      </c>
      <c r="C385" s="351" t="s">
        <v>913</v>
      </c>
      <c r="D385" s="352">
        <v>0.4</v>
      </c>
      <c r="E385" s="352">
        <v>0</v>
      </c>
      <c r="F385" s="352">
        <v>61.9</v>
      </c>
    </row>
    <row r="386" spans="1:6" ht="15.75" customHeight="1">
      <c r="A386" s="350" t="s">
        <v>1298</v>
      </c>
      <c r="B386" s="351">
        <v>100</v>
      </c>
      <c r="C386" s="351" t="s">
        <v>913</v>
      </c>
      <c r="D386" s="352">
        <v>0.4</v>
      </c>
      <c r="E386" s="352">
        <v>0</v>
      </c>
      <c r="F386" s="352">
        <v>58.9</v>
      </c>
    </row>
    <row r="387" spans="1:6" ht="15.75" customHeight="1">
      <c r="A387" s="350" t="s">
        <v>1299</v>
      </c>
      <c r="B387" s="351">
        <v>100</v>
      </c>
      <c r="C387" s="351" t="s">
        <v>913</v>
      </c>
      <c r="D387" s="352">
        <v>0.4</v>
      </c>
      <c r="E387" s="352">
        <v>0</v>
      </c>
      <c r="F387" s="352">
        <v>59.5</v>
      </c>
    </row>
    <row r="388" spans="1:6" ht="15.75" customHeight="1">
      <c r="A388" s="350" t="s">
        <v>1300</v>
      </c>
      <c r="B388" s="351">
        <v>100</v>
      </c>
      <c r="C388" s="351" t="s">
        <v>913</v>
      </c>
      <c r="D388" s="352">
        <v>5.7</v>
      </c>
      <c r="E388" s="352">
        <v>6.4</v>
      </c>
      <c r="F388" s="352">
        <v>18.5</v>
      </c>
    </row>
    <row r="389" spans="1:6" ht="15.75" customHeight="1">
      <c r="A389" s="350" t="s">
        <v>1301</v>
      </c>
      <c r="B389" s="351">
        <v>100</v>
      </c>
      <c r="C389" s="351" t="s">
        <v>913</v>
      </c>
      <c r="D389" s="352">
        <v>15.6</v>
      </c>
      <c r="E389" s="352">
        <v>9.3000000000000007</v>
      </c>
      <c r="F389" s="352">
        <v>0.7</v>
      </c>
    </row>
    <row r="390" spans="1:6" ht="15.75" customHeight="1">
      <c r="A390" s="350" t="s">
        <v>1302</v>
      </c>
      <c r="B390" s="351">
        <v>100</v>
      </c>
      <c r="C390" s="351" t="s">
        <v>913</v>
      </c>
      <c r="D390" s="352">
        <v>18.399999999999999</v>
      </c>
      <c r="E390" s="352">
        <v>4.4000000000000004</v>
      </c>
      <c r="F390" s="352">
        <v>0</v>
      </c>
    </row>
    <row r="391" spans="1:6" ht="15.75" customHeight="1">
      <c r="A391" s="350" t="s">
        <v>1303</v>
      </c>
      <c r="B391" s="351">
        <v>100</v>
      </c>
      <c r="C391" s="351" t="s">
        <v>913</v>
      </c>
      <c r="D391" s="352">
        <v>20.9</v>
      </c>
      <c r="E391" s="352">
        <v>10.5</v>
      </c>
      <c r="F391" s="352">
        <v>1</v>
      </c>
    </row>
    <row r="392" spans="1:6" ht="15.75" customHeight="1">
      <c r="A392" s="350" t="s">
        <v>1304</v>
      </c>
      <c r="B392" s="351">
        <v>100</v>
      </c>
      <c r="C392" s="351" t="s">
        <v>913</v>
      </c>
      <c r="D392" s="352">
        <v>23.4</v>
      </c>
      <c r="E392" s="352">
        <v>3.3</v>
      </c>
      <c r="F392" s="352">
        <v>0</v>
      </c>
    </row>
    <row r="393" spans="1:6" ht="15.75" customHeight="1">
      <c r="A393" s="350" t="s">
        <v>1305</v>
      </c>
      <c r="B393" s="351">
        <v>100</v>
      </c>
      <c r="C393" s="351" t="s">
        <v>913</v>
      </c>
      <c r="D393" s="352">
        <v>17</v>
      </c>
      <c r="E393" s="352">
        <v>2.7</v>
      </c>
      <c r="F393" s="352">
        <v>0</v>
      </c>
    </row>
    <row r="394" spans="1:6" ht="15.75" customHeight="1">
      <c r="A394" s="350" t="s">
        <v>1306</v>
      </c>
      <c r="B394" s="351">
        <v>100</v>
      </c>
      <c r="C394" s="351" t="s">
        <v>913</v>
      </c>
      <c r="D394" s="352">
        <v>17.7</v>
      </c>
      <c r="E394" s="352">
        <v>7.8</v>
      </c>
      <c r="F394" s="352">
        <v>0.9</v>
      </c>
    </row>
    <row r="395" spans="1:6" ht="15.75" customHeight="1">
      <c r="A395" s="350" t="s">
        <v>1307</v>
      </c>
      <c r="B395" s="351">
        <v>100</v>
      </c>
      <c r="C395" s="351" t="s">
        <v>913</v>
      </c>
      <c r="D395" s="352">
        <v>16.8</v>
      </c>
      <c r="E395" s="352">
        <v>3.6</v>
      </c>
      <c r="F395" s="352">
        <v>0</v>
      </c>
    </row>
    <row r="396" spans="1:6" ht="15.75" customHeight="1">
      <c r="A396" s="350" t="s">
        <v>1308</v>
      </c>
      <c r="B396" s="351">
        <v>100</v>
      </c>
      <c r="C396" s="351" t="s">
        <v>913</v>
      </c>
      <c r="D396" s="352">
        <v>20.7</v>
      </c>
      <c r="E396" s="352">
        <v>1.4</v>
      </c>
      <c r="F396" s="352">
        <v>0</v>
      </c>
    </row>
    <row r="397" spans="1:6" ht="15.75" customHeight="1">
      <c r="A397" s="350" t="s">
        <v>1309</v>
      </c>
      <c r="B397" s="351">
        <v>100</v>
      </c>
      <c r="C397" s="351" t="s">
        <v>913</v>
      </c>
      <c r="D397" s="352">
        <v>20.399999999999999</v>
      </c>
      <c r="E397" s="352">
        <v>1.4</v>
      </c>
      <c r="F397" s="352">
        <v>0</v>
      </c>
    </row>
    <row r="398" spans="1:6" ht="15.75" customHeight="1">
      <c r="A398" s="350" t="s">
        <v>1310</v>
      </c>
      <c r="B398" s="351">
        <v>100</v>
      </c>
      <c r="C398" s="351" t="s">
        <v>913</v>
      </c>
      <c r="D398" s="352">
        <v>23.9</v>
      </c>
      <c r="E398" s="352">
        <v>2.7</v>
      </c>
      <c r="F398" s="352">
        <v>0</v>
      </c>
    </row>
    <row r="399" spans="1:6" ht="15.75" customHeight="1">
      <c r="A399" s="350" t="s">
        <v>1311</v>
      </c>
      <c r="B399" s="351">
        <v>100</v>
      </c>
      <c r="C399" s="351" t="s">
        <v>913</v>
      </c>
      <c r="D399" s="352">
        <v>30.9</v>
      </c>
      <c r="E399" s="352">
        <v>3</v>
      </c>
      <c r="F399" s="352">
        <v>0</v>
      </c>
    </row>
    <row r="400" spans="1:6" ht="15.75" customHeight="1">
      <c r="A400" s="350" t="s">
        <v>1312</v>
      </c>
      <c r="B400" s="351">
        <v>100</v>
      </c>
      <c r="C400" s="351" t="s">
        <v>913</v>
      </c>
      <c r="D400" s="352">
        <v>20.8</v>
      </c>
      <c r="E400" s="352">
        <v>7.5</v>
      </c>
      <c r="F400" s="352">
        <v>0</v>
      </c>
    </row>
    <row r="401" spans="1:6" ht="15.75" customHeight="1">
      <c r="A401" s="350" t="s">
        <v>1313</v>
      </c>
      <c r="B401" s="351">
        <v>100</v>
      </c>
      <c r="C401" s="351" t="s">
        <v>913</v>
      </c>
      <c r="D401" s="352">
        <v>17.3</v>
      </c>
      <c r="E401" s="352">
        <v>31.8</v>
      </c>
      <c r="F401" s="352">
        <v>0</v>
      </c>
    </row>
    <row r="402" spans="1:6" ht="15.75" customHeight="1">
      <c r="A402" s="350" t="s">
        <v>1314</v>
      </c>
      <c r="B402" s="351">
        <v>100</v>
      </c>
      <c r="C402" s="351" t="s">
        <v>913</v>
      </c>
      <c r="D402" s="352">
        <v>24.3</v>
      </c>
      <c r="E402" s="352">
        <v>23.1</v>
      </c>
      <c r="F402" s="352">
        <v>0</v>
      </c>
    </row>
    <row r="403" spans="1:6" ht="15.75" customHeight="1">
      <c r="A403" s="350" t="s">
        <v>1315</v>
      </c>
      <c r="B403" s="351">
        <v>100</v>
      </c>
      <c r="C403" s="351" t="s">
        <v>913</v>
      </c>
      <c r="D403" s="352">
        <v>18.100000000000001</v>
      </c>
      <c r="E403" s="352">
        <v>14.4</v>
      </c>
      <c r="F403" s="352">
        <v>0.8</v>
      </c>
    </row>
    <row r="404" spans="1:6" ht="15.75" customHeight="1">
      <c r="A404" s="350" t="s">
        <v>1316</v>
      </c>
      <c r="B404" s="351">
        <v>100</v>
      </c>
      <c r="C404" s="351" t="s">
        <v>913</v>
      </c>
      <c r="D404" s="352">
        <v>19.8</v>
      </c>
      <c r="E404" s="352">
        <v>15.8</v>
      </c>
      <c r="F404" s="352">
        <v>0</v>
      </c>
    </row>
    <row r="405" spans="1:6" ht="15.75" customHeight="1">
      <c r="A405" s="350" t="s">
        <v>1317</v>
      </c>
      <c r="B405" s="351">
        <v>100</v>
      </c>
      <c r="C405" s="351" t="s">
        <v>913</v>
      </c>
      <c r="D405" s="352">
        <v>21.1</v>
      </c>
      <c r="E405" s="352">
        <v>20.5</v>
      </c>
      <c r="F405" s="352">
        <v>0.7</v>
      </c>
    </row>
    <row r="406" spans="1:6" ht="15.75" customHeight="1">
      <c r="A406" s="350" t="s">
        <v>1318</v>
      </c>
      <c r="B406" s="351">
        <v>100</v>
      </c>
      <c r="C406" s="351" t="s">
        <v>913</v>
      </c>
      <c r="D406" s="352">
        <v>21.1</v>
      </c>
      <c r="E406" s="352">
        <v>20.7</v>
      </c>
      <c r="F406" s="352">
        <v>0.7</v>
      </c>
    </row>
    <row r="407" spans="1:6" ht="15.75" customHeight="1">
      <c r="A407" s="350" t="s">
        <v>1319</v>
      </c>
      <c r="B407" s="351">
        <v>100</v>
      </c>
      <c r="C407" s="351" t="s">
        <v>913</v>
      </c>
      <c r="D407" s="352">
        <v>21.1</v>
      </c>
      <c r="E407" s="352">
        <v>20.399999999999999</v>
      </c>
      <c r="F407" s="352">
        <v>0.7</v>
      </c>
    </row>
    <row r="408" spans="1:6" ht="15.75" customHeight="1">
      <c r="A408" s="350" t="s">
        <v>1320</v>
      </c>
      <c r="B408" s="351">
        <v>100</v>
      </c>
      <c r="C408" s="351" t="s">
        <v>913</v>
      </c>
      <c r="D408" s="352">
        <v>21.1</v>
      </c>
      <c r="E408" s="352">
        <v>19.899999999999999</v>
      </c>
      <c r="F408" s="352">
        <v>0.7</v>
      </c>
    </row>
    <row r="409" spans="1:6" ht="15.75" customHeight="1">
      <c r="A409" s="350" t="s">
        <v>1321</v>
      </c>
      <c r="B409" s="351">
        <v>100</v>
      </c>
      <c r="C409" s="351" t="s">
        <v>913</v>
      </c>
      <c r="D409" s="352">
        <v>21.1</v>
      </c>
      <c r="E409" s="352">
        <v>20.7</v>
      </c>
      <c r="F409" s="352">
        <v>0.7</v>
      </c>
    </row>
    <row r="410" spans="1:6" ht="15.75" customHeight="1">
      <c r="A410" s="350" t="s">
        <v>1322</v>
      </c>
      <c r="B410" s="351">
        <v>100</v>
      </c>
      <c r="C410" s="351" t="s">
        <v>913</v>
      </c>
      <c r="D410" s="352">
        <v>26.9</v>
      </c>
      <c r="E410" s="352">
        <v>19.600000000000001</v>
      </c>
      <c r="F410" s="352">
        <v>0</v>
      </c>
    </row>
    <row r="411" spans="1:6" ht="15.75" customHeight="1">
      <c r="A411" s="350" t="s">
        <v>1323</v>
      </c>
      <c r="B411" s="351">
        <v>100</v>
      </c>
      <c r="C411" s="351" t="s">
        <v>913</v>
      </c>
      <c r="D411" s="352">
        <v>22.1</v>
      </c>
      <c r="E411" s="352">
        <v>24.1</v>
      </c>
      <c r="F411" s="352">
        <v>8.6</v>
      </c>
    </row>
    <row r="412" spans="1:6" ht="15.75" customHeight="1">
      <c r="A412" s="350" t="s">
        <v>1324</v>
      </c>
      <c r="B412" s="351">
        <v>100</v>
      </c>
      <c r="C412" s="351" t="s">
        <v>913</v>
      </c>
      <c r="D412" s="352">
        <v>27</v>
      </c>
      <c r="E412" s="352">
        <v>17</v>
      </c>
      <c r="F412" s="352">
        <v>0</v>
      </c>
    </row>
    <row r="413" spans="1:6" ht="15.75" customHeight="1">
      <c r="A413" s="350" t="s">
        <v>1325</v>
      </c>
      <c r="B413" s="351">
        <v>100</v>
      </c>
      <c r="C413" s="351" t="s">
        <v>913</v>
      </c>
      <c r="D413" s="352">
        <v>20</v>
      </c>
      <c r="E413" s="352">
        <v>4.5</v>
      </c>
      <c r="F413" s="352">
        <v>0</v>
      </c>
    </row>
    <row r="414" spans="1:6" ht="15.75" customHeight="1">
      <c r="A414" s="350" t="s">
        <v>1326</v>
      </c>
      <c r="B414" s="351">
        <v>100</v>
      </c>
      <c r="C414" s="351" t="s">
        <v>913</v>
      </c>
      <c r="D414" s="352">
        <v>23.4</v>
      </c>
      <c r="E414" s="352">
        <v>9.9</v>
      </c>
      <c r="F414" s="352">
        <v>0</v>
      </c>
    </row>
    <row r="415" spans="1:6" ht="15.75" customHeight="1">
      <c r="A415" s="350" t="s">
        <v>1327</v>
      </c>
      <c r="B415" s="351">
        <v>100</v>
      </c>
      <c r="C415" s="351" t="s">
        <v>913</v>
      </c>
      <c r="D415" s="352">
        <v>19.7</v>
      </c>
      <c r="E415" s="352">
        <v>5.3</v>
      </c>
      <c r="F415" s="352">
        <v>3.4</v>
      </c>
    </row>
    <row r="416" spans="1:6" ht="15.75" customHeight="1">
      <c r="A416" s="350" t="s">
        <v>1328</v>
      </c>
      <c r="B416" s="351">
        <v>100</v>
      </c>
      <c r="C416" s="351" t="s">
        <v>913</v>
      </c>
      <c r="D416" s="352">
        <v>24.3</v>
      </c>
      <c r="E416" s="352">
        <v>6.9</v>
      </c>
      <c r="F416" s="352">
        <v>0</v>
      </c>
    </row>
    <row r="417" spans="1:6" ht="15.75" customHeight="1">
      <c r="A417" s="350" t="s">
        <v>1329</v>
      </c>
      <c r="B417" s="351">
        <v>100</v>
      </c>
      <c r="C417" s="351" t="s">
        <v>913</v>
      </c>
      <c r="D417" s="352">
        <v>25.2</v>
      </c>
      <c r="E417" s="352">
        <v>3.3</v>
      </c>
      <c r="F417" s="352">
        <v>0</v>
      </c>
    </row>
    <row r="418" spans="1:6" ht="15.75" customHeight="1">
      <c r="A418" s="350" t="s">
        <v>1330</v>
      </c>
      <c r="B418" s="351">
        <v>100</v>
      </c>
      <c r="C418" s="351" t="s">
        <v>913</v>
      </c>
      <c r="D418" s="352">
        <v>23.3</v>
      </c>
      <c r="E418" s="352">
        <v>15.6</v>
      </c>
      <c r="F418" s="352">
        <v>0</v>
      </c>
    </row>
    <row r="419" spans="1:6" ht="15.75" customHeight="1">
      <c r="A419" s="350" t="s">
        <v>1331</v>
      </c>
      <c r="B419" s="351">
        <v>100</v>
      </c>
      <c r="C419" s="351" t="s">
        <v>913</v>
      </c>
      <c r="D419" s="352">
        <v>23.3</v>
      </c>
      <c r="E419" s="352">
        <v>14.5</v>
      </c>
      <c r="F419" s="352">
        <v>0</v>
      </c>
    </row>
    <row r="420" spans="1:6" ht="15.75" customHeight="1">
      <c r="A420" s="350" t="s">
        <v>1332</v>
      </c>
      <c r="B420" s="351">
        <v>100</v>
      </c>
      <c r="C420" s="351" t="s">
        <v>913</v>
      </c>
      <c r="D420" s="352">
        <v>24.1</v>
      </c>
      <c r="E420" s="352">
        <v>8</v>
      </c>
      <c r="F420" s="352">
        <v>0</v>
      </c>
    </row>
    <row r="421" spans="1:6" ht="15.75" customHeight="1">
      <c r="A421" s="350" t="s">
        <v>1333</v>
      </c>
      <c r="B421" s="351">
        <v>100</v>
      </c>
      <c r="C421" s="351" t="s">
        <v>913</v>
      </c>
      <c r="D421" s="352">
        <v>26.5</v>
      </c>
      <c r="E421" s="352">
        <v>5.7</v>
      </c>
      <c r="F421" s="352">
        <v>0</v>
      </c>
    </row>
    <row r="422" spans="1:6" ht="15.75" customHeight="1">
      <c r="A422" s="350" t="s">
        <v>1334</v>
      </c>
      <c r="B422" s="351">
        <v>100</v>
      </c>
      <c r="C422" s="351" t="s">
        <v>913</v>
      </c>
      <c r="D422" s="352">
        <v>19.7</v>
      </c>
      <c r="E422" s="352">
        <v>5</v>
      </c>
      <c r="F422" s="352">
        <v>0</v>
      </c>
    </row>
    <row r="423" spans="1:6" ht="15.75" customHeight="1">
      <c r="A423" s="350" t="s">
        <v>1335</v>
      </c>
      <c r="B423" s="351">
        <v>100</v>
      </c>
      <c r="C423" s="351" t="s">
        <v>913</v>
      </c>
      <c r="D423" s="352">
        <v>16.2</v>
      </c>
      <c r="E423" s="352">
        <v>12</v>
      </c>
      <c r="F423" s="352">
        <v>1.6</v>
      </c>
    </row>
    <row r="424" spans="1:6" ht="15.75" customHeight="1">
      <c r="A424" s="350" t="s">
        <v>1336</v>
      </c>
      <c r="B424" s="351">
        <v>100</v>
      </c>
      <c r="C424" s="351" t="s">
        <v>913</v>
      </c>
      <c r="D424" s="352">
        <v>16.2</v>
      </c>
      <c r="E424" s="352">
        <v>11.1</v>
      </c>
      <c r="F424" s="352">
        <v>1.6</v>
      </c>
    </row>
    <row r="425" spans="1:6" ht="15.75" customHeight="1">
      <c r="A425" s="350" t="s">
        <v>1337</v>
      </c>
      <c r="B425" s="351">
        <v>100</v>
      </c>
      <c r="C425" s="351" t="s">
        <v>913</v>
      </c>
      <c r="D425" s="352">
        <v>25.5</v>
      </c>
      <c r="E425" s="352">
        <v>9.1999999999999993</v>
      </c>
      <c r="F425" s="352">
        <v>0</v>
      </c>
    </row>
    <row r="426" spans="1:6" ht="15.75" customHeight="1">
      <c r="A426" s="350" t="s">
        <v>1338</v>
      </c>
      <c r="B426" s="351">
        <v>100</v>
      </c>
      <c r="C426" s="351" t="s">
        <v>913</v>
      </c>
      <c r="D426" s="352">
        <v>24.5</v>
      </c>
      <c r="E426" s="352">
        <v>7.6</v>
      </c>
      <c r="F426" s="352">
        <v>0</v>
      </c>
    </row>
    <row r="427" spans="1:6" ht="15.75" customHeight="1">
      <c r="A427" s="350" t="s">
        <v>1339</v>
      </c>
      <c r="B427" s="351">
        <v>100</v>
      </c>
      <c r="C427" s="351" t="s">
        <v>913</v>
      </c>
      <c r="D427" s="352">
        <v>25.7</v>
      </c>
      <c r="E427" s="352">
        <v>5.5</v>
      </c>
      <c r="F427" s="352">
        <v>0</v>
      </c>
    </row>
    <row r="428" spans="1:6" ht="15.75" customHeight="1">
      <c r="A428" s="350" t="s">
        <v>1340</v>
      </c>
      <c r="B428" s="351">
        <v>100</v>
      </c>
      <c r="C428" s="351" t="s">
        <v>913</v>
      </c>
      <c r="D428" s="352">
        <v>24.7</v>
      </c>
      <c r="E428" s="352">
        <v>8.4</v>
      </c>
      <c r="F428" s="352">
        <v>0</v>
      </c>
    </row>
    <row r="429" spans="1:6" ht="15.75" customHeight="1">
      <c r="A429" s="350" t="s">
        <v>1341</v>
      </c>
      <c r="B429" s="351">
        <v>100</v>
      </c>
      <c r="C429" s="351" t="s">
        <v>913</v>
      </c>
      <c r="D429" s="352">
        <v>1.7</v>
      </c>
      <c r="E429" s="352">
        <v>0.4</v>
      </c>
      <c r="F429" s="352">
        <v>2.2000000000000002</v>
      </c>
    </row>
    <row r="430" spans="1:6" ht="15.75" customHeight="1">
      <c r="A430" s="350" t="s">
        <v>1342</v>
      </c>
      <c r="B430" s="351">
        <v>100</v>
      </c>
      <c r="C430" s="351" t="s">
        <v>913</v>
      </c>
      <c r="D430" s="352">
        <v>1.4</v>
      </c>
      <c r="E430" s="352">
        <v>0.4</v>
      </c>
      <c r="F430" s="352">
        <v>3.5</v>
      </c>
    </row>
    <row r="431" spans="1:6" ht="15.75" customHeight="1">
      <c r="A431" s="350" t="s">
        <v>1343</v>
      </c>
      <c r="B431" s="351">
        <v>100</v>
      </c>
      <c r="C431" s="351" t="s">
        <v>913</v>
      </c>
      <c r="D431" s="352">
        <v>2.9</v>
      </c>
      <c r="E431" s="352">
        <v>1.3</v>
      </c>
      <c r="F431" s="352">
        <v>3.5</v>
      </c>
    </row>
    <row r="432" spans="1:6" ht="15.75" customHeight="1">
      <c r="A432" s="350" t="s">
        <v>1344</v>
      </c>
      <c r="B432" s="351">
        <v>100</v>
      </c>
      <c r="C432" s="351" t="s">
        <v>913</v>
      </c>
      <c r="D432" s="352">
        <v>3.5</v>
      </c>
      <c r="E432" s="352">
        <v>1.4</v>
      </c>
      <c r="F432" s="352">
        <v>4</v>
      </c>
    </row>
    <row r="433" spans="1:6" ht="15.75" customHeight="1">
      <c r="A433" s="350" t="s">
        <v>1345</v>
      </c>
      <c r="B433" s="351">
        <v>100</v>
      </c>
      <c r="C433" s="351" t="s">
        <v>913</v>
      </c>
      <c r="D433" s="352">
        <v>1.6</v>
      </c>
      <c r="E433" s="352">
        <v>0.2</v>
      </c>
      <c r="F433" s="352">
        <v>2.2999999999999998</v>
      </c>
    </row>
    <row r="434" spans="1:6" ht="15.75" customHeight="1">
      <c r="A434" s="350" t="s">
        <v>1346</v>
      </c>
      <c r="B434" s="351">
        <v>100</v>
      </c>
      <c r="C434" s="351" t="s">
        <v>913</v>
      </c>
      <c r="D434" s="352">
        <v>3.7</v>
      </c>
      <c r="E434" s="352">
        <v>0.2</v>
      </c>
      <c r="F434" s="352">
        <v>3.3</v>
      </c>
    </row>
    <row r="435" spans="1:6" ht="15.75" customHeight="1">
      <c r="A435" s="350" t="s">
        <v>1347</v>
      </c>
      <c r="B435" s="351">
        <v>100</v>
      </c>
      <c r="C435" s="351" t="s">
        <v>913</v>
      </c>
      <c r="D435" s="352">
        <v>2.1</v>
      </c>
      <c r="E435" s="352">
        <v>0.4</v>
      </c>
      <c r="F435" s="352">
        <v>2.9</v>
      </c>
    </row>
    <row r="436" spans="1:6" ht="15.75" customHeight="1">
      <c r="A436" s="350" t="s">
        <v>1348</v>
      </c>
      <c r="B436" s="351">
        <v>100</v>
      </c>
      <c r="C436" s="351" t="s">
        <v>913</v>
      </c>
      <c r="D436" s="352">
        <v>2.4</v>
      </c>
      <c r="E436" s="352">
        <v>0.4</v>
      </c>
      <c r="F436" s="352">
        <v>3.1</v>
      </c>
    </row>
    <row r="437" spans="1:6" ht="15.75" customHeight="1">
      <c r="A437" s="350" t="s">
        <v>1349</v>
      </c>
      <c r="B437" s="351">
        <v>100</v>
      </c>
      <c r="C437" s="351" t="s">
        <v>913</v>
      </c>
      <c r="D437" s="352">
        <v>2.2000000000000002</v>
      </c>
      <c r="E437" s="352">
        <v>0.2</v>
      </c>
      <c r="F437" s="352">
        <v>1.4</v>
      </c>
    </row>
    <row r="438" spans="1:6" ht="15.75" customHeight="1">
      <c r="A438" s="350" t="s">
        <v>1350</v>
      </c>
      <c r="B438" s="351">
        <v>100</v>
      </c>
      <c r="C438" s="351" t="s">
        <v>913</v>
      </c>
      <c r="D438" s="352">
        <v>2.4</v>
      </c>
      <c r="E438" s="352">
        <v>0.2</v>
      </c>
      <c r="F438" s="352">
        <v>2.1</v>
      </c>
    </row>
    <row r="439" spans="1:6" ht="15.75" customHeight="1">
      <c r="A439" s="350" t="s">
        <v>1351</v>
      </c>
      <c r="B439" s="351">
        <v>100</v>
      </c>
      <c r="C439" s="351" t="s">
        <v>913</v>
      </c>
      <c r="D439" s="352">
        <v>2.1</v>
      </c>
      <c r="E439" s="352">
        <v>0.4</v>
      </c>
      <c r="F439" s="352">
        <v>2.5</v>
      </c>
    </row>
    <row r="440" spans="1:6" ht="15.75" customHeight="1">
      <c r="A440" s="350" t="s">
        <v>1352</v>
      </c>
      <c r="B440" s="351">
        <v>100</v>
      </c>
      <c r="C440" s="351" t="s">
        <v>913</v>
      </c>
      <c r="D440" s="352">
        <v>2.2000000000000002</v>
      </c>
      <c r="E440" s="352">
        <v>0.4</v>
      </c>
      <c r="F440" s="352">
        <v>3.5</v>
      </c>
    </row>
    <row r="441" spans="1:6" ht="15.75" customHeight="1">
      <c r="A441" s="350" t="s">
        <v>1353</v>
      </c>
      <c r="B441" s="351">
        <v>100</v>
      </c>
      <c r="C441" s="351" t="s">
        <v>913</v>
      </c>
      <c r="D441" s="352">
        <v>2</v>
      </c>
      <c r="E441" s="352">
        <v>0</v>
      </c>
      <c r="F441" s="352">
        <v>3.9</v>
      </c>
    </row>
    <row r="442" spans="1:6" ht="15.75" customHeight="1">
      <c r="A442" s="350" t="s">
        <v>1354</v>
      </c>
      <c r="B442" s="351">
        <v>100</v>
      </c>
      <c r="C442" s="351" t="s">
        <v>913</v>
      </c>
      <c r="D442" s="352">
        <v>6.8</v>
      </c>
      <c r="E442" s="352">
        <v>7</v>
      </c>
      <c r="F442" s="352">
        <v>6.2</v>
      </c>
    </row>
    <row r="443" spans="1:6" ht="15.75" customHeight="1">
      <c r="A443" s="350" t="s">
        <v>1355</v>
      </c>
      <c r="B443" s="351">
        <v>100</v>
      </c>
      <c r="C443" s="351" t="s">
        <v>913</v>
      </c>
      <c r="D443" s="352">
        <v>11.7</v>
      </c>
      <c r="E443" s="352">
        <v>13.5</v>
      </c>
      <c r="F443" s="352">
        <v>20.5</v>
      </c>
    </row>
    <row r="444" spans="1:6" ht="15.75" customHeight="1">
      <c r="A444" s="350" t="s">
        <v>1356</v>
      </c>
      <c r="B444" s="351">
        <v>100</v>
      </c>
      <c r="C444" s="351" t="s">
        <v>913</v>
      </c>
      <c r="D444" s="352">
        <v>6</v>
      </c>
      <c r="E444" s="352">
        <v>20</v>
      </c>
      <c r="F444" s="352">
        <v>52</v>
      </c>
    </row>
    <row r="445" spans="1:6" ht="15.75" customHeight="1">
      <c r="A445" s="350" t="s">
        <v>1357</v>
      </c>
      <c r="B445" s="351">
        <v>100</v>
      </c>
      <c r="C445" s="351" t="s">
        <v>913</v>
      </c>
      <c r="D445" s="352">
        <v>0</v>
      </c>
      <c r="E445" s="352">
        <v>59</v>
      </c>
      <c r="F445" s="352">
        <v>0</v>
      </c>
    </row>
    <row r="446" spans="1:6" ht="15.75" customHeight="1">
      <c r="A446" s="350" t="s">
        <v>1358</v>
      </c>
      <c r="B446" s="351">
        <v>100</v>
      </c>
      <c r="C446" s="351" t="s">
        <v>913</v>
      </c>
      <c r="D446" s="352">
        <v>0</v>
      </c>
      <c r="E446" s="352">
        <v>65.3</v>
      </c>
      <c r="F446" s="352">
        <v>0</v>
      </c>
    </row>
    <row r="447" spans="1:6" ht="15.75" customHeight="1">
      <c r="A447" s="350" t="s">
        <v>1359</v>
      </c>
      <c r="B447" s="351">
        <v>100</v>
      </c>
      <c r="C447" s="351" t="s">
        <v>913</v>
      </c>
      <c r="D447" s="352">
        <v>3.6</v>
      </c>
      <c r="E447" s="352">
        <v>1.4</v>
      </c>
      <c r="F447" s="352">
        <v>1.7</v>
      </c>
    </row>
    <row r="448" spans="1:6" ht="15.75" customHeight="1">
      <c r="A448" s="350" t="s">
        <v>1360</v>
      </c>
      <c r="B448" s="351">
        <v>100</v>
      </c>
      <c r="C448" s="351" t="s">
        <v>913</v>
      </c>
      <c r="D448" s="352">
        <v>3.5</v>
      </c>
      <c r="E448" s="352">
        <v>2.9</v>
      </c>
      <c r="F448" s="352">
        <v>1.9</v>
      </c>
    </row>
    <row r="449" spans="1:6" ht="15.75" customHeight="1">
      <c r="A449" s="350" t="s">
        <v>1361</v>
      </c>
      <c r="B449" s="351">
        <v>100</v>
      </c>
      <c r="C449" s="351" t="s">
        <v>913</v>
      </c>
      <c r="D449" s="352">
        <v>2.6</v>
      </c>
      <c r="E449" s="352">
        <v>1.9</v>
      </c>
      <c r="F449" s="352">
        <v>3</v>
      </c>
    </row>
    <row r="450" spans="1:6" ht="15.75" customHeight="1">
      <c r="A450" s="350" t="s">
        <v>1362</v>
      </c>
      <c r="B450" s="351">
        <v>100</v>
      </c>
      <c r="C450" s="351" t="s">
        <v>913</v>
      </c>
      <c r="D450" s="352">
        <v>5.9</v>
      </c>
      <c r="E450" s="352">
        <v>33.299999999999997</v>
      </c>
      <c r="F450" s="352">
        <v>54.7</v>
      </c>
    </row>
    <row r="451" spans="1:6" ht="15.75" customHeight="1">
      <c r="A451" s="350" t="s">
        <v>1363</v>
      </c>
      <c r="B451" s="351">
        <v>100</v>
      </c>
      <c r="C451" s="351" t="s">
        <v>913</v>
      </c>
      <c r="D451" s="352">
        <v>0.1</v>
      </c>
      <c r="E451" s="352">
        <v>75</v>
      </c>
      <c r="F451" s="352">
        <v>0.4</v>
      </c>
    </row>
    <row r="452" spans="1:6" ht="15.75" customHeight="1">
      <c r="A452" s="350" t="s">
        <v>1364</v>
      </c>
      <c r="B452" s="351">
        <v>100</v>
      </c>
      <c r="C452" s="351" t="s">
        <v>913</v>
      </c>
      <c r="D452" s="352">
        <v>0.1</v>
      </c>
      <c r="E452" s="352">
        <v>35</v>
      </c>
      <c r="F452" s="352">
        <v>3.2</v>
      </c>
    </row>
    <row r="453" spans="1:6" ht="15.75" customHeight="1">
      <c r="A453" s="350" t="s">
        <v>1365</v>
      </c>
      <c r="B453" s="351">
        <v>100</v>
      </c>
      <c r="C453" s="351" t="s">
        <v>913</v>
      </c>
      <c r="D453" s="352">
        <v>1.4</v>
      </c>
      <c r="E453" s="352">
        <v>37.4</v>
      </c>
      <c r="F453" s="352">
        <v>0.2</v>
      </c>
    </row>
    <row r="454" spans="1:6" ht="15.75" customHeight="1">
      <c r="A454" s="350" t="s">
        <v>1366</v>
      </c>
      <c r="B454" s="351">
        <v>100</v>
      </c>
      <c r="C454" s="351" t="s">
        <v>913</v>
      </c>
      <c r="D454" s="352">
        <v>0.3</v>
      </c>
      <c r="E454" s="352">
        <v>58</v>
      </c>
      <c r="F454" s="352">
        <v>0.5</v>
      </c>
    </row>
    <row r="455" spans="1:6" ht="15.75" customHeight="1">
      <c r="A455" s="350" t="s">
        <v>1367</v>
      </c>
      <c r="B455" s="351">
        <v>100</v>
      </c>
      <c r="C455" s="351" t="s">
        <v>913</v>
      </c>
      <c r="D455" s="352">
        <v>0.1</v>
      </c>
      <c r="E455" s="352">
        <v>70</v>
      </c>
      <c r="F455" s="352">
        <v>0.5</v>
      </c>
    </row>
    <row r="456" spans="1:6" ht="15.75" customHeight="1">
      <c r="A456" s="350" t="s">
        <v>1368</v>
      </c>
      <c r="B456" s="351">
        <v>100</v>
      </c>
      <c r="C456" s="351" t="s">
        <v>913</v>
      </c>
      <c r="D456" s="352">
        <v>0.1</v>
      </c>
      <c r="E456" s="352">
        <v>70</v>
      </c>
      <c r="F456" s="352">
        <v>0.3</v>
      </c>
    </row>
    <row r="457" spans="1:6" ht="15.75" customHeight="1">
      <c r="A457" s="350" t="s">
        <v>1369</v>
      </c>
      <c r="B457" s="351">
        <v>100</v>
      </c>
      <c r="C457" s="351" t="s">
        <v>913</v>
      </c>
      <c r="D457" s="352">
        <v>0.1</v>
      </c>
      <c r="E457" s="352">
        <v>72.099999999999994</v>
      </c>
      <c r="F457" s="352">
        <v>0.4</v>
      </c>
    </row>
    <row r="458" spans="1:6" ht="15.75" customHeight="1">
      <c r="A458" s="350" t="s">
        <v>1370</v>
      </c>
      <c r="B458" s="351">
        <v>100</v>
      </c>
      <c r="C458" s="351" t="s">
        <v>913</v>
      </c>
      <c r="D458" s="352">
        <v>7.6</v>
      </c>
      <c r="E458" s="352">
        <v>23.5</v>
      </c>
      <c r="F458" s="352">
        <v>42.2</v>
      </c>
    </row>
    <row r="459" spans="1:6" ht="15.75" customHeight="1">
      <c r="A459" s="350" t="s">
        <v>1371</v>
      </c>
      <c r="B459" s="351">
        <v>100</v>
      </c>
      <c r="C459" s="351" t="s">
        <v>913</v>
      </c>
      <c r="D459" s="352">
        <v>13.2</v>
      </c>
      <c r="E459" s="352">
        <v>18.8</v>
      </c>
      <c r="F459" s="352">
        <v>23.1</v>
      </c>
    </row>
    <row r="460" spans="1:6" ht="15.75" customHeight="1">
      <c r="A460" s="350" t="s">
        <v>1372</v>
      </c>
      <c r="B460" s="351">
        <v>100</v>
      </c>
      <c r="C460" s="351" t="s">
        <v>913</v>
      </c>
      <c r="D460" s="352">
        <v>15.1</v>
      </c>
      <c r="E460" s="352">
        <v>11.9</v>
      </c>
      <c r="F460" s="352">
        <v>19.100000000000001</v>
      </c>
    </row>
    <row r="461" spans="1:6" ht="15.75" customHeight="1">
      <c r="A461" s="350" t="s">
        <v>1373</v>
      </c>
      <c r="B461" s="351">
        <v>100</v>
      </c>
      <c r="C461" s="351" t="s">
        <v>913</v>
      </c>
      <c r="D461" s="352">
        <v>15.4</v>
      </c>
      <c r="E461" s="352">
        <v>15.4</v>
      </c>
      <c r="F461" s="352">
        <v>9</v>
      </c>
    </row>
    <row r="462" spans="1:6" ht="15.75" customHeight="1">
      <c r="A462" s="350" t="s">
        <v>1374</v>
      </c>
      <c r="B462" s="351">
        <v>100</v>
      </c>
      <c r="C462" s="351" t="s">
        <v>913</v>
      </c>
      <c r="D462" s="352">
        <v>19.8</v>
      </c>
      <c r="E462" s="352">
        <v>8</v>
      </c>
      <c r="F462" s="352">
        <v>8</v>
      </c>
    </row>
    <row r="463" spans="1:6" ht="15.75" customHeight="1">
      <c r="A463" s="350" t="s">
        <v>1375</v>
      </c>
      <c r="B463" s="351">
        <v>100</v>
      </c>
      <c r="C463" s="351" t="s">
        <v>913</v>
      </c>
      <c r="D463" s="352">
        <v>1.6</v>
      </c>
      <c r="E463" s="352">
        <v>0.3</v>
      </c>
      <c r="F463" s="352">
        <v>2</v>
      </c>
    </row>
    <row r="464" spans="1:6" ht="15.75" customHeight="1">
      <c r="A464" s="350" t="s">
        <v>1376</v>
      </c>
      <c r="B464" s="351">
        <v>100</v>
      </c>
      <c r="C464" s="351" t="s">
        <v>913</v>
      </c>
      <c r="D464" s="352">
        <v>2</v>
      </c>
      <c r="E464" s="352">
        <v>4.8</v>
      </c>
      <c r="F464" s="352">
        <v>2.5</v>
      </c>
    </row>
    <row r="465" spans="1:6" ht="15.75" customHeight="1">
      <c r="A465" s="350" t="s">
        <v>1377</v>
      </c>
      <c r="B465" s="351">
        <v>100</v>
      </c>
      <c r="C465" s="351" t="s">
        <v>913</v>
      </c>
      <c r="D465" s="352">
        <v>0.8</v>
      </c>
      <c r="E465" s="352">
        <v>0.1</v>
      </c>
      <c r="F465" s="352">
        <v>8.5</v>
      </c>
    </row>
    <row r="466" spans="1:6" ht="15.75" customHeight="1">
      <c r="A466" s="350" t="s">
        <v>1378</v>
      </c>
      <c r="B466" s="351">
        <v>100</v>
      </c>
      <c r="C466" s="351" t="s">
        <v>913</v>
      </c>
      <c r="D466" s="352">
        <v>0.5</v>
      </c>
      <c r="E466" s="352">
        <v>0.1</v>
      </c>
      <c r="F466" s="352">
        <v>39.299999999999997</v>
      </c>
    </row>
    <row r="467" spans="1:6" ht="15.75" customHeight="1">
      <c r="A467" s="350" t="s">
        <v>1379</v>
      </c>
      <c r="B467" s="351">
        <v>100</v>
      </c>
      <c r="C467" s="351" t="s">
        <v>913</v>
      </c>
      <c r="D467" s="352">
        <v>5.4</v>
      </c>
      <c r="E467" s="352">
        <v>0.9</v>
      </c>
      <c r="F467" s="352">
        <v>41.2</v>
      </c>
    </row>
    <row r="468" spans="1:6" ht="15.75" customHeight="1">
      <c r="A468" s="350" t="s">
        <v>1380</v>
      </c>
      <c r="B468" s="351">
        <v>100</v>
      </c>
      <c r="C468" s="351" t="s">
        <v>913</v>
      </c>
      <c r="D468" s="352">
        <v>0.6</v>
      </c>
      <c r="E468" s="352">
        <v>0</v>
      </c>
      <c r="F468" s="352">
        <v>14.8</v>
      </c>
    </row>
    <row r="469" spans="1:6" ht="15.75" customHeight="1">
      <c r="A469" s="350" t="s">
        <v>1381</v>
      </c>
      <c r="B469" s="351">
        <v>100</v>
      </c>
      <c r="C469" s="351" t="s">
        <v>913</v>
      </c>
      <c r="D469" s="352">
        <v>3.3</v>
      </c>
      <c r="E469" s="352">
        <v>0</v>
      </c>
      <c r="F469" s="352">
        <v>80.8</v>
      </c>
    </row>
    <row r="470" spans="1:6" ht="15.75" customHeight="1">
      <c r="A470" s="350" t="s">
        <v>1382</v>
      </c>
      <c r="B470" s="351">
        <v>100</v>
      </c>
      <c r="C470" s="351" t="s">
        <v>913</v>
      </c>
      <c r="D470" s="352">
        <v>0.2</v>
      </c>
      <c r="E470" s="352">
        <v>0</v>
      </c>
      <c r="F470" s="352">
        <v>64.900000000000006</v>
      </c>
    </row>
    <row r="471" spans="1:6" ht="15.75" customHeight="1">
      <c r="A471" s="350" t="s">
        <v>1383</v>
      </c>
      <c r="B471" s="351">
        <v>100</v>
      </c>
      <c r="C471" s="351" t="s">
        <v>913</v>
      </c>
      <c r="D471" s="352">
        <v>0.5</v>
      </c>
      <c r="E471" s="352">
        <v>0</v>
      </c>
      <c r="F471" s="352">
        <v>57.4</v>
      </c>
    </row>
    <row r="472" spans="1:6" ht="15.75" customHeight="1">
      <c r="A472" s="350" t="s">
        <v>1384</v>
      </c>
      <c r="B472" s="351">
        <v>100</v>
      </c>
      <c r="C472" s="351" t="s">
        <v>913</v>
      </c>
      <c r="D472" s="352">
        <v>0.4</v>
      </c>
      <c r="E472" s="352">
        <v>0</v>
      </c>
      <c r="F472" s="352">
        <v>59.7</v>
      </c>
    </row>
    <row r="473" spans="1:6" ht="15.75" customHeight="1">
      <c r="A473" s="350" t="s">
        <v>1385</v>
      </c>
      <c r="B473" s="351">
        <v>100</v>
      </c>
      <c r="C473" s="351" t="s">
        <v>913</v>
      </c>
      <c r="D473" s="352">
        <v>0.4</v>
      </c>
      <c r="E473" s="352">
        <v>0</v>
      </c>
      <c r="F473" s="352">
        <v>64.8</v>
      </c>
    </row>
    <row r="474" spans="1:6" ht="15.75" customHeight="1">
      <c r="A474" s="350" t="s">
        <v>1386</v>
      </c>
      <c r="B474" s="351">
        <v>100</v>
      </c>
      <c r="C474" s="351" t="s">
        <v>913</v>
      </c>
      <c r="D474" s="352">
        <v>0.2</v>
      </c>
      <c r="E474" s="352">
        <v>0</v>
      </c>
      <c r="F474" s="352">
        <v>59</v>
      </c>
    </row>
    <row r="475" spans="1:6" ht="15.75" customHeight="1">
      <c r="A475" s="350" t="s">
        <v>1387</v>
      </c>
      <c r="B475" s="351">
        <v>100</v>
      </c>
      <c r="C475" s="351" t="s">
        <v>913</v>
      </c>
      <c r="D475" s="352">
        <v>0.2</v>
      </c>
      <c r="E475" s="352">
        <v>0</v>
      </c>
      <c r="F475" s="352">
        <v>60.5</v>
      </c>
    </row>
    <row r="476" spans="1:6" ht="15.75" customHeight="1">
      <c r="A476" s="350" t="s">
        <v>1388</v>
      </c>
      <c r="B476" s="351">
        <v>100</v>
      </c>
      <c r="C476" s="351" t="s">
        <v>913</v>
      </c>
      <c r="D476" s="352">
        <v>0.4</v>
      </c>
      <c r="E476" s="352">
        <v>0</v>
      </c>
      <c r="F476" s="352">
        <v>51.3</v>
      </c>
    </row>
    <row r="477" spans="1:6" ht="15.75" customHeight="1">
      <c r="A477" s="350" t="s">
        <v>1389</v>
      </c>
      <c r="B477" s="351">
        <v>100</v>
      </c>
      <c r="C477" s="351" t="s">
        <v>913</v>
      </c>
      <c r="D477" s="352">
        <v>6.6</v>
      </c>
      <c r="E477" s="352">
        <v>21.7</v>
      </c>
      <c r="F477" s="352">
        <v>43</v>
      </c>
    </row>
    <row r="478" spans="1:6" ht="15.75" customHeight="1">
      <c r="A478" s="350" t="s">
        <v>1390</v>
      </c>
      <c r="B478" s="351">
        <v>100</v>
      </c>
      <c r="C478" s="351" t="s">
        <v>913</v>
      </c>
      <c r="D478" s="352">
        <v>6</v>
      </c>
      <c r="E478" s="352">
        <v>14.5</v>
      </c>
      <c r="F478" s="352">
        <v>47</v>
      </c>
    </row>
    <row r="479" spans="1:6" ht="15.75" customHeight="1">
      <c r="A479" s="350" t="s">
        <v>1391</v>
      </c>
      <c r="B479" s="351">
        <v>100</v>
      </c>
      <c r="C479" s="351" t="s">
        <v>913</v>
      </c>
      <c r="D479" s="352">
        <v>20.8</v>
      </c>
      <c r="E479" s="352">
        <v>12.5</v>
      </c>
      <c r="F479" s="352">
        <v>0</v>
      </c>
    </row>
    <row r="480" spans="1:6" ht="15.75" customHeight="1">
      <c r="A480" s="350" t="s">
        <v>1392</v>
      </c>
      <c r="B480" s="351">
        <v>100</v>
      </c>
      <c r="C480" s="351" t="s">
        <v>913</v>
      </c>
      <c r="D480" s="352">
        <v>19.7</v>
      </c>
      <c r="E480" s="352">
        <v>9.8000000000000007</v>
      </c>
      <c r="F480" s="352">
        <v>0</v>
      </c>
    </row>
    <row r="481" spans="1:6" ht="15.75" customHeight="1">
      <c r="A481" s="350" t="s">
        <v>1393</v>
      </c>
      <c r="B481" s="351">
        <v>100</v>
      </c>
      <c r="C481" s="351" t="s">
        <v>913</v>
      </c>
      <c r="D481" s="352">
        <v>22.3</v>
      </c>
      <c r="E481" s="352">
        <v>9.9</v>
      </c>
      <c r="F481" s="352">
        <v>0</v>
      </c>
    </row>
    <row r="482" spans="1:6" ht="15.75" customHeight="1">
      <c r="A482" s="350" t="s">
        <v>938</v>
      </c>
      <c r="B482" s="351">
        <v>100</v>
      </c>
      <c r="C482" s="351" t="s">
        <v>913</v>
      </c>
      <c r="D482" s="352">
        <v>4.0999999999999996</v>
      </c>
      <c r="E482" s="352">
        <v>23.8</v>
      </c>
      <c r="F482" s="352">
        <v>36.5</v>
      </c>
    </row>
    <row r="483" spans="1:6" ht="15.75" customHeight="1">
      <c r="A483" s="350" t="s">
        <v>1394</v>
      </c>
      <c r="B483" s="351">
        <v>100</v>
      </c>
      <c r="C483" s="351" t="s">
        <v>913</v>
      </c>
      <c r="D483" s="352">
        <v>9.6</v>
      </c>
      <c r="E483" s="352">
        <v>21.9</v>
      </c>
      <c r="F483" s="352">
        <v>33.9</v>
      </c>
    </row>
    <row r="484" spans="1:6" ht="15.75" customHeight="1">
      <c r="A484" s="350" t="s">
        <v>1395</v>
      </c>
      <c r="B484" s="351">
        <v>100</v>
      </c>
      <c r="C484" s="351" t="s">
        <v>913</v>
      </c>
      <c r="D484" s="352">
        <v>12.9</v>
      </c>
      <c r="E484" s="352">
        <v>15.2</v>
      </c>
      <c r="F484" s="352">
        <v>10.7</v>
      </c>
    </row>
    <row r="485" spans="1:6" ht="15.75" customHeight="1">
      <c r="A485" s="350" t="s">
        <v>1396</v>
      </c>
      <c r="B485" s="351">
        <v>100</v>
      </c>
      <c r="C485" s="351" t="s">
        <v>913</v>
      </c>
      <c r="D485" s="352">
        <v>6.9</v>
      </c>
      <c r="E485" s="352">
        <v>5</v>
      </c>
      <c r="F485" s="352">
        <v>10.9</v>
      </c>
    </row>
    <row r="486" spans="1:6" ht="15.75" customHeight="1">
      <c r="A486" s="350" t="s">
        <v>1397</v>
      </c>
      <c r="B486" s="351">
        <v>100</v>
      </c>
      <c r="C486" s="351" t="s">
        <v>913</v>
      </c>
      <c r="D486" s="352">
        <v>6.6</v>
      </c>
      <c r="E486" s="352">
        <v>6.3</v>
      </c>
      <c r="F486" s="352">
        <v>10.7</v>
      </c>
    </row>
    <row r="487" spans="1:6" ht="15.75" customHeight="1">
      <c r="A487" s="350" t="s">
        <v>1398</v>
      </c>
      <c r="B487" s="351">
        <v>100</v>
      </c>
      <c r="C487" s="351" t="s">
        <v>913</v>
      </c>
      <c r="D487" s="352">
        <v>6.6</v>
      </c>
      <c r="E487" s="352">
        <v>6.3</v>
      </c>
      <c r="F487" s="352">
        <v>10.7</v>
      </c>
    </row>
    <row r="488" spans="1:6" ht="15.75" customHeight="1">
      <c r="A488" s="350" t="s">
        <v>1399</v>
      </c>
      <c r="B488" s="351">
        <v>100</v>
      </c>
      <c r="C488" s="351" t="s">
        <v>913</v>
      </c>
      <c r="D488" s="352">
        <v>9.4</v>
      </c>
      <c r="E488" s="352">
        <v>9.3000000000000007</v>
      </c>
      <c r="F488" s="352">
        <v>10.9</v>
      </c>
    </row>
    <row r="489" spans="1:6" ht="15.75" customHeight="1">
      <c r="A489" s="350" t="s">
        <v>1400</v>
      </c>
      <c r="B489" s="351">
        <v>100</v>
      </c>
      <c r="C489" s="351" t="s">
        <v>913</v>
      </c>
      <c r="D489" s="352">
        <v>8.6999999999999993</v>
      </c>
      <c r="E489" s="352">
        <v>4.5</v>
      </c>
      <c r="F489" s="352">
        <v>11</v>
      </c>
    </row>
    <row r="490" spans="1:6" ht="15.75" customHeight="1">
      <c r="A490" s="350" t="s">
        <v>1401</v>
      </c>
      <c r="B490" s="351">
        <v>100</v>
      </c>
      <c r="C490" s="351" t="s">
        <v>913</v>
      </c>
      <c r="D490" s="352">
        <v>1.8</v>
      </c>
      <c r="E490" s="352">
        <v>0.4</v>
      </c>
      <c r="F490" s="352">
        <v>1.2</v>
      </c>
    </row>
    <row r="491" spans="1:6" ht="15.75" customHeight="1">
      <c r="A491" s="350" t="s">
        <v>1402</v>
      </c>
      <c r="B491" s="351">
        <v>100</v>
      </c>
      <c r="C491" s="351" t="s">
        <v>913</v>
      </c>
      <c r="D491" s="352">
        <v>13.4</v>
      </c>
      <c r="E491" s="352">
        <v>27.7</v>
      </c>
      <c r="F491" s="352">
        <v>0</v>
      </c>
    </row>
    <row r="492" spans="1:6" ht="15.75" customHeight="1">
      <c r="A492" s="350" t="s">
        <v>1403</v>
      </c>
      <c r="B492" s="351">
        <v>100</v>
      </c>
      <c r="C492" s="351" t="s">
        <v>913</v>
      </c>
      <c r="D492" s="352">
        <v>14.8</v>
      </c>
      <c r="E492" s="352">
        <v>21.6</v>
      </c>
      <c r="F492" s="352">
        <v>3.2</v>
      </c>
    </row>
    <row r="493" spans="1:6" ht="15.75" customHeight="1">
      <c r="A493" s="350" t="s">
        <v>1404</v>
      </c>
      <c r="B493" s="351">
        <v>100</v>
      </c>
      <c r="C493" s="351" t="s">
        <v>913</v>
      </c>
      <c r="D493" s="352">
        <v>26.9</v>
      </c>
      <c r="E493" s="352">
        <v>14.2</v>
      </c>
      <c r="F493" s="352">
        <v>0</v>
      </c>
    </row>
    <row r="494" spans="1:6" ht="15.75" customHeight="1">
      <c r="A494" s="350" t="s">
        <v>1405</v>
      </c>
      <c r="B494" s="351">
        <v>100</v>
      </c>
      <c r="C494" s="351" t="s">
        <v>913</v>
      </c>
      <c r="D494" s="352">
        <v>19.600000000000001</v>
      </c>
      <c r="E494" s="352">
        <v>12.4</v>
      </c>
      <c r="F494" s="352">
        <v>0</v>
      </c>
    </row>
    <row r="495" spans="1:6" ht="15.75" customHeight="1">
      <c r="A495" s="350" t="s">
        <v>1406</v>
      </c>
      <c r="B495" s="351">
        <v>100</v>
      </c>
      <c r="C495" s="351" t="s">
        <v>913</v>
      </c>
      <c r="D495" s="352">
        <v>20.9</v>
      </c>
      <c r="E495" s="352">
        <v>17.100000000000001</v>
      </c>
      <c r="F495" s="352">
        <v>0.7</v>
      </c>
    </row>
    <row r="496" spans="1:6" ht="15.75" customHeight="1">
      <c r="A496" s="350" t="s">
        <v>1407</v>
      </c>
      <c r="B496" s="351">
        <v>100</v>
      </c>
      <c r="C496" s="351" t="s">
        <v>913</v>
      </c>
      <c r="D496" s="352">
        <v>20.9</v>
      </c>
      <c r="E496" s="352">
        <v>16.8</v>
      </c>
      <c r="F496" s="352">
        <v>0.7</v>
      </c>
    </row>
    <row r="497" spans="1:6" ht="15.75" customHeight="1">
      <c r="A497" s="350" t="s">
        <v>1408</v>
      </c>
      <c r="B497" s="351">
        <v>100</v>
      </c>
      <c r="C497" s="351" t="s">
        <v>913</v>
      </c>
      <c r="D497" s="352">
        <v>20.9</v>
      </c>
      <c r="E497" s="352">
        <v>16.3</v>
      </c>
      <c r="F497" s="352">
        <v>0.7</v>
      </c>
    </row>
    <row r="498" spans="1:6" ht="15.75" customHeight="1">
      <c r="A498" s="350" t="s">
        <v>1409</v>
      </c>
      <c r="B498" s="351">
        <v>100</v>
      </c>
      <c r="C498" s="351" t="s">
        <v>913</v>
      </c>
      <c r="D498" s="352">
        <v>20.9</v>
      </c>
      <c r="E498" s="352">
        <v>17.100000000000001</v>
      </c>
      <c r="F498" s="352">
        <v>0.7</v>
      </c>
    </row>
    <row r="499" spans="1:6" ht="15.75" customHeight="1">
      <c r="A499" s="350" t="s">
        <v>1410</v>
      </c>
      <c r="B499" s="351">
        <v>100</v>
      </c>
      <c r="C499" s="351" t="s">
        <v>913</v>
      </c>
      <c r="D499" s="352">
        <v>26.6</v>
      </c>
      <c r="E499" s="352">
        <v>15.4</v>
      </c>
      <c r="F499" s="352">
        <v>0</v>
      </c>
    </row>
    <row r="500" spans="1:6" ht="15.75" customHeight="1">
      <c r="A500" s="350" t="s">
        <v>1411</v>
      </c>
      <c r="B500" s="351">
        <v>100</v>
      </c>
      <c r="C500" s="351" t="s">
        <v>913</v>
      </c>
      <c r="D500" s="352">
        <v>26.8</v>
      </c>
      <c r="E500" s="352">
        <v>15.1</v>
      </c>
      <c r="F500" s="352">
        <v>0</v>
      </c>
    </row>
    <row r="501" spans="1:6" ht="15.75" customHeight="1">
      <c r="A501" s="350" t="s">
        <v>1412</v>
      </c>
      <c r="B501" s="351">
        <v>100</v>
      </c>
      <c r="C501" s="351" t="s">
        <v>913</v>
      </c>
      <c r="D501" s="352">
        <v>5.0999999999999996</v>
      </c>
      <c r="E501" s="352">
        <v>5.0999999999999996</v>
      </c>
      <c r="F501" s="352">
        <v>9.6</v>
      </c>
    </row>
    <row r="502" spans="1:6" ht="15.75" customHeight="1">
      <c r="A502" s="350" t="s">
        <v>1413</v>
      </c>
      <c r="B502" s="351">
        <v>100</v>
      </c>
      <c r="C502" s="351" t="s">
        <v>913</v>
      </c>
      <c r="D502" s="352">
        <v>5.6</v>
      </c>
      <c r="E502" s="352">
        <v>0.5</v>
      </c>
      <c r="F502" s="352">
        <v>7.5</v>
      </c>
    </row>
    <row r="503" spans="1:6" ht="15.75" customHeight="1">
      <c r="A503" s="350" t="s">
        <v>1414</v>
      </c>
      <c r="B503" s="351">
        <v>100</v>
      </c>
      <c r="C503" s="351" t="s">
        <v>913</v>
      </c>
      <c r="D503" s="352">
        <v>5.3</v>
      </c>
      <c r="E503" s="352">
        <v>0.5</v>
      </c>
      <c r="F503" s="352">
        <v>7</v>
      </c>
    </row>
    <row r="504" spans="1:6" ht="15.75" customHeight="1">
      <c r="A504" s="350" t="s">
        <v>1415</v>
      </c>
      <c r="B504" s="351">
        <v>100</v>
      </c>
      <c r="C504" s="351" t="s">
        <v>913</v>
      </c>
      <c r="D504" s="352">
        <v>6.2</v>
      </c>
      <c r="E504" s="352">
        <v>0.7</v>
      </c>
      <c r="F504" s="352">
        <v>7.9</v>
      </c>
    </row>
    <row r="505" spans="1:6" ht="15.75" customHeight="1">
      <c r="A505" s="350" t="s">
        <v>1416</v>
      </c>
      <c r="B505" s="351">
        <v>100</v>
      </c>
      <c r="C505" s="351" t="s">
        <v>913</v>
      </c>
      <c r="D505" s="352">
        <v>6.4</v>
      </c>
      <c r="E505" s="352">
        <v>0.7</v>
      </c>
      <c r="F505" s="352">
        <v>8.6</v>
      </c>
    </row>
    <row r="506" spans="1:6" ht="15.75" customHeight="1">
      <c r="A506" s="350" t="s">
        <v>1417</v>
      </c>
      <c r="B506" s="351">
        <v>100</v>
      </c>
      <c r="C506" s="351" t="s">
        <v>913</v>
      </c>
      <c r="D506" s="352">
        <v>6.9</v>
      </c>
      <c r="E506" s="352">
        <v>0.4</v>
      </c>
      <c r="F506" s="352">
        <v>18.100000000000001</v>
      </c>
    </row>
    <row r="507" spans="1:6" ht="15.75" customHeight="1">
      <c r="A507" s="350" t="s">
        <v>1418</v>
      </c>
      <c r="B507" s="351">
        <v>100</v>
      </c>
      <c r="C507" s="351" t="s">
        <v>913</v>
      </c>
      <c r="D507" s="352">
        <v>22.7</v>
      </c>
      <c r="E507" s="352">
        <v>1.3</v>
      </c>
      <c r="F507" s="352">
        <v>49.4</v>
      </c>
    </row>
    <row r="508" spans="1:6" ht="15.75" customHeight="1">
      <c r="A508" s="350" t="s">
        <v>1419</v>
      </c>
      <c r="B508" s="351">
        <v>100</v>
      </c>
      <c r="C508" s="351" t="s">
        <v>913</v>
      </c>
      <c r="D508" s="352">
        <v>2.8</v>
      </c>
      <c r="E508" s="352">
        <v>0.2</v>
      </c>
      <c r="F508" s="352">
        <v>3.5</v>
      </c>
    </row>
    <row r="509" spans="1:6" ht="15.75" customHeight="1">
      <c r="A509" s="350" t="s">
        <v>1420</v>
      </c>
      <c r="B509" s="351">
        <v>100</v>
      </c>
      <c r="C509" s="351" t="s">
        <v>913</v>
      </c>
      <c r="D509" s="352">
        <v>3.1</v>
      </c>
      <c r="E509" s="352">
        <v>0.2</v>
      </c>
      <c r="F509" s="352">
        <v>3.9</v>
      </c>
    </row>
    <row r="510" spans="1:6" ht="15.75" customHeight="1">
      <c r="A510" s="350" t="s">
        <v>1421</v>
      </c>
      <c r="B510" s="351">
        <v>100</v>
      </c>
      <c r="C510" s="351" t="s">
        <v>913</v>
      </c>
      <c r="D510" s="352">
        <v>17.8</v>
      </c>
      <c r="E510" s="352">
        <v>2.9</v>
      </c>
      <c r="F510" s="352">
        <v>0</v>
      </c>
    </row>
    <row r="511" spans="1:6" ht="15.75" customHeight="1">
      <c r="A511" s="350" t="s">
        <v>1422</v>
      </c>
      <c r="B511" s="351">
        <v>100</v>
      </c>
      <c r="C511" s="351" t="s">
        <v>913</v>
      </c>
      <c r="D511" s="352">
        <v>21.3</v>
      </c>
      <c r="E511" s="352">
        <v>3.4</v>
      </c>
      <c r="F511" s="352">
        <v>0</v>
      </c>
    </row>
    <row r="512" spans="1:6" ht="15.75" customHeight="1">
      <c r="A512" s="350" t="s">
        <v>1423</v>
      </c>
      <c r="B512" s="351">
        <v>100</v>
      </c>
      <c r="C512" s="351" t="s">
        <v>913</v>
      </c>
      <c r="D512" s="352">
        <v>2.2000000000000002</v>
      </c>
      <c r="E512" s="352">
        <v>0</v>
      </c>
      <c r="F512" s="352">
        <v>2.2000000000000002</v>
      </c>
    </row>
    <row r="513" spans="1:6" ht="15.75" customHeight="1">
      <c r="A513" s="350" t="s">
        <v>1424</v>
      </c>
      <c r="B513" s="351">
        <v>100</v>
      </c>
      <c r="C513" s="351" t="s">
        <v>913</v>
      </c>
      <c r="D513" s="352">
        <v>2.1</v>
      </c>
      <c r="E513" s="352">
        <v>0</v>
      </c>
      <c r="F513" s="352">
        <v>2.7</v>
      </c>
    </row>
    <row r="514" spans="1:6" ht="15.75" customHeight="1">
      <c r="A514" s="350" t="s">
        <v>1425</v>
      </c>
      <c r="B514" s="351">
        <v>100</v>
      </c>
      <c r="C514" s="351" t="s">
        <v>913</v>
      </c>
      <c r="D514" s="352">
        <v>3.4</v>
      </c>
      <c r="E514" s="352">
        <v>0.6</v>
      </c>
      <c r="F514" s="352">
        <v>19.899999999999999</v>
      </c>
    </row>
    <row r="515" spans="1:6" ht="15.75" customHeight="1">
      <c r="A515" s="350" t="s">
        <v>1426</v>
      </c>
      <c r="B515" s="351">
        <v>100</v>
      </c>
      <c r="C515" s="351" t="s">
        <v>913</v>
      </c>
      <c r="D515" s="352">
        <v>12.1</v>
      </c>
      <c r="E515" s="352">
        <v>1.9</v>
      </c>
      <c r="F515" s="352">
        <v>71.099999999999994</v>
      </c>
    </row>
    <row r="516" spans="1:6" ht="15.75" customHeight="1">
      <c r="A516" s="350" t="s">
        <v>1427</v>
      </c>
      <c r="B516" s="351">
        <v>100</v>
      </c>
      <c r="C516" s="351" t="s">
        <v>913</v>
      </c>
      <c r="D516" s="352">
        <v>3</v>
      </c>
      <c r="E516" s="352">
        <v>3.9</v>
      </c>
      <c r="F516" s="352">
        <v>17.600000000000001</v>
      </c>
    </row>
    <row r="517" spans="1:6" ht="15.75" customHeight="1">
      <c r="A517" s="350" t="s">
        <v>1428</v>
      </c>
      <c r="B517" s="351">
        <v>100</v>
      </c>
      <c r="C517" s="351" t="s">
        <v>913</v>
      </c>
      <c r="D517" s="352">
        <v>3</v>
      </c>
      <c r="E517" s="352">
        <v>3.2</v>
      </c>
      <c r="F517" s="352">
        <v>17.600000000000001</v>
      </c>
    </row>
    <row r="518" spans="1:6" ht="15.75" customHeight="1">
      <c r="A518" s="350" t="s">
        <v>1429</v>
      </c>
      <c r="B518" s="351">
        <v>100</v>
      </c>
      <c r="C518" s="351" t="s">
        <v>913</v>
      </c>
      <c r="D518" s="352">
        <v>13.6</v>
      </c>
      <c r="E518" s="352">
        <v>24.8</v>
      </c>
      <c r="F518" s="352">
        <v>1.3</v>
      </c>
    </row>
    <row r="519" spans="1:6" ht="15.75" customHeight="1">
      <c r="A519" s="350" t="s">
        <v>1430</v>
      </c>
      <c r="B519" s="351">
        <v>100</v>
      </c>
      <c r="C519" s="351" t="s">
        <v>913</v>
      </c>
      <c r="D519" s="352">
        <v>23.5</v>
      </c>
      <c r="E519" s="352">
        <v>12.8</v>
      </c>
      <c r="F519" s="352">
        <v>0.8</v>
      </c>
    </row>
    <row r="520" spans="1:6" ht="15.75" customHeight="1">
      <c r="A520" s="350" t="s">
        <v>1431</v>
      </c>
      <c r="B520" s="351">
        <v>100</v>
      </c>
      <c r="C520" s="351" t="s">
        <v>913</v>
      </c>
      <c r="D520" s="352">
        <v>2.6</v>
      </c>
      <c r="E520" s="352">
        <v>0.9</v>
      </c>
      <c r="F520" s="352">
        <v>0.8</v>
      </c>
    </row>
    <row r="521" spans="1:6" ht="15.75" customHeight="1">
      <c r="A521" s="350" t="s">
        <v>1432</v>
      </c>
      <c r="B521" s="351">
        <v>100</v>
      </c>
      <c r="C521" s="351" t="s">
        <v>913</v>
      </c>
      <c r="D521" s="352">
        <v>3.4</v>
      </c>
      <c r="E521" s="352">
        <v>1.1000000000000001</v>
      </c>
      <c r="F521" s="352">
        <v>6.3</v>
      </c>
    </row>
    <row r="522" spans="1:6" ht="15.75" customHeight="1">
      <c r="A522" s="350" t="s">
        <v>1433</v>
      </c>
      <c r="B522" s="351">
        <v>100</v>
      </c>
      <c r="C522" s="351" t="s">
        <v>913</v>
      </c>
      <c r="D522" s="352">
        <v>22.8</v>
      </c>
      <c r="E522" s="352">
        <v>7.2</v>
      </c>
      <c r="F522" s="352">
        <v>42.8</v>
      </c>
    </row>
    <row r="523" spans="1:6" ht="15.75" customHeight="1">
      <c r="A523" s="350" t="s">
        <v>1434</v>
      </c>
      <c r="B523" s="351">
        <v>100</v>
      </c>
      <c r="C523" s="351" t="s">
        <v>913</v>
      </c>
      <c r="D523" s="352">
        <v>19</v>
      </c>
      <c r="E523" s="352">
        <v>0.6</v>
      </c>
      <c r="F523" s="352">
        <v>0.1</v>
      </c>
    </row>
    <row r="524" spans="1:6" ht="15.75" customHeight="1">
      <c r="A524" s="350" t="s">
        <v>1435</v>
      </c>
      <c r="B524" s="351">
        <v>100</v>
      </c>
      <c r="C524" s="351" t="s">
        <v>913</v>
      </c>
      <c r="D524" s="352">
        <v>16.2</v>
      </c>
      <c r="E524" s="352">
        <v>5.3</v>
      </c>
      <c r="F524" s="352">
        <v>24.9</v>
      </c>
    </row>
    <row r="525" spans="1:6" ht="15.75" customHeight="1">
      <c r="A525" s="350" t="s">
        <v>1436</v>
      </c>
      <c r="B525" s="351">
        <v>100</v>
      </c>
      <c r="C525" s="351" t="s">
        <v>913</v>
      </c>
      <c r="D525" s="352">
        <v>3.2</v>
      </c>
      <c r="E525" s="352">
        <v>0.3</v>
      </c>
      <c r="F525" s="352">
        <v>85.6</v>
      </c>
    </row>
    <row r="526" spans="1:6" ht="15.75" customHeight="1">
      <c r="A526" s="350" t="s">
        <v>1437</v>
      </c>
      <c r="B526" s="351">
        <v>100</v>
      </c>
      <c r="C526" s="351" t="s">
        <v>913</v>
      </c>
      <c r="D526" s="352">
        <v>14.5</v>
      </c>
      <c r="E526" s="352">
        <v>7.3</v>
      </c>
      <c r="F526" s="352">
        <v>57</v>
      </c>
    </row>
    <row r="527" spans="1:6" ht="15.75" customHeight="1">
      <c r="A527" s="350" t="s">
        <v>1438</v>
      </c>
      <c r="B527" s="351">
        <v>100</v>
      </c>
      <c r="C527" s="351" t="s">
        <v>913</v>
      </c>
      <c r="D527" s="352">
        <v>7.8</v>
      </c>
      <c r="E527" s="352">
        <v>1.2</v>
      </c>
      <c r="F527" s="352">
        <v>77.3</v>
      </c>
    </row>
    <row r="528" spans="1:6" ht="15.75" customHeight="1">
      <c r="A528" s="350" t="s">
        <v>1439</v>
      </c>
      <c r="B528" s="351">
        <v>100</v>
      </c>
      <c r="C528" s="351" t="s">
        <v>913</v>
      </c>
      <c r="D528" s="352">
        <v>6.6</v>
      </c>
      <c r="E528" s="352">
        <v>1.1000000000000001</v>
      </c>
      <c r="F528" s="352">
        <v>78.5</v>
      </c>
    </row>
    <row r="529" spans="1:6" ht="15.75" customHeight="1">
      <c r="A529" s="350" t="s">
        <v>1440</v>
      </c>
      <c r="B529" s="351">
        <v>100</v>
      </c>
      <c r="C529" s="351" t="s">
        <v>913</v>
      </c>
      <c r="D529" s="352">
        <v>9</v>
      </c>
      <c r="E529" s="352">
        <v>1.3</v>
      </c>
      <c r="F529" s="352">
        <v>76</v>
      </c>
    </row>
    <row r="530" spans="1:6" ht="15.75" customHeight="1">
      <c r="A530" s="350" t="s">
        <v>1441</v>
      </c>
      <c r="B530" s="351">
        <v>100</v>
      </c>
      <c r="C530" s="351" t="s">
        <v>913</v>
      </c>
      <c r="D530" s="352">
        <v>8.8000000000000007</v>
      </c>
      <c r="E530" s="352">
        <v>2.5</v>
      </c>
      <c r="F530" s="352">
        <v>64.400000000000006</v>
      </c>
    </row>
    <row r="531" spans="1:6" ht="15.75" customHeight="1">
      <c r="A531" s="350" t="s">
        <v>1442</v>
      </c>
      <c r="B531" s="351">
        <v>100</v>
      </c>
      <c r="C531" s="351" t="s">
        <v>913</v>
      </c>
      <c r="D531" s="352">
        <v>14</v>
      </c>
      <c r="E531" s="352">
        <v>2.2999999999999998</v>
      </c>
      <c r="F531" s="352">
        <v>61.8</v>
      </c>
    </row>
    <row r="532" spans="1:6" ht="15.75" customHeight="1">
      <c r="A532" s="350" t="s">
        <v>1443</v>
      </c>
      <c r="B532" s="351">
        <v>100</v>
      </c>
      <c r="C532" s="351" t="s">
        <v>913</v>
      </c>
      <c r="D532" s="352">
        <v>8.3000000000000007</v>
      </c>
      <c r="E532" s="352">
        <v>2.2000000000000002</v>
      </c>
      <c r="F532" s="352">
        <v>75.3</v>
      </c>
    </row>
    <row r="533" spans="1:6" ht="15.75" customHeight="1">
      <c r="A533" s="350" t="s">
        <v>1444</v>
      </c>
      <c r="B533" s="351">
        <v>100</v>
      </c>
      <c r="C533" s="351" t="s">
        <v>913</v>
      </c>
      <c r="D533" s="352">
        <v>1.4</v>
      </c>
      <c r="E533" s="352">
        <v>0.3</v>
      </c>
      <c r="F533" s="352">
        <v>84.6</v>
      </c>
    </row>
    <row r="534" spans="1:6" ht="15.75" customHeight="1">
      <c r="A534" s="350" t="s">
        <v>1445</v>
      </c>
      <c r="B534" s="351">
        <v>100</v>
      </c>
      <c r="C534" s="351" t="s">
        <v>913</v>
      </c>
      <c r="D534" s="352">
        <v>9.6</v>
      </c>
      <c r="E534" s="352">
        <v>2.4</v>
      </c>
      <c r="F534" s="352">
        <v>65.2</v>
      </c>
    </row>
    <row r="535" spans="1:6" ht="15.75" customHeight="1">
      <c r="A535" s="350" t="s">
        <v>1446</v>
      </c>
      <c r="B535" s="351">
        <v>100</v>
      </c>
      <c r="C535" s="351" t="s">
        <v>913</v>
      </c>
      <c r="D535" s="352">
        <v>9.1</v>
      </c>
      <c r="E535" s="352">
        <v>1.8</v>
      </c>
      <c r="F535" s="352">
        <v>73</v>
      </c>
    </row>
    <row r="536" spans="1:6" ht="15.75" customHeight="1">
      <c r="A536" s="350" t="s">
        <v>1447</v>
      </c>
      <c r="B536" s="351">
        <v>100</v>
      </c>
      <c r="C536" s="351" t="s">
        <v>913</v>
      </c>
      <c r="D536" s="352">
        <v>7.8</v>
      </c>
      <c r="E536" s="352">
        <v>1.1000000000000001</v>
      </c>
      <c r="F536" s="352">
        <v>74.3</v>
      </c>
    </row>
    <row r="537" spans="1:6" ht="15.75" customHeight="1">
      <c r="A537" s="350" t="s">
        <v>1448</v>
      </c>
      <c r="B537" s="351">
        <v>100</v>
      </c>
      <c r="C537" s="351" t="s">
        <v>913</v>
      </c>
      <c r="D537" s="352">
        <v>8.5</v>
      </c>
      <c r="E537" s="352">
        <v>1.5</v>
      </c>
      <c r="F537" s="352">
        <v>73.7</v>
      </c>
    </row>
    <row r="538" spans="1:6" ht="15.75" customHeight="1">
      <c r="A538" s="350" t="s">
        <v>1449</v>
      </c>
      <c r="B538" s="351">
        <v>100</v>
      </c>
      <c r="C538" s="351" t="s">
        <v>913</v>
      </c>
      <c r="D538" s="352">
        <v>15</v>
      </c>
      <c r="E538" s="352">
        <v>9</v>
      </c>
      <c r="F538" s="352">
        <v>65</v>
      </c>
    </row>
    <row r="539" spans="1:6" ht="15.75" customHeight="1">
      <c r="A539" s="350" t="s">
        <v>1450</v>
      </c>
      <c r="B539" s="351">
        <v>100</v>
      </c>
      <c r="C539" s="351" t="s">
        <v>913</v>
      </c>
      <c r="D539" s="352">
        <v>15</v>
      </c>
      <c r="E539" s="352">
        <v>9</v>
      </c>
      <c r="F539" s="352">
        <v>66</v>
      </c>
    </row>
    <row r="540" spans="1:6" ht="15.75" customHeight="1">
      <c r="A540" s="350" t="s">
        <v>1451</v>
      </c>
      <c r="B540" s="351">
        <v>100</v>
      </c>
      <c r="C540" s="351" t="s">
        <v>913</v>
      </c>
      <c r="D540" s="352">
        <v>15</v>
      </c>
      <c r="E540" s="352">
        <v>9</v>
      </c>
      <c r="F540" s="352">
        <v>68</v>
      </c>
    </row>
    <row r="541" spans="1:6" ht="15.75" customHeight="1">
      <c r="A541" s="350" t="s">
        <v>1452</v>
      </c>
      <c r="B541" s="351">
        <v>100</v>
      </c>
      <c r="C541" s="351" t="s">
        <v>913</v>
      </c>
      <c r="D541" s="352">
        <v>4.8</v>
      </c>
      <c r="E541" s="352">
        <v>30.7</v>
      </c>
      <c r="F541" s="352">
        <v>26.4</v>
      </c>
    </row>
    <row r="542" spans="1:6" ht="15.75" customHeight="1">
      <c r="A542" s="350" t="s">
        <v>1453</v>
      </c>
      <c r="B542" s="351">
        <v>100</v>
      </c>
      <c r="C542" s="351" t="s">
        <v>913</v>
      </c>
      <c r="D542" s="352">
        <v>4.8</v>
      </c>
      <c r="E542" s="352">
        <v>41</v>
      </c>
      <c r="F542" s="352">
        <v>26.7</v>
      </c>
    </row>
    <row r="543" spans="1:6" ht="15.75" customHeight="1">
      <c r="A543" s="350" t="s">
        <v>1454</v>
      </c>
      <c r="B543" s="351">
        <v>100</v>
      </c>
      <c r="C543" s="351" t="s">
        <v>913</v>
      </c>
      <c r="D543" s="352">
        <v>8</v>
      </c>
      <c r="E543" s="352">
        <v>5.9</v>
      </c>
      <c r="F543" s="352">
        <v>8.4</v>
      </c>
    </row>
    <row r="544" spans="1:6" ht="15.75" customHeight="1">
      <c r="A544" s="350" t="s">
        <v>1455</v>
      </c>
      <c r="B544" s="351">
        <v>100</v>
      </c>
      <c r="C544" s="351" t="s">
        <v>913</v>
      </c>
      <c r="D544" s="352">
        <v>6.7</v>
      </c>
      <c r="E544" s="352">
        <v>0.5</v>
      </c>
      <c r="F544" s="352">
        <v>7.4</v>
      </c>
    </row>
    <row r="545" spans="1:6" ht="15.75" customHeight="1">
      <c r="A545" s="350" t="s">
        <v>1456</v>
      </c>
      <c r="B545" s="351">
        <v>100</v>
      </c>
      <c r="C545" s="351" t="s">
        <v>913</v>
      </c>
      <c r="D545" s="352">
        <v>7.4</v>
      </c>
      <c r="E545" s="352">
        <v>0.5</v>
      </c>
      <c r="F545" s="352">
        <v>8.5</v>
      </c>
    </row>
    <row r="546" spans="1:6" ht="15.75" customHeight="1">
      <c r="A546" s="350" t="s">
        <v>1457</v>
      </c>
      <c r="B546" s="351">
        <v>100</v>
      </c>
      <c r="C546" s="351" t="s">
        <v>913</v>
      </c>
      <c r="D546" s="352">
        <v>7.9</v>
      </c>
      <c r="E546" s="352">
        <v>0.6</v>
      </c>
      <c r="F546" s="352">
        <v>10.7</v>
      </c>
    </row>
    <row r="547" spans="1:6" ht="15.75" customHeight="1">
      <c r="A547" s="350" t="s">
        <v>1458</v>
      </c>
      <c r="B547" s="351">
        <v>100</v>
      </c>
      <c r="C547" s="351" t="s">
        <v>913</v>
      </c>
      <c r="D547" s="352">
        <v>25.8</v>
      </c>
      <c r="E547" s="352">
        <v>1.3</v>
      </c>
      <c r="F547" s="352">
        <v>32.799999999999997</v>
      </c>
    </row>
    <row r="548" spans="1:6" ht="15.75" customHeight="1">
      <c r="A548" s="350" t="s">
        <v>1459</v>
      </c>
      <c r="B548" s="351">
        <v>100</v>
      </c>
      <c r="C548" s="351" t="s">
        <v>913</v>
      </c>
      <c r="D548" s="352">
        <v>6.6</v>
      </c>
      <c r="E548" s="352">
        <v>0.5</v>
      </c>
      <c r="F548" s="352">
        <v>14.6</v>
      </c>
    </row>
    <row r="549" spans="1:6" ht="15.75" customHeight="1">
      <c r="A549" s="350" t="s">
        <v>1460</v>
      </c>
      <c r="B549" s="351">
        <v>100</v>
      </c>
      <c r="C549" s="351" t="s">
        <v>913</v>
      </c>
      <c r="D549" s="352">
        <v>21</v>
      </c>
      <c r="E549" s="352">
        <v>1.4</v>
      </c>
      <c r="F549" s="352">
        <v>43.9</v>
      </c>
    </row>
    <row r="550" spans="1:6" ht="15.75" customHeight="1">
      <c r="A550" s="350" t="s">
        <v>1461</v>
      </c>
      <c r="B550" s="351">
        <v>100</v>
      </c>
      <c r="C550" s="351" t="s">
        <v>913</v>
      </c>
      <c r="D550" s="352">
        <v>8.8000000000000007</v>
      </c>
      <c r="E550" s="352">
        <v>0.7</v>
      </c>
      <c r="F550" s="352">
        <v>18.100000000000001</v>
      </c>
    </row>
    <row r="551" spans="1:6" ht="15.75" customHeight="1">
      <c r="A551" s="350" t="s">
        <v>1462</v>
      </c>
      <c r="B551" s="351">
        <v>100</v>
      </c>
      <c r="C551" s="351" t="s">
        <v>913</v>
      </c>
      <c r="D551" s="352">
        <v>22.6</v>
      </c>
      <c r="E551" s="352">
        <v>1.3</v>
      </c>
      <c r="F551" s="352">
        <v>55.3</v>
      </c>
    </row>
    <row r="552" spans="1:6" ht="15.75" customHeight="1">
      <c r="A552" s="350" t="s">
        <v>1463</v>
      </c>
      <c r="B552" s="351">
        <v>100</v>
      </c>
      <c r="C552" s="351" t="s">
        <v>913</v>
      </c>
      <c r="D552" s="352">
        <v>7.8</v>
      </c>
      <c r="E552" s="352">
        <v>0.6</v>
      </c>
      <c r="F552" s="352">
        <v>14</v>
      </c>
    </row>
    <row r="553" spans="1:6" ht="15.75" customHeight="1">
      <c r="A553" s="350" t="s">
        <v>1464</v>
      </c>
      <c r="B553" s="351">
        <v>100</v>
      </c>
      <c r="C553" s="351" t="s">
        <v>913</v>
      </c>
      <c r="D553" s="352">
        <v>21.8</v>
      </c>
      <c r="E553" s="352">
        <v>1.4</v>
      </c>
      <c r="F553" s="352">
        <v>42.6</v>
      </c>
    </row>
    <row r="554" spans="1:6" ht="15.75" customHeight="1">
      <c r="A554" s="350" t="s">
        <v>1465</v>
      </c>
      <c r="B554" s="351">
        <v>100</v>
      </c>
      <c r="C554" s="351" t="s">
        <v>913</v>
      </c>
      <c r="D554" s="352">
        <v>1.8</v>
      </c>
      <c r="E554" s="352">
        <v>0.3</v>
      </c>
      <c r="F554" s="352">
        <v>3.5</v>
      </c>
    </row>
    <row r="555" spans="1:6" ht="15.75" customHeight="1">
      <c r="A555" s="350" t="s">
        <v>1466</v>
      </c>
      <c r="B555" s="351">
        <v>100</v>
      </c>
      <c r="C555" s="351" t="s">
        <v>913</v>
      </c>
      <c r="D555" s="352">
        <v>1.9</v>
      </c>
      <c r="E555" s="352">
        <v>0.3</v>
      </c>
      <c r="F555" s="352">
        <v>3.8</v>
      </c>
    </row>
    <row r="556" spans="1:6" ht="15.75" customHeight="1">
      <c r="A556" s="350" t="s">
        <v>1467</v>
      </c>
      <c r="B556" s="351">
        <v>100</v>
      </c>
      <c r="C556" s="351" t="s">
        <v>913</v>
      </c>
      <c r="D556" s="352">
        <v>22.1</v>
      </c>
      <c r="E556" s="352">
        <v>1.4</v>
      </c>
      <c r="F556" s="352">
        <v>36.700000000000003</v>
      </c>
    </row>
    <row r="557" spans="1:6" ht="15.75" customHeight="1">
      <c r="A557" s="350" t="s">
        <v>1468</v>
      </c>
      <c r="B557" s="351">
        <v>100</v>
      </c>
      <c r="C557" s="351" t="s">
        <v>913</v>
      </c>
      <c r="D557" s="352">
        <v>13.6</v>
      </c>
      <c r="E557" s="352">
        <v>7.2</v>
      </c>
      <c r="F557" s="352">
        <v>13.3</v>
      </c>
    </row>
    <row r="558" spans="1:6" ht="15.75" customHeight="1">
      <c r="A558" s="350" t="s">
        <v>1469</v>
      </c>
      <c r="B558" s="351">
        <v>100</v>
      </c>
      <c r="C558" s="351" t="s">
        <v>913</v>
      </c>
      <c r="D558" s="352">
        <v>13.7</v>
      </c>
      <c r="E558" s="352">
        <v>7.5</v>
      </c>
      <c r="F558" s="352">
        <v>13.3</v>
      </c>
    </row>
    <row r="559" spans="1:6" ht="15.75" customHeight="1">
      <c r="A559" s="350" t="s">
        <v>1470</v>
      </c>
      <c r="B559" s="351">
        <v>100</v>
      </c>
      <c r="C559" s="351" t="s">
        <v>913</v>
      </c>
      <c r="D559" s="352">
        <v>9</v>
      </c>
      <c r="E559" s="352">
        <v>15.1</v>
      </c>
      <c r="F559" s="352">
        <v>14.1</v>
      </c>
    </row>
    <row r="560" spans="1:6" ht="15.75" customHeight="1">
      <c r="A560" s="350" t="s">
        <v>1471</v>
      </c>
      <c r="B560" s="351">
        <v>100</v>
      </c>
      <c r="C560" s="351" t="s">
        <v>913</v>
      </c>
      <c r="D560" s="352">
        <v>0.9</v>
      </c>
      <c r="E560" s="352">
        <v>0.5</v>
      </c>
      <c r="F560" s="352">
        <v>9.8000000000000007</v>
      </c>
    </row>
    <row r="561" spans="1:6" ht="15.75" customHeight="1">
      <c r="A561" s="350" t="s">
        <v>1472</v>
      </c>
      <c r="B561" s="351">
        <v>100</v>
      </c>
      <c r="C561" s="351" t="s">
        <v>913</v>
      </c>
      <c r="D561" s="352">
        <v>4.7</v>
      </c>
      <c r="E561" s="352">
        <v>0</v>
      </c>
      <c r="F561" s="352">
        <v>34.4</v>
      </c>
    </row>
    <row r="562" spans="1:6" ht="15.75" customHeight="1">
      <c r="A562" s="350" t="s">
        <v>1473</v>
      </c>
      <c r="B562" s="351">
        <v>100</v>
      </c>
      <c r="C562" s="351" t="s">
        <v>913</v>
      </c>
      <c r="D562" s="352">
        <v>12.9</v>
      </c>
      <c r="E562" s="352">
        <v>0.9</v>
      </c>
      <c r="F562" s="352">
        <v>1</v>
      </c>
    </row>
    <row r="563" spans="1:6" ht="15.75" customHeight="1">
      <c r="A563" s="350" t="s">
        <v>1474</v>
      </c>
      <c r="B563" s="351">
        <v>100</v>
      </c>
      <c r="C563" s="351" t="s">
        <v>913</v>
      </c>
      <c r="D563" s="352">
        <v>38.299999999999997</v>
      </c>
      <c r="E563" s="352">
        <v>2.5</v>
      </c>
      <c r="F563" s="352">
        <v>3.2</v>
      </c>
    </row>
    <row r="564" spans="1:6" ht="15.75" customHeight="1">
      <c r="A564" s="350" t="s">
        <v>1475</v>
      </c>
      <c r="B564" s="351">
        <v>100</v>
      </c>
      <c r="C564" s="351" t="s">
        <v>913</v>
      </c>
      <c r="D564" s="352">
        <v>13.8</v>
      </c>
      <c r="E564" s="352">
        <v>1.6</v>
      </c>
      <c r="F564" s="352">
        <v>2.7</v>
      </c>
    </row>
    <row r="565" spans="1:6" ht="15.75" customHeight="1">
      <c r="A565" s="350" t="s">
        <v>1476</v>
      </c>
      <c r="B565" s="351">
        <v>100</v>
      </c>
      <c r="C565" s="351" t="s">
        <v>913</v>
      </c>
      <c r="D565" s="352">
        <v>15.3</v>
      </c>
      <c r="E565" s="352">
        <v>4.5999999999999996</v>
      </c>
      <c r="F565" s="352">
        <v>0</v>
      </c>
    </row>
    <row r="566" spans="1:6" ht="15.75" customHeight="1">
      <c r="A566" s="350" t="s">
        <v>1477</v>
      </c>
      <c r="B566" s="351">
        <v>100</v>
      </c>
      <c r="C566" s="351" t="s">
        <v>913</v>
      </c>
      <c r="D566" s="352">
        <v>14</v>
      </c>
      <c r="E566" s="352">
        <v>5.0999999999999996</v>
      </c>
      <c r="F566" s="352">
        <v>1.3</v>
      </c>
    </row>
    <row r="567" spans="1:6" ht="15.75" customHeight="1">
      <c r="A567" s="350" t="s">
        <v>1478</v>
      </c>
      <c r="B567" s="351">
        <v>100</v>
      </c>
      <c r="C567" s="351" t="s">
        <v>913</v>
      </c>
      <c r="D567" s="352">
        <v>13.7</v>
      </c>
      <c r="E567" s="352">
        <v>1.3</v>
      </c>
      <c r="F567" s="352">
        <v>2.8</v>
      </c>
    </row>
    <row r="568" spans="1:6" ht="15.75" customHeight="1">
      <c r="A568" s="350" t="s">
        <v>1479</v>
      </c>
      <c r="B568" s="351">
        <v>100</v>
      </c>
      <c r="C568" s="351" t="s">
        <v>913</v>
      </c>
      <c r="D568" s="352">
        <v>13.8</v>
      </c>
      <c r="E568" s="352">
        <v>1.9</v>
      </c>
      <c r="F568" s="352">
        <v>2.6</v>
      </c>
    </row>
    <row r="569" spans="1:6" ht="15.75" customHeight="1">
      <c r="A569" s="350" t="s">
        <v>1480</v>
      </c>
      <c r="B569" s="351">
        <v>100</v>
      </c>
      <c r="C569" s="351" t="s">
        <v>913</v>
      </c>
      <c r="D569" s="352">
        <v>16.5</v>
      </c>
      <c r="E569" s="352">
        <v>4.0999999999999996</v>
      </c>
      <c r="F569" s="352">
        <v>1.2</v>
      </c>
    </row>
    <row r="570" spans="1:6" ht="15.75" customHeight="1">
      <c r="A570" s="350" t="s">
        <v>1481</v>
      </c>
      <c r="B570" s="351">
        <v>100</v>
      </c>
      <c r="C570" s="351" t="s">
        <v>913</v>
      </c>
      <c r="D570" s="352">
        <v>17.7</v>
      </c>
      <c r="E570" s="352">
        <v>2.2999999999999998</v>
      </c>
      <c r="F570" s="352">
        <v>0</v>
      </c>
    </row>
    <row r="571" spans="1:6" ht="15.75" customHeight="1">
      <c r="A571" s="350" t="s">
        <v>1482</v>
      </c>
      <c r="B571" s="351">
        <v>100</v>
      </c>
      <c r="C571" s="351" t="s">
        <v>913</v>
      </c>
      <c r="D571" s="352">
        <v>20.9</v>
      </c>
      <c r="E571" s="352">
        <v>5</v>
      </c>
      <c r="F571" s="352">
        <v>0</v>
      </c>
    </row>
    <row r="572" spans="1:6" ht="15.75" customHeight="1">
      <c r="A572" s="350" t="s">
        <v>1483</v>
      </c>
      <c r="B572" s="351">
        <v>100</v>
      </c>
      <c r="C572" s="351" t="s">
        <v>913</v>
      </c>
      <c r="D572" s="352">
        <v>23.2</v>
      </c>
      <c r="E572" s="352">
        <v>13.1</v>
      </c>
      <c r="F572" s="352">
        <v>0</v>
      </c>
    </row>
    <row r="573" spans="1:6" ht="15.75" customHeight="1">
      <c r="A573" s="350" t="s">
        <v>1484</v>
      </c>
      <c r="B573" s="351">
        <v>100</v>
      </c>
      <c r="C573" s="351" t="s">
        <v>913</v>
      </c>
      <c r="D573" s="352">
        <v>25.2</v>
      </c>
      <c r="E573" s="352">
        <v>8.8000000000000007</v>
      </c>
      <c r="F573" s="352">
        <v>0</v>
      </c>
    </row>
    <row r="574" spans="1:6" ht="15.75" customHeight="1">
      <c r="A574" s="350" t="s">
        <v>1485</v>
      </c>
      <c r="B574" s="351">
        <v>100</v>
      </c>
      <c r="C574" s="351" t="s">
        <v>913</v>
      </c>
      <c r="D574" s="352">
        <v>26.3</v>
      </c>
      <c r="E574" s="352">
        <v>6.3</v>
      </c>
      <c r="F574" s="352">
        <v>0</v>
      </c>
    </row>
    <row r="575" spans="1:6" ht="15.75" customHeight="1">
      <c r="A575" s="350" t="s">
        <v>1486</v>
      </c>
      <c r="B575" s="351">
        <v>100</v>
      </c>
      <c r="C575" s="351" t="s">
        <v>913</v>
      </c>
      <c r="D575" s="352">
        <v>20.9</v>
      </c>
      <c r="E575" s="352">
        <v>4.4000000000000004</v>
      </c>
      <c r="F575" s="352">
        <v>2.1</v>
      </c>
    </row>
    <row r="576" spans="1:6" ht="15.75" customHeight="1">
      <c r="A576" s="350" t="s">
        <v>1487</v>
      </c>
      <c r="B576" s="351">
        <v>100</v>
      </c>
      <c r="C576" s="351" t="s">
        <v>913</v>
      </c>
      <c r="D576" s="352">
        <v>24.5</v>
      </c>
      <c r="E576" s="352">
        <v>7</v>
      </c>
      <c r="F576" s="352">
        <v>2.5</v>
      </c>
    </row>
    <row r="577" spans="1:6" ht="15.75" customHeight="1">
      <c r="A577" s="350" t="s">
        <v>1488</v>
      </c>
      <c r="B577" s="351">
        <v>100</v>
      </c>
      <c r="C577" s="351" t="s">
        <v>913</v>
      </c>
      <c r="D577" s="352">
        <v>20.3</v>
      </c>
      <c r="E577" s="352">
        <v>3.5</v>
      </c>
      <c r="F577" s="352">
        <v>1.5</v>
      </c>
    </row>
    <row r="578" spans="1:6" ht="15.75" customHeight="1">
      <c r="A578" s="350" t="s">
        <v>1489</v>
      </c>
      <c r="B578" s="351">
        <v>100</v>
      </c>
      <c r="C578" s="351" t="s">
        <v>913</v>
      </c>
      <c r="D578" s="352">
        <v>22.6</v>
      </c>
      <c r="E578" s="352">
        <v>11.5</v>
      </c>
      <c r="F578" s="352">
        <v>1.7</v>
      </c>
    </row>
    <row r="579" spans="1:6" ht="15.75" customHeight="1">
      <c r="A579" s="350" t="s">
        <v>1490</v>
      </c>
      <c r="B579" s="351">
        <v>100</v>
      </c>
      <c r="C579" s="351" t="s">
        <v>913</v>
      </c>
      <c r="D579" s="352">
        <v>24.6</v>
      </c>
      <c r="E579" s="352">
        <v>8.3000000000000007</v>
      </c>
      <c r="F579" s="352">
        <v>1.5</v>
      </c>
    </row>
    <row r="580" spans="1:6" ht="15.75" customHeight="1">
      <c r="A580" s="350" t="s">
        <v>1491</v>
      </c>
      <c r="B580" s="351">
        <v>100</v>
      </c>
      <c r="C580" s="351" t="s">
        <v>913</v>
      </c>
      <c r="D580" s="352">
        <v>25.7</v>
      </c>
      <c r="E580" s="352">
        <v>4.7</v>
      </c>
      <c r="F580" s="352">
        <v>1.9</v>
      </c>
    </row>
    <row r="581" spans="1:6" ht="15.75" customHeight="1">
      <c r="A581" s="350" t="s">
        <v>1492</v>
      </c>
      <c r="B581" s="351">
        <v>100</v>
      </c>
      <c r="C581" s="351" t="s">
        <v>913</v>
      </c>
      <c r="D581" s="352">
        <v>0.9</v>
      </c>
      <c r="E581" s="352">
        <v>0.5</v>
      </c>
      <c r="F581" s="352">
        <v>16.3</v>
      </c>
    </row>
    <row r="582" spans="1:6" ht="15.75" customHeight="1">
      <c r="A582" s="350" t="s">
        <v>1493</v>
      </c>
      <c r="B582" s="351">
        <v>100</v>
      </c>
      <c r="C582" s="351" t="s">
        <v>913</v>
      </c>
      <c r="D582" s="352">
        <v>0.5</v>
      </c>
      <c r="E582" s="352">
        <v>0.4</v>
      </c>
      <c r="F582" s="352">
        <v>71.2</v>
      </c>
    </row>
    <row r="583" spans="1:6" ht="15.75" customHeight="1">
      <c r="A583" s="350" t="s">
        <v>1494</v>
      </c>
      <c r="B583" s="351">
        <v>100</v>
      </c>
      <c r="C583" s="351" t="s">
        <v>913</v>
      </c>
      <c r="D583" s="352">
        <v>2.2999999999999998</v>
      </c>
      <c r="E583" s="352">
        <v>0.6</v>
      </c>
      <c r="F583" s="352">
        <v>58.3</v>
      </c>
    </row>
    <row r="584" spans="1:6" ht="15.75" customHeight="1">
      <c r="A584" s="350" t="s">
        <v>1495</v>
      </c>
      <c r="B584" s="351">
        <v>100</v>
      </c>
      <c r="C584" s="351" t="s">
        <v>913</v>
      </c>
      <c r="D584" s="352">
        <v>19.2</v>
      </c>
      <c r="E584" s="352">
        <v>10.7</v>
      </c>
      <c r="F584" s="352">
        <v>5.0999999999999996</v>
      </c>
    </row>
    <row r="585" spans="1:6" ht="15.75" customHeight="1">
      <c r="A585" s="350" t="s">
        <v>1496</v>
      </c>
      <c r="B585" s="351">
        <v>100</v>
      </c>
      <c r="C585" s="351" t="s">
        <v>913</v>
      </c>
      <c r="D585" s="352">
        <v>1.8</v>
      </c>
      <c r="E585" s="352">
        <v>0.6</v>
      </c>
      <c r="F585" s="352">
        <v>11.7</v>
      </c>
    </row>
    <row r="586" spans="1:6" ht="15.75" customHeight="1">
      <c r="A586" s="350" t="s">
        <v>1497</v>
      </c>
      <c r="B586" s="351">
        <v>100</v>
      </c>
      <c r="C586" s="351" t="s">
        <v>913</v>
      </c>
      <c r="D586" s="352">
        <v>7</v>
      </c>
      <c r="E586" s="352">
        <v>1.5</v>
      </c>
      <c r="F586" s="352">
        <v>83.4</v>
      </c>
    </row>
    <row r="587" spans="1:6" ht="15.75" customHeight="1">
      <c r="A587" s="350" t="s">
        <v>1498</v>
      </c>
      <c r="B587" s="351">
        <v>100</v>
      </c>
      <c r="C587" s="351" t="s">
        <v>913</v>
      </c>
      <c r="D587" s="352">
        <v>13.5</v>
      </c>
      <c r="E587" s="352">
        <v>5.8</v>
      </c>
      <c r="F587" s="352">
        <v>61.7</v>
      </c>
    </row>
    <row r="588" spans="1:6" ht="15.75" customHeight="1">
      <c r="A588" s="350" t="s">
        <v>1499</v>
      </c>
      <c r="B588" s="351">
        <v>100</v>
      </c>
      <c r="C588" s="351" t="s">
        <v>913</v>
      </c>
      <c r="D588" s="352">
        <v>12</v>
      </c>
      <c r="E588" s="352">
        <v>2</v>
      </c>
      <c r="F588" s="352">
        <v>69</v>
      </c>
    </row>
    <row r="589" spans="1:6" ht="15.75" customHeight="1">
      <c r="A589" s="350" t="s">
        <v>1500</v>
      </c>
      <c r="B589" s="351">
        <v>100</v>
      </c>
      <c r="C589" s="351" t="s">
        <v>913</v>
      </c>
      <c r="D589" s="352">
        <v>10.4</v>
      </c>
      <c r="E589" s="352">
        <v>6.3</v>
      </c>
      <c r="F589" s="352">
        <v>69.099999999999994</v>
      </c>
    </row>
    <row r="590" spans="1:6" ht="15.75" customHeight="1">
      <c r="A590" s="350" t="s">
        <v>1501</v>
      </c>
      <c r="B590" s="351">
        <v>100</v>
      </c>
      <c r="C590" s="351" t="s">
        <v>913</v>
      </c>
      <c r="D590" s="352">
        <v>8.3000000000000007</v>
      </c>
      <c r="E590" s="352">
        <v>2</v>
      </c>
      <c r="F590" s="352">
        <v>64.400000000000006</v>
      </c>
    </row>
    <row r="591" spans="1:6" ht="15.75" customHeight="1">
      <c r="A591" s="350" t="s">
        <v>1502</v>
      </c>
      <c r="B591" s="351">
        <v>100</v>
      </c>
      <c r="C591" s="351" t="s">
        <v>913</v>
      </c>
      <c r="D591" s="352">
        <v>7.9</v>
      </c>
      <c r="E591" s="352">
        <v>1.1000000000000001</v>
      </c>
      <c r="F591" s="352">
        <v>81.099999999999994</v>
      </c>
    </row>
    <row r="592" spans="1:6" ht="15.75" customHeight="1">
      <c r="A592" s="350" t="s">
        <v>1503</v>
      </c>
      <c r="B592" s="351">
        <v>100</v>
      </c>
      <c r="C592" s="351" t="s">
        <v>913</v>
      </c>
      <c r="D592" s="352">
        <v>14</v>
      </c>
      <c r="E592" s="352">
        <v>2.5</v>
      </c>
      <c r="F592" s="352">
        <v>69</v>
      </c>
    </row>
    <row r="593" spans="1:6" ht="15.75" customHeight="1">
      <c r="A593" s="350" t="s">
        <v>1504</v>
      </c>
      <c r="B593" s="351">
        <v>100</v>
      </c>
      <c r="C593" s="351" t="s">
        <v>913</v>
      </c>
      <c r="D593" s="352">
        <v>9</v>
      </c>
      <c r="E593" s="352">
        <v>1.5</v>
      </c>
      <c r="F593" s="352">
        <v>76.3</v>
      </c>
    </row>
    <row r="594" spans="1:6" ht="15.75" customHeight="1">
      <c r="A594" s="350" t="s">
        <v>1505</v>
      </c>
      <c r="B594" s="351">
        <v>100</v>
      </c>
      <c r="C594" s="351" t="s">
        <v>913</v>
      </c>
      <c r="D594" s="352">
        <v>8.1999999999999993</v>
      </c>
      <c r="E594" s="352">
        <v>1</v>
      </c>
      <c r="F594" s="352">
        <v>84.6</v>
      </c>
    </row>
    <row r="595" spans="1:6" ht="15.75" customHeight="1">
      <c r="A595" s="350" t="s">
        <v>1506</v>
      </c>
      <c r="B595" s="351">
        <v>100</v>
      </c>
      <c r="C595" s="351" t="s">
        <v>913</v>
      </c>
      <c r="D595" s="352">
        <v>7.5</v>
      </c>
      <c r="E595" s="352">
        <v>1.3</v>
      </c>
      <c r="F595" s="352">
        <v>79.2</v>
      </c>
    </row>
    <row r="596" spans="1:6" ht="15.75" customHeight="1">
      <c r="A596" s="350" t="s">
        <v>1507</v>
      </c>
      <c r="B596" s="351">
        <v>100</v>
      </c>
      <c r="C596" s="351" t="s">
        <v>913</v>
      </c>
      <c r="D596" s="352">
        <v>10.199999999999999</v>
      </c>
      <c r="E596" s="352">
        <v>1.9</v>
      </c>
      <c r="F596" s="352">
        <v>64.2</v>
      </c>
    </row>
    <row r="597" spans="1:6" ht="15.75" customHeight="1">
      <c r="A597" s="350" t="s">
        <v>1508</v>
      </c>
      <c r="B597" s="351">
        <v>100</v>
      </c>
      <c r="C597" s="351" t="s">
        <v>913</v>
      </c>
      <c r="D597" s="352">
        <v>0</v>
      </c>
      <c r="E597" s="352">
        <v>0</v>
      </c>
      <c r="F597" s="352">
        <v>0</v>
      </c>
    </row>
    <row r="598" spans="1:6" ht="15.75" customHeight="1">
      <c r="A598" s="350" t="s">
        <v>1509</v>
      </c>
      <c r="B598" s="351">
        <v>100</v>
      </c>
      <c r="C598" s="351" t="s">
        <v>913</v>
      </c>
      <c r="D598" s="352">
        <v>3.5</v>
      </c>
      <c r="E598" s="352">
        <v>0.5</v>
      </c>
      <c r="F598" s="352">
        <v>3.7</v>
      </c>
    </row>
    <row r="599" spans="1:6" ht="15.75" customHeight="1">
      <c r="A599" s="350" t="s">
        <v>1510</v>
      </c>
      <c r="B599" s="351">
        <v>100</v>
      </c>
      <c r="C599" s="351" t="s">
        <v>913</v>
      </c>
      <c r="D599" s="352">
        <v>0.9</v>
      </c>
      <c r="E599" s="352">
        <v>0.6</v>
      </c>
      <c r="F599" s="352">
        <v>5.0999999999999996</v>
      </c>
    </row>
    <row r="600" spans="1:6" ht="15.75" customHeight="1">
      <c r="A600" s="350" t="s">
        <v>1511</v>
      </c>
      <c r="B600" s="351">
        <v>100</v>
      </c>
      <c r="C600" s="351" t="s">
        <v>913</v>
      </c>
      <c r="D600" s="352">
        <v>5.4</v>
      </c>
      <c r="E600" s="352">
        <v>3.6</v>
      </c>
      <c r="F600" s="352">
        <v>30.9</v>
      </c>
    </row>
    <row r="601" spans="1:6" ht="15.75" customHeight="1">
      <c r="A601" s="350" t="s">
        <v>1512</v>
      </c>
      <c r="B601" s="351">
        <v>100</v>
      </c>
      <c r="C601" s="351" t="s">
        <v>913</v>
      </c>
      <c r="D601" s="352">
        <v>13.3</v>
      </c>
      <c r="E601" s="352">
        <v>17.7</v>
      </c>
      <c r="F601" s="352">
        <v>6.5</v>
      </c>
    </row>
    <row r="602" spans="1:6" ht="15.75" customHeight="1">
      <c r="A602" s="350" t="s">
        <v>1513</v>
      </c>
      <c r="B602" s="351">
        <v>100</v>
      </c>
      <c r="C602" s="351" t="s">
        <v>913</v>
      </c>
      <c r="D602" s="352">
        <v>27.2</v>
      </c>
      <c r="E602" s="352">
        <v>10.3</v>
      </c>
      <c r="F602" s="352">
        <v>0</v>
      </c>
    </row>
    <row r="603" spans="1:6" ht="15.75" customHeight="1">
      <c r="A603" s="350" t="s">
        <v>1514</v>
      </c>
      <c r="B603" s="351">
        <v>100</v>
      </c>
      <c r="C603" s="351" t="s">
        <v>913</v>
      </c>
      <c r="D603" s="352">
        <v>20.399999999999999</v>
      </c>
      <c r="E603" s="352">
        <v>12.7</v>
      </c>
      <c r="F603" s="352">
        <v>0</v>
      </c>
    </row>
    <row r="604" spans="1:6" ht="15.75" customHeight="1">
      <c r="A604" s="350" t="s">
        <v>1515</v>
      </c>
      <c r="B604" s="351">
        <v>100</v>
      </c>
      <c r="C604" s="351" t="s">
        <v>913</v>
      </c>
      <c r="D604" s="352">
        <v>18.5</v>
      </c>
      <c r="E604" s="352">
        <v>13.5</v>
      </c>
      <c r="F604" s="352">
        <v>1.7</v>
      </c>
    </row>
    <row r="605" spans="1:6" ht="15.75" customHeight="1">
      <c r="A605" s="350" t="s">
        <v>1516</v>
      </c>
      <c r="B605" s="351">
        <v>100</v>
      </c>
      <c r="C605" s="351" t="s">
        <v>913</v>
      </c>
      <c r="D605" s="352">
        <v>18.5</v>
      </c>
      <c r="E605" s="352">
        <v>13.2</v>
      </c>
      <c r="F605" s="352">
        <v>1.7</v>
      </c>
    </row>
    <row r="606" spans="1:6" ht="15.75" customHeight="1">
      <c r="A606" s="350" t="s">
        <v>1517</v>
      </c>
      <c r="B606" s="351">
        <v>100</v>
      </c>
      <c r="C606" s="351" t="s">
        <v>913</v>
      </c>
      <c r="D606" s="352">
        <v>29.2</v>
      </c>
      <c r="E606" s="352">
        <v>11.8</v>
      </c>
      <c r="F606" s="352">
        <v>0</v>
      </c>
    </row>
    <row r="607" spans="1:6" ht="15.75" customHeight="1">
      <c r="A607" s="350" t="s">
        <v>1518</v>
      </c>
      <c r="B607" s="351">
        <v>100</v>
      </c>
      <c r="C607" s="351" t="s">
        <v>913</v>
      </c>
      <c r="D607" s="352">
        <v>28.7</v>
      </c>
      <c r="E607" s="352">
        <v>13.4</v>
      </c>
      <c r="F607" s="352">
        <v>0</v>
      </c>
    </row>
    <row r="608" spans="1:6" ht="15.75" customHeight="1">
      <c r="A608" s="350" t="s">
        <v>1519</v>
      </c>
      <c r="B608" s="351">
        <v>100</v>
      </c>
      <c r="C608" s="351" t="s">
        <v>913</v>
      </c>
      <c r="D608" s="352">
        <v>26.9</v>
      </c>
      <c r="E608" s="352">
        <v>13.7</v>
      </c>
      <c r="F608" s="352">
        <v>0</v>
      </c>
    </row>
    <row r="609" spans="1:6" ht="15.75" customHeight="1">
      <c r="A609" s="350" t="s">
        <v>1520</v>
      </c>
      <c r="B609" s="351">
        <v>100</v>
      </c>
      <c r="C609" s="351" t="s">
        <v>913</v>
      </c>
      <c r="D609" s="352">
        <v>25.5</v>
      </c>
      <c r="E609" s="352">
        <v>10.6</v>
      </c>
      <c r="F609" s="352">
        <v>0</v>
      </c>
    </row>
    <row r="610" spans="1:6" ht="15.75" customHeight="1">
      <c r="A610" s="350" t="s">
        <v>1521</v>
      </c>
      <c r="B610" s="351">
        <v>100</v>
      </c>
      <c r="C610" s="351" t="s">
        <v>913</v>
      </c>
      <c r="D610" s="352">
        <v>19.100000000000001</v>
      </c>
      <c r="E610" s="352">
        <v>13</v>
      </c>
      <c r="F610" s="352">
        <v>0</v>
      </c>
    </row>
    <row r="611" spans="1:6" ht="15.75" customHeight="1">
      <c r="A611" s="350" t="s">
        <v>1522</v>
      </c>
      <c r="B611" s="351">
        <v>100</v>
      </c>
      <c r="C611" s="351" t="s">
        <v>913</v>
      </c>
      <c r="D611" s="352">
        <v>17.3</v>
      </c>
      <c r="E611" s="352">
        <v>13.8</v>
      </c>
      <c r="F611" s="352">
        <v>1.7</v>
      </c>
    </row>
    <row r="612" spans="1:6" ht="15.75" customHeight="1">
      <c r="A612" s="350" t="s">
        <v>1523</v>
      </c>
      <c r="B612" s="351">
        <v>100</v>
      </c>
      <c r="C612" s="351" t="s">
        <v>913</v>
      </c>
      <c r="D612" s="352">
        <v>17.3</v>
      </c>
      <c r="E612" s="352">
        <v>13.5</v>
      </c>
      <c r="F612" s="352">
        <v>1.7</v>
      </c>
    </row>
    <row r="613" spans="1:6" ht="15.75" customHeight="1">
      <c r="A613" s="350" t="s">
        <v>1524</v>
      </c>
      <c r="B613" s="351">
        <v>100</v>
      </c>
      <c r="C613" s="351" t="s">
        <v>913</v>
      </c>
      <c r="D613" s="352">
        <v>26.9</v>
      </c>
      <c r="E613" s="352">
        <v>11.9</v>
      </c>
      <c r="F613" s="352">
        <v>0</v>
      </c>
    </row>
    <row r="614" spans="1:6" ht="15.75" customHeight="1">
      <c r="A614" s="350" t="s">
        <v>1525</v>
      </c>
      <c r="B614" s="351">
        <v>100</v>
      </c>
      <c r="C614" s="351" t="s">
        <v>913</v>
      </c>
      <c r="D614" s="352">
        <v>26.9</v>
      </c>
      <c r="E614" s="352">
        <v>13.7</v>
      </c>
      <c r="F614" s="352">
        <v>0</v>
      </c>
    </row>
    <row r="615" spans="1:6" ht="15.75" customHeight="1">
      <c r="A615" s="350" t="s">
        <v>1526</v>
      </c>
      <c r="B615" s="351">
        <v>100</v>
      </c>
      <c r="C615" s="351" t="s">
        <v>913</v>
      </c>
      <c r="D615" s="352">
        <v>27.6</v>
      </c>
      <c r="E615" s="352">
        <v>14.3</v>
      </c>
      <c r="F615" s="352">
        <v>0</v>
      </c>
    </row>
    <row r="616" spans="1:6" ht="15.75" customHeight="1">
      <c r="A616" s="350" t="s">
        <v>1527</v>
      </c>
      <c r="B616" s="351">
        <v>100</v>
      </c>
      <c r="C616" s="351" t="s">
        <v>913</v>
      </c>
      <c r="D616" s="352">
        <v>26.1</v>
      </c>
      <c r="E616" s="352">
        <v>11.1</v>
      </c>
      <c r="F616" s="352">
        <v>0</v>
      </c>
    </row>
    <row r="617" spans="1:6" ht="15.75" customHeight="1">
      <c r="A617" s="350" t="s">
        <v>1528</v>
      </c>
      <c r="B617" s="351">
        <v>100</v>
      </c>
      <c r="C617" s="351" t="s">
        <v>913</v>
      </c>
      <c r="D617" s="352">
        <v>19.600000000000001</v>
      </c>
      <c r="E617" s="352">
        <v>13.6</v>
      </c>
      <c r="F617" s="352">
        <v>0</v>
      </c>
    </row>
    <row r="618" spans="1:6" ht="15.75" customHeight="1">
      <c r="A618" s="350" t="s">
        <v>1529</v>
      </c>
      <c r="B618" s="351">
        <v>100</v>
      </c>
      <c r="C618" s="351" t="s">
        <v>913</v>
      </c>
      <c r="D618" s="352">
        <v>19.100000000000001</v>
      </c>
      <c r="E618" s="352">
        <v>15.4</v>
      </c>
      <c r="F618" s="352">
        <v>1.8</v>
      </c>
    </row>
    <row r="619" spans="1:6" ht="15.75" customHeight="1">
      <c r="A619" s="350" t="s">
        <v>1530</v>
      </c>
      <c r="B619" s="351">
        <v>100</v>
      </c>
      <c r="C619" s="351" t="s">
        <v>913</v>
      </c>
      <c r="D619" s="352">
        <v>19.100000000000001</v>
      </c>
      <c r="E619" s="352">
        <v>15.1</v>
      </c>
      <c r="F619" s="352">
        <v>1.8</v>
      </c>
    </row>
    <row r="620" spans="1:6" ht="15.75" customHeight="1">
      <c r="A620" s="350" t="s">
        <v>1531</v>
      </c>
      <c r="B620" s="351">
        <v>100</v>
      </c>
      <c r="C620" s="351" t="s">
        <v>913</v>
      </c>
      <c r="D620" s="352">
        <v>28.8</v>
      </c>
      <c r="E620" s="352">
        <v>13.1</v>
      </c>
      <c r="F620" s="352">
        <v>0</v>
      </c>
    </row>
    <row r="621" spans="1:6" ht="15.75" customHeight="1">
      <c r="A621" s="350" t="s">
        <v>1532</v>
      </c>
      <c r="B621" s="351">
        <v>100</v>
      </c>
      <c r="C621" s="351" t="s">
        <v>913</v>
      </c>
      <c r="D621" s="352">
        <v>27.6</v>
      </c>
      <c r="E621" s="352">
        <v>14.3</v>
      </c>
      <c r="F621" s="352">
        <v>0</v>
      </c>
    </row>
    <row r="622" spans="1:6" ht="15.75" customHeight="1">
      <c r="A622" s="350" t="s">
        <v>1533</v>
      </c>
      <c r="B622" s="351">
        <v>100</v>
      </c>
      <c r="C622" s="351" t="s">
        <v>913</v>
      </c>
      <c r="D622" s="352">
        <v>32.799999999999997</v>
      </c>
      <c r="E622" s="352">
        <v>4.2</v>
      </c>
      <c r="F622" s="352">
        <v>0</v>
      </c>
    </row>
    <row r="623" spans="1:6" ht="15.75" customHeight="1">
      <c r="A623" s="350" t="s">
        <v>1534</v>
      </c>
      <c r="B623" s="351">
        <v>100</v>
      </c>
      <c r="C623" s="351" t="s">
        <v>913</v>
      </c>
      <c r="D623" s="352">
        <v>22.9</v>
      </c>
      <c r="E623" s="352">
        <v>2</v>
      </c>
      <c r="F623" s="352">
        <v>0</v>
      </c>
    </row>
    <row r="624" spans="1:6" ht="15.75" customHeight="1">
      <c r="A624" s="350" t="s">
        <v>1535</v>
      </c>
      <c r="B624" s="351">
        <v>100</v>
      </c>
      <c r="C624" s="351" t="s">
        <v>913</v>
      </c>
      <c r="D624" s="352">
        <v>21</v>
      </c>
      <c r="E624" s="352">
        <v>4.0999999999999996</v>
      </c>
      <c r="F624" s="352">
        <v>1.7</v>
      </c>
    </row>
    <row r="625" spans="1:6" ht="15.75" customHeight="1">
      <c r="A625" s="350" t="s">
        <v>1536</v>
      </c>
      <c r="B625" s="351">
        <v>100</v>
      </c>
      <c r="C625" s="351" t="s">
        <v>913</v>
      </c>
      <c r="D625" s="352">
        <v>21</v>
      </c>
      <c r="E625" s="352">
        <v>3.8</v>
      </c>
      <c r="F625" s="352">
        <v>1.7</v>
      </c>
    </row>
    <row r="626" spans="1:6" ht="15.75" customHeight="1">
      <c r="A626" s="350" t="s">
        <v>1537</v>
      </c>
      <c r="B626" s="351">
        <v>100</v>
      </c>
      <c r="C626" s="351" t="s">
        <v>913</v>
      </c>
      <c r="D626" s="352">
        <v>33.200000000000003</v>
      </c>
      <c r="E626" s="352">
        <v>5.8</v>
      </c>
      <c r="F626" s="352">
        <v>0</v>
      </c>
    </row>
    <row r="627" spans="1:6" ht="15.75" customHeight="1">
      <c r="A627" s="350" t="s">
        <v>1538</v>
      </c>
      <c r="B627" s="351">
        <v>100</v>
      </c>
      <c r="C627" s="351" t="s">
        <v>913</v>
      </c>
      <c r="D627" s="352">
        <v>31</v>
      </c>
      <c r="E627" s="352">
        <v>4.9000000000000004</v>
      </c>
      <c r="F627" s="352">
        <v>0</v>
      </c>
    </row>
    <row r="628" spans="1:6" ht="15.75" customHeight="1">
      <c r="A628" s="350" t="s">
        <v>1539</v>
      </c>
      <c r="B628" s="351">
        <v>100</v>
      </c>
      <c r="C628" s="351" t="s">
        <v>913</v>
      </c>
      <c r="D628" s="352">
        <v>9.6999999999999993</v>
      </c>
      <c r="E628" s="352">
        <v>48.3</v>
      </c>
      <c r="F628" s="352">
        <v>0</v>
      </c>
    </row>
    <row r="629" spans="1:6" ht="15.75" customHeight="1">
      <c r="A629" s="350" t="s">
        <v>1540</v>
      </c>
      <c r="B629" s="351">
        <v>100</v>
      </c>
      <c r="C629" s="351" t="s">
        <v>913</v>
      </c>
      <c r="D629" s="352">
        <v>2.8</v>
      </c>
      <c r="E629" s="352">
        <v>0.4</v>
      </c>
      <c r="F629" s="352">
        <v>2.6</v>
      </c>
    </row>
    <row r="630" spans="1:6" ht="15.75" customHeight="1">
      <c r="A630" s="350" t="s">
        <v>1541</v>
      </c>
      <c r="B630" s="351">
        <v>100</v>
      </c>
      <c r="C630" s="351" t="s">
        <v>913</v>
      </c>
      <c r="D630" s="352">
        <v>23.4</v>
      </c>
      <c r="E630" s="352">
        <v>6.5</v>
      </c>
      <c r="F630" s="352">
        <v>0</v>
      </c>
    </row>
    <row r="631" spans="1:6" ht="15.75" customHeight="1">
      <c r="A631" s="350" t="s">
        <v>1542</v>
      </c>
      <c r="B631" s="351">
        <v>100</v>
      </c>
      <c r="C631" s="351" t="s">
        <v>913</v>
      </c>
      <c r="D631" s="352">
        <v>21.5</v>
      </c>
      <c r="E631" s="352">
        <v>0.2</v>
      </c>
      <c r="F631" s="352">
        <v>0</v>
      </c>
    </row>
    <row r="632" spans="1:6" ht="15.75" customHeight="1">
      <c r="A632" s="350" t="s">
        <v>1543</v>
      </c>
      <c r="B632" s="351">
        <v>100</v>
      </c>
      <c r="C632" s="351" t="s">
        <v>913</v>
      </c>
      <c r="D632" s="352">
        <v>20.8</v>
      </c>
      <c r="E632" s="352">
        <v>2</v>
      </c>
      <c r="F632" s="352">
        <v>0</v>
      </c>
    </row>
    <row r="633" spans="1:6" ht="15.75" customHeight="1">
      <c r="A633" s="350" t="s">
        <v>1544</v>
      </c>
      <c r="B633" s="351">
        <v>100</v>
      </c>
      <c r="C633" s="351" t="s">
        <v>913</v>
      </c>
      <c r="D633" s="352">
        <v>20.5</v>
      </c>
      <c r="E633" s="352">
        <v>1.4</v>
      </c>
      <c r="F633" s="352">
        <v>0</v>
      </c>
    </row>
    <row r="634" spans="1:6" ht="15.75" customHeight="1">
      <c r="A634" s="350" t="s">
        <v>1545</v>
      </c>
      <c r="B634" s="351">
        <v>100</v>
      </c>
      <c r="C634" s="351" t="s">
        <v>913</v>
      </c>
      <c r="D634" s="352">
        <v>25.9</v>
      </c>
      <c r="E634" s="352">
        <v>1.9</v>
      </c>
      <c r="F634" s="352">
        <v>0</v>
      </c>
    </row>
    <row r="635" spans="1:6" ht="15.75" customHeight="1">
      <c r="A635" s="350" t="s">
        <v>1546</v>
      </c>
      <c r="B635" s="351">
        <v>100</v>
      </c>
      <c r="C635" s="351" t="s">
        <v>913</v>
      </c>
      <c r="D635" s="352">
        <v>5.0999999999999996</v>
      </c>
      <c r="E635" s="352">
        <v>21.2</v>
      </c>
      <c r="F635" s="352">
        <v>36.5</v>
      </c>
    </row>
    <row r="636" spans="1:6" ht="15.75" customHeight="1">
      <c r="A636" s="350" t="s">
        <v>1547</v>
      </c>
      <c r="B636" s="351">
        <v>100</v>
      </c>
      <c r="C636" s="351" t="s">
        <v>913</v>
      </c>
      <c r="D636" s="352">
        <v>7.9</v>
      </c>
      <c r="E636" s="352">
        <v>12.4</v>
      </c>
      <c r="F636" s="352">
        <v>28.7</v>
      </c>
    </row>
    <row r="637" spans="1:6" ht="15.75" customHeight="1">
      <c r="A637" s="350" t="s">
        <v>1548</v>
      </c>
      <c r="B637" s="351">
        <v>100</v>
      </c>
      <c r="C637" s="351" t="s">
        <v>913</v>
      </c>
      <c r="D637" s="352">
        <v>0.4</v>
      </c>
      <c r="E637" s="352">
        <v>0</v>
      </c>
      <c r="F637" s="352">
        <v>32.6</v>
      </c>
    </row>
    <row r="638" spans="1:6" ht="15.75" customHeight="1">
      <c r="A638" s="350" t="s">
        <v>1549</v>
      </c>
      <c r="B638" s="351">
        <v>100</v>
      </c>
      <c r="C638" s="351" t="s">
        <v>913</v>
      </c>
      <c r="D638" s="352">
        <v>3.6</v>
      </c>
      <c r="E638" s="352">
        <v>10.9</v>
      </c>
      <c r="F638" s="352">
        <v>21.7</v>
      </c>
    </row>
    <row r="639" spans="1:6" ht="15.75" customHeight="1">
      <c r="A639" s="350" t="s">
        <v>1550</v>
      </c>
      <c r="B639" s="351">
        <v>100</v>
      </c>
      <c r="C639" s="351" t="s">
        <v>913</v>
      </c>
      <c r="D639" s="352">
        <v>87</v>
      </c>
      <c r="E639" s="352">
        <v>0.1</v>
      </c>
      <c r="F639" s="352">
        <v>0</v>
      </c>
    </row>
    <row r="640" spans="1:6" ht="15.75" customHeight="1">
      <c r="A640" s="350" t="s">
        <v>1551</v>
      </c>
      <c r="B640" s="351">
        <v>100</v>
      </c>
      <c r="C640" s="351" t="s">
        <v>913</v>
      </c>
      <c r="D640" s="352">
        <v>2.2000000000000002</v>
      </c>
      <c r="E640" s="352">
        <v>0</v>
      </c>
      <c r="F640" s="352">
        <v>21.6</v>
      </c>
    </row>
    <row r="641" spans="1:6" ht="15.75" customHeight="1">
      <c r="A641" s="350" t="s">
        <v>1552</v>
      </c>
      <c r="B641" s="351">
        <v>100</v>
      </c>
      <c r="C641" s="351" t="s">
        <v>913</v>
      </c>
      <c r="D641" s="352">
        <v>2.6</v>
      </c>
      <c r="E641" s="352">
        <v>0.1</v>
      </c>
      <c r="F641" s="352">
        <v>17.399999999999999</v>
      </c>
    </row>
    <row r="642" spans="1:6" ht="15.75" customHeight="1">
      <c r="A642" s="350" t="s">
        <v>1553</v>
      </c>
      <c r="B642" s="351">
        <v>100</v>
      </c>
      <c r="C642" s="351" t="s">
        <v>913</v>
      </c>
      <c r="D642" s="352">
        <v>0.3</v>
      </c>
      <c r="E642" s="352">
        <v>0</v>
      </c>
      <c r="F642" s="352">
        <v>68</v>
      </c>
    </row>
    <row r="643" spans="1:6" ht="15.75" customHeight="1">
      <c r="A643" s="350" t="s">
        <v>1554</v>
      </c>
      <c r="B643" s="351">
        <v>100</v>
      </c>
      <c r="C643" s="351" t="s">
        <v>913</v>
      </c>
      <c r="D643" s="352">
        <v>16</v>
      </c>
      <c r="E643" s="352">
        <v>30.9</v>
      </c>
      <c r="F643" s="352">
        <v>0</v>
      </c>
    </row>
    <row r="644" spans="1:6" ht="15.75" customHeight="1">
      <c r="A644" s="350" t="s">
        <v>1555</v>
      </c>
      <c r="B644" s="351">
        <v>100</v>
      </c>
      <c r="C644" s="351" t="s">
        <v>913</v>
      </c>
      <c r="D644" s="352">
        <v>15.3</v>
      </c>
      <c r="E644" s="352">
        <v>25.2</v>
      </c>
      <c r="F644" s="352">
        <v>1.3</v>
      </c>
    </row>
    <row r="645" spans="1:6" ht="15.75" customHeight="1">
      <c r="A645" s="350" t="s">
        <v>1556</v>
      </c>
      <c r="B645" s="351">
        <v>100</v>
      </c>
      <c r="C645" s="351" t="s">
        <v>913</v>
      </c>
      <c r="D645" s="352">
        <v>1.8</v>
      </c>
      <c r="E645" s="352">
        <v>0.8</v>
      </c>
      <c r="F645" s="352">
        <v>15.8</v>
      </c>
    </row>
    <row r="646" spans="1:6" ht="15.75" customHeight="1">
      <c r="A646" s="350" t="s">
        <v>1557</v>
      </c>
      <c r="B646" s="351">
        <v>100</v>
      </c>
      <c r="C646" s="351" t="s">
        <v>913</v>
      </c>
      <c r="D646" s="352">
        <v>28.1</v>
      </c>
      <c r="E646" s="352">
        <v>9.6</v>
      </c>
      <c r="F646" s="352">
        <v>41.8</v>
      </c>
    </row>
    <row r="647" spans="1:6" ht="15.75" customHeight="1">
      <c r="A647" s="350" t="s">
        <v>1558</v>
      </c>
      <c r="B647" s="351">
        <v>100</v>
      </c>
      <c r="C647" s="351" t="s">
        <v>913</v>
      </c>
      <c r="D647" s="352">
        <v>0.9</v>
      </c>
      <c r="E647" s="352">
        <v>0.3</v>
      </c>
      <c r="F647" s="352">
        <v>11.5</v>
      </c>
    </row>
    <row r="648" spans="1:6" ht="15.75" customHeight="1">
      <c r="A648" s="350" t="s">
        <v>1559</v>
      </c>
      <c r="B648" s="351">
        <v>100</v>
      </c>
      <c r="C648" s="351" t="s">
        <v>913</v>
      </c>
      <c r="D648" s="352">
        <v>0</v>
      </c>
      <c r="E648" s="352">
        <v>0</v>
      </c>
      <c r="F648" s="352">
        <v>0</v>
      </c>
    </row>
    <row r="649" spans="1:6" ht="15.75" customHeight="1">
      <c r="A649" s="350" t="s">
        <v>1560</v>
      </c>
      <c r="B649" s="351">
        <v>100</v>
      </c>
      <c r="C649" s="351" t="s">
        <v>913</v>
      </c>
      <c r="D649" s="352">
        <v>0.8</v>
      </c>
      <c r="E649" s="352">
        <v>0.5</v>
      </c>
      <c r="F649" s="352">
        <v>5</v>
      </c>
    </row>
    <row r="650" spans="1:6" ht="15.75" customHeight="1">
      <c r="A650" s="350" t="s">
        <v>1561</v>
      </c>
      <c r="B650" s="351">
        <v>100</v>
      </c>
      <c r="C650" s="351" t="s">
        <v>913</v>
      </c>
      <c r="D650" s="352">
        <v>14.8</v>
      </c>
      <c r="E650" s="352">
        <v>5.0999999999999996</v>
      </c>
      <c r="F650" s="352">
        <v>1.5</v>
      </c>
    </row>
    <row r="651" spans="1:6" ht="15.75" customHeight="1">
      <c r="A651" s="350" t="s">
        <v>1562</v>
      </c>
      <c r="B651" s="351">
        <v>100</v>
      </c>
      <c r="C651" s="351" t="s">
        <v>913</v>
      </c>
      <c r="D651" s="352">
        <v>19.2</v>
      </c>
      <c r="E651" s="352">
        <v>3.5</v>
      </c>
      <c r="F651" s="352">
        <v>0</v>
      </c>
    </row>
    <row r="652" spans="1:6" ht="15.75" customHeight="1">
      <c r="A652" s="350" t="s">
        <v>1563</v>
      </c>
      <c r="B652" s="351">
        <v>100</v>
      </c>
      <c r="C652" s="351" t="s">
        <v>913</v>
      </c>
      <c r="D652" s="352">
        <v>18.8</v>
      </c>
      <c r="E652" s="352">
        <v>2.7</v>
      </c>
      <c r="F652" s="352">
        <v>0</v>
      </c>
    </row>
    <row r="653" spans="1:6" ht="15.75" customHeight="1">
      <c r="A653" s="350" t="s">
        <v>1564</v>
      </c>
      <c r="B653" s="351">
        <v>100</v>
      </c>
      <c r="C653" s="351" t="s">
        <v>913</v>
      </c>
      <c r="D653" s="352">
        <v>22.4</v>
      </c>
      <c r="E653" s="352">
        <v>3.2</v>
      </c>
      <c r="F653" s="352">
        <v>0</v>
      </c>
    </row>
    <row r="654" spans="1:6" ht="15.75" customHeight="1">
      <c r="A654" s="350" t="s">
        <v>1565</v>
      </c>
      <c r="B654" s="351">
        <v>100</v>
      </c>
      <c r="C654" s="351" t="s">
        <v>913</v>
      </c>
      <c r="D654" s="352">
        <v>18.7</v>
      </c>
      <c r="E654" s="352">
        <v>2.7</v>
      </c>
      <c r="F654" s="352">
        <v>0.7</v>
      </c>
    </row>
    <row r="655" spans="1:6" ht="15.75" customHeight="1">
      <c r="A655" s="350" t="s">
        <v>1566</v>
      </c>
      <c r="B655" s="351">
        <v>100</v>
      </c>
      <c r="C655" s="351" t="s">
        <v>913</v>
      </c>
      <c r="D655" s="352">
        <v>8.4</v>
      </c>
      <c r="E655" s="352">
        <v>2.1</v>
      </c>
      <c r="F655" s="352">
        <v>16.7</v>
      </c>
    </row>
    <row r="656" spans="1:6" ht="15.75" customHeight="1">
      <c r="A656" s="350" t="s">
        <v>1567</v>
      </c>
      <c r="B656" s="351">
        <v>100</v>
      </c>
      <c r="C656" s="351" t="s">
        <v>913</v>
      </c>
      <c r="D656" s="352">
        <v>19</v>
      </c>
      <c r="E656" s="352">
        <v>5</v>
      </c>
      <c r="F656" s="352">
        <v>51.4</v>
      </c>
    </row>
    <row r="657" spans="1:6" ht="15.75" customHeight="1">
      <c r="A657" s="350" t="s">
        <v>1568</v>
      </c>
      <c r="B657" s="351">
        <v>100</v>
      </c>
      <c r="C657" s="351" t="s">
        <v>913</v>
      </c>
      <c r="D657" s="352">
        <v>1.9</v>
      </c>
      <c r="E657" s="352">
        <v>0.4</v>
      </c>
      <c r="F657" s="352">
        <v>1.5</v>
      </c>
    </row>
    <row r="658" spans="1:6" ht="15.75" customHeight="1">
      <c r="A658" s="350" t="s">
        <v>1569</v>
      </c>
      <c r="B658" s="351">
        <v>100</v>
      </c>
      <c r="C658" s="351" t="s">
        <v>913</v>
      </c>
      <c r="D658" s="352">
        <v>2.4</v>
      </c>
      <c r="E658" s="352">
        <v>0.4</v>
      </c>
      <c r="F658" s="352">
        <v>2.5</v>
      </c>
    </row>
    <row r="659" spans="1:6" ht="15.75" customHeight="1">
      <c r="A659" s="350" t="s">
        <v>1570</v>
      </c>
      <c r="B659" s="351">
        <v>100</v>
      </c>
      <c r="C659" s="351" t="s">
        <v>913</v>
      </c>
      <c r="D659" s="352">
        <v>1.8</v>
      </c>
      <c r="E659" s="352">
        <v>0.4</v>
      </c>
      <c r="F659" s="352">
        <v>1.3</v>
      </c>
    </row>
    <row r="660" spans="1:6" ht="15.75" customHeight="1">
      <c r="A660" s="350" t="s">
        <v>1571</v>
      </c>
      <c r="B660" s="351">
        <v>100</v>
      </c>
      <c r="C660" s="351" t="s">
        <v>913</v>
      </c>
      <c r="D660" s="352">
        <v>2.4</v>
      </c>
      <c r="E660" s="352">
        <v>0.5</v>
      </c>
      <c r="F660" s="352">
        <v>2.2999999999999998</v>
      </c>
    </row>
    <row r="661" spans="1:6" ht="15.75" customHeight="1">
      <c r="A661" s="350" t="s">
        <v>1572</v>
      </c>
      <c r="B661" s="351">
        <v>100</v>
      </c>
      <c r="C661" s="351" t="s">
        <v>913</v>
      </c>
      <c r="D661" s="352">
        <v>10.7</v>
      </c>
      <c r="E661" s="352">
        <v>8.6999999999999993</v>
      </c>
      <c r="F661" s="352">
        <v>67</v>
      </c>
    </row>
    <row r="662" spans="1:6" ht="15.75" customHeight="1">
      <c r="A662" s="350" t="s">
        <v>1573</v>
      </c>
      <c r="B662" s="351">
        <v>100</v>
      </c>
      <c r="C662" s="351" t="s">
        <v>913</v>
      </c>
      <c r="D662" s="352">
        <v>1.1000000000000001</v>
      </c>
      <c r="E662" s="352">
        <v>0.5</v>
      </c>
      <c r="F662" s="352">
        <v>5</v>
      </c>
    </row>
    <row r="663" spans="1:6" ht="15.75" customHeight="1">
      <c r="A663" s="350" t="s">
        <v>1574</v>
      </c>
      <c r="B663" s="351">
        <v>100</v>
      </c>
      <c r="C663" s="351" t="s">
        <v>913</v>
      </c>
      <c r="D663" s="352">
        <v>8</v>
      </c>
      <c r="E663" s="352">
        <v>5.3</v>
      </c>
      <c r="F663" s="352">
        <v>19.8</v>
      </c>
    </row>
    <row r="664" spans="1:6" ht="15.75" customHeight="1">
      <c r="A664" s="350" t="s">
        <v>1575</v>
      </c>
      <c r="B664" s="351">
        <v>100</v>
      </c>
      <c r="C664" s="351" t="s">
        <v>913</v>
      </c>
      <c r="D664" s="352">
        <v>8</v>
      </c>
      <c r="E664" s="352">
        <v>5.3</v>
      </c>
      <c r="F664" s="352">
        <v>19.8</v>
      </c>
    </row>
    <row r="665" spans="1:6" ht="15.75" customHeight="1">
      <c r="A665" s="350" t="s">
        <v>1576</v>
      </c>
      <c r="B665" s="351">
        <v>100</v>
      </c>
      <c r="C665" s="351" t="s">
        <v>913</v>
      </c>
      <c r="D665" s="352">
        <v>8.8000000000000007</v>
      </c>
      <c r="E665" s="352">
        <v>0.7</v>
      </c>
      <c r="F665" s="352">
        <v>3</v>
      </c>
    </row>
    <row r="666" spans="1:6" ht="15.75" customHeight="1">
      <c r="A666" s="350" t="s">
        <v>1577</v>
      </c>
      <c r="B666" s="351">
        <v>100</v>
      </c>
      <c r="C666" s="351" t="s">
        <v>913</v>
      </c>
      <c r="D666" s="352">
        <v>27.5</v>
      </c>
      <c r="E666" s="352">
        <v>17.100000000000001</v>
      </c>
      <c r="F666" s="352">
        <v>0</v>
      </c>
    </row>
    <row r="667" spans="1:6" ht="15.75" customHeight="1">
      <c r="A667" s="350" t="s">
        <v>1578</v>
      </c>
      <c r="B667" s="351">
        <v>100</v>
      </c>
      <c r="C667" s="351" t="s">
        <v>913</v>
      </c>
      <c r="D667" s="352">
        <v>27.8</v>
      </c>
      <c r="E667" s="352">
        <v>16.600000000000001</v>
      </c>
      <c r="F667" s="352">
        <v>0</v>
      </c>
    </row>
    <row r="668" spans="1:6" ht="15.75" customHeight="1">
      <c r="A668" s="350" t="s">
        <v>1579</v>
      </c>
      <c r="B668" s="351">
        <v>100</v>
      </c>
      <c r="C668" s="351" t="s">
        <v>913</v>
      </c>
      <c r="D668" s="352">
        <v>20.2</v>
      </c>
      <c r="E668" s="352">
        <v>6.8</v>
      </c>
      <c r="F668" s="352">
        <v>0</v>
      </c>
    </row>
    <row r="669" spans="1:6" ht="15.75" customHeight="1">
      <c r="A669" s="350" t="s">
        <v>1580</v>
      </c>
      <c r="B669" s="351">
        <v>100</v>
      </c>
      <c r="C669" s="351" t="s">
        <v>913</v>
      </c>
      <c r="D669" s="352">
        <v>19.100000000000001</v>
      </c>
      <c r="E669" s="352">
        <v>13.8</v>
      </c>
      <c r="F669" s="352">
        <v>1.2</v>
      </c>
    </row>
    <row r="670" spans="1:6" ht="15.75" customHeight="1">
      <c r="A670" s="350" t="s">
        <v>1581</v>
      </c>
      <c r="B670" s="351">
        <v>100</v>
      </c>
      <c r="C670" s="351" t="s">
        <v>913</v>
      </c>
      <c r="D670" s="352">
        <v>27.3</v>
      </c>
      <c r="E670" s="352">
        <v>8.1999999999999993</v>
      </c>
      <c r="F670" s="352">
        <v>0</v>
      </c>
    </row>
    <row r="671" spans="1:6" ht="15.75" customHeight="1">
      <c r="A671" s="350" t="s">
        <v>1582</v>
      </c>
      <c r="B671" s="351">
        <v>100</v>
      </c>
      <c r="C671" s="351" t="s">
        <v>913</v>
      </c>
      <c r="D671" s="352">
        <v>3.8</v>
      </c>
      <c r="E671" s="352">
        <v>0.7</v>
      </c>
      <c r="F671" s="352">
        <v>5.3</v>
      </c>
    </row>
    <row r="672" spans="1:6" ht="15.75" customHeight="1">
      <c r="A672" s="350" t="s">
        <v>1583</v>
      </c>
      <c r="B672" s="351">
        <v>100</v>
      </c>
      <c r="C672" s="351" t="s">
        <v>913</v>
      </c>
      <c r="D672" s="352">
        <v>13.7</v>
      </c>
      <c r="E672" s="352">
        <v>3.1</v>
      </c>
      <c r="F672" s="352">
        <v>1.4</v>
      </c>
    </row>
    <row r="673" spans="1:6" ht="15.75" customHeight="1">
      <c r="A673" s="350" t="s">
        <v>1584</v>
      </c>
      <c r="B673" s="351">
        <v>100</v>
      </c>
      <c r="C673" s="351" t="s">
        <v>913</v>
      </c>
      <c r="D673" s="352">
        <v>19.899999999999999</v>
      </c>
      <c r="E673" s="352">
        <v>0.5</v>
      </c>
      <c r="F673" s="352">
        <v>0</v>
      </c>
    </row>
    <row r="674" spans="1:6" ht="15.75" customHeight="1">
      <c r="A674" s="350" t="s">
        <v>1585</v>
      </c>
      <c r="B674" s="351">
        <v>100</v>
      </c>
      <c r="C674" s="351" t="s">
        <v>913</v>
      </c>
      <c r="D674" s="352">
        <v>19</v>
      </c>
      <c r="E674" s="352">
        <v>0.4</v>
      </c>
      <c r="F674" s="352">
        <v>0</v>
      </c>
    </row>
    <row r="675" spans="1:6" ht="15.75" customHeight="1">
      <c r="A675" s="350" t="s">
        <v>1586</v>
      </c>
      <c r="B675" s="351">
        <v>100</v>
      </c>
      <c r="C675" s="351" t="s">
        <v>913</v>
      </c>
      <c r="D675" s="352">
        <v>23</v>
      </c>
      <c r="E675" s="352">
        <v>0.5</v>
      </c>
      <c r="F675" s="352">
        <v>0</v>
      </c>
    </row>
    <row r="676" spans="1:6" ht="15.75" customHeight="1">
      <c r="A676" s="350" t="s">
        <v>1587</v>
      </c>
      <c r="B676" s="351">
        <v>100</v>
      </c>
      <c r="C676" s="351" t="s">
        <v>913</v>
      </c>
      <c r="D676" s="352">
        <v>1.5</v>
      </c>
      <c r="E676" s="352">
        <v>0.3</v>
      </c>
      <c r="F676" s="352">
        <v>25.7</v>
      </c>
    </row>
    <row r="677" spans="1:6" ht="15.75" customHeight="1">
      <c r="A677" s="350" t="s">
        <v>1588</v>
      </c>
      <c r="B677" s="351">
        <v>100</v>
      </c>
      <c r="C677" s="351" t="s">
        <v>913</v>
      </c>
      <c r="D677" s="352">
        <v>3.9</v>
      </c>
      <c r="E677" s="352">
        <v>3.6</v>
      </c>
      <c r="F677" s="352">
        <v>8.5</v>
      </c>
    </row>
    <row r="678" spans="1:6" ht="15.75" customHeight="1">
      <c r="A678" s="350" t="s">
        <v>1589</v>
      </c>
      <c r="B678" s="351">
        <v>100</v>
      </c>
      <c r="C678" s="351" t="s">
        <v>913</v>
      </c>
      <c r="D678" s="352">
        <v>4.2</v>
      </c>
      <c r="E678" s="352">
        <v>3.2</v>
      </c>
      <c r="F678" s="352">
        <v>12.4</v>
      </c>
    </row>
    <row r="679" spans="1:6" ht="15.75" customHeight="1">
      <c r="A679" s="350" t="s">
        <v>1590</v>
      </c>
      <c r="B679" s="351">
        <v>100</v>
      </c>
      <c r="C679" s="351" t="s">
        <v>913</v>
      </c>
      <c r="D679" s="352">
        <v>4.2</v>
      </c>
      <c r="E679" s="352">
        <v>3.2</v>
      </c>
      <c r="F679" s="352">
        <v>15.8</v>
      </c>
    </row>
    <row r="680" spans="1:6" ht="15.75" customHeight="1">
      <c r="A680" s="350" t="s">
        <v>1591</v>
      </c>
      <c r="B680" s="351">
        <v>100</v>
      </c>
      <c r="C680" s="351" t="s">
        <v>913</v>
      </c>
      <c r="D680" s="352">
        <v>2.7</v>
      </c>
      <c r="E680" s="352">
        <v>5</v>
      </c>
      <c r="F680" s="352">
        <v>15</v>
      </c>
    </row>
    <row r="681" spans="1:6" ht="15.75" customHeight="1">
      <c r="A681" s="350" t="s">
        <v>1592</v>
      </c>
      <c r="B681" s="351">
        <v>100</v>
      </c>
      <c r="C681" s="351" t="s">
        <v>913</v>
      </c>
      <c r="D681" s="352">
        <v>5.3</v>
      </c>
      <c r="E681" s="352">
        <v>2</v>
      </c>
      <c r="F681" s="352">
        <v>3.9</v>
      </c>
    </row>
    <row r="682" spans="1:6" ht="15.75" customHeight="1">
      <c r="A682" s="350" t="s">
        <v>1593</v>
      </c>
      <c r="B682" s="351">
        <v>100</v>
      </c>
      <c r="C682" s="351" t="s">
        <v>913</v>
      </c>
      <c r="D682" s="352">
        <v>1.4</v>
      </c>
      <c r="E682" s="352">
        <v>6.6</v>
      </c>
      <c r="F682" s="352">
        <v>4.4000000000000004</v>
      </c>
    </row>
    <row r="683" spans="1:6" ht="15.75" customHeight="1">
      <c r="A683" s="350" t="s">
        <v>1594</v>
      </c>
      <c r="B683" s="351">
        <v>100</v>
      </c>
      <c r="C683" s="351" t="s">
        <v>913</v>
      </c>
      <c r="D683" s="352">
        <v>3.2</v>
      </c>
      <c r="E683" s="352">
        <v>0.3</v>
      </c>
      <c r="F683" s="352">
        <v>11.6</v>
      </c>
    </row>
    <row r="684" spans="1:6" ht="15.75" customHeight="1">
      <c r="A684" s="350" t="s">
        <v>1595</v>
      </c>
      <c r="B684" s="351">
        <v>100</v>
      </c>
      <c r="C684" s="351" t="s">
        <v>913</v>
      </c>
      <c r="D684" s="352">
        <v>3</v>
      </c>
      <c r="E684" s="352">
        <v>1.3</v>
      </c>
      <c r="F684" s="352">
        <v>11.5</v>
      </c>
    </row>
    <row r="685" spans="1:6" ht="15.75" customHeight="1">
      <c r="A685" s="350" t="s">
        <v>1596</v>
      </c>
      <c r="B685" s="351">
        <v>100</v>
      </c>
      <c r="C685" s="351" t="s">
        <v>913</v>
      </c>
      <c r="D685" s="352">
        <v>3.1</v>
      </c>
      <c r="E685" s="352">
        <v>1.4</v>
      </c>
      <c r="F685" s="352">
        <v>11.2</v>
      </c>
    </row>
    <row r="686" spans="1:6" ht="15.75" customHeight="1">
      <c r="A686" s="350" t="s">
        <v>1597</v>
      </c>
      <c r="B686" s="351">
        <v>100</v>
      </c>
      <c r="C686" s="351" t="s">
        <v>913</v>
      </c>
      <c r="D686" s="352">
        <v>5</v>
      </c>
      <c r="E686" s="352">
        <v>0.1</v>
      </c>
      <c r="F686" s="352">
        <v>11.8</v>
      </c>
    </row>
    <row r="687" spans="1:6" ht="15.75" customHeight="1">
      <c r="A687" s="350" t="s">
        <v>1598</v>
      </c>
      <c r="B687" s="351">
        <v>100</v>
      </c>
      <c r="C687" s="351" t="s">
        <v>913</v>
      </c>
      <c r="D687" s="352">
        <v>4.3</v>
      </c>
      <c r="E687" s="352">
        <v>0.4</v>
      </c>
      <c r="F687" s="352">
        <v>5.7</v>
      </c>
    </row>
    <row r="688" spans="1:6" ht="15.75" customHeight="1">
      <c r="A688" s="350" t="s">
        <v>1599</v>
      </c>
      <c r="B688" s="351">
        <v>100</v>
      </c>
      <c r="C688" s="351" t="s">
        <v>913</v>
      </c>
      <c r="D688" s="352">
        <v>4.5999999999999996</v>
      </c>
      <c r="E688" s="352">
        <v>0.2</v>
      </c>
      <c r="F688" s="352">
        <v>5.2</v>
      </c>
    </row>
    <row r="689" spans="1:6" ht="15.75" customHeight="1">
      <c r="A689" s="350" t="s">
        <v>1600</v>
      </c>
      <c r="B689" s="351">
        <v>100</v>
      </c>
      <c r="C689" s="351" t="s">
        <v>913</v>
      </c>
      <c r="D689" s="352">
        <v>5</v>
      </c>
      <c r="E689" s="352">
        <v>0.1</v>
      </c>
      <c r="F689" s="352">
        <v>6.3</v>
      </c>
    </row>
    <row r="690" spans="1:6" ht="15.75" customHeight="1">
      <c r="A690" s="350" t="s">
        <v>1601</v>
      </c>
      <c r="B690" s="351">
        <v>100</v>
      </c>
      <c r="C690" s="351" t="s">
        <v>913</v>
      </c>
      <c r="D690" s="352">
        <v>4.3</v>
      </c>
      <c r="E690" s="352">
        <v>1.8</v>
      </c>
      <c r="F690" s="352">
        <v>11.3</v>
      </c>
    </row>
    <row r="691" spans="1:6" ht="15.75" customHeight="1">
      <c r="A691" s="350" t="s">
        <v>1602</v>
      </c>
      <c r="B691" s="351">
        <v>100</v>
      </c>
      <c r="C691" s="351" t="s">
        <v>913</v>
      </c>
      <c r="D691" s="352">
        <v>4.3</v>
      </c>
      <c r="E691" s="352">
        <v>1.7</v>
      </c>
      <c r="F691" s="352">
        <v>14.6</v>
      </c>
    </row>
    <row r="692" spans="1:6" ht="15.75" customHeight="1">
      <c r="A692" s="350" t="s">
        <v>1603</v>
      </c>
      <c r="B692" s="351">
        <v>100</v>
      </c>
      <c r="C692" s="351" t="s">
        <v>913</v>
      </c>
      <c r="D692" s="352">
        <v>4.2</v>
      </c>
      <c r="E692" s="352">
        <v>1.8</v>
      </c>
      <c r="F692" s="352">
        <v>5</v>
      </c>
    </row>
    <row r="693" spans="1:6" ht="15.75" customHeight="1">
      <c r="A693" s="350" t="s">
        <v>1604</v>
      </c>
      <c r="B693" s="351">
        <v>100</v>
      </c>
      <c r="C693" s="351" t="s">
        <v>913</v>
      </c>
      <c r="D693" s="352">
        <v>4.7</v>
      </c>
      <c r="E693" s="352">
        <v>2.1</v>
      </c>
      <c r="F693" s="352">
        <v>13.1</v>
      </c>
    </row>
    <row r="694" spans="1:6" ht="15.75" customHeight="1">
      <c r="A694" s="350" t="s">
        <v>1605</v>
      </c>
      <c r="B694" s="351">
        <v>100</v>
      </c>
      <c r="C694" s="351" t="s">
        <v>913</v>
      </c>
      <c r="D694" s="352">
        <v>9</v>
      </c>
      <c r="E694" s="352">
        <v>0</v>
      </c>
      <c r="F694" s="352">
        <v>9.6999999999999993</v>
      </c>
    </row>
    <row r="695" spans="1:6" ht="15.75" customHeight="1">
      <c r="A695" s="350" t="s">
        <v>1606</v>
      </c>
      <c r="B695" s="351">
        <v>100</v>
      </c>
      <c r="C695" s="351" t="s">
        <v>913</v>
      </c>
      <c r="D695" s="352">
        <v>3.1</v>
      </c>
      <c r="E695" s="352">
        <v>0.2</v>
      </c>
      <c r="F695" s="352">
        <v>16</v>
      </c>
    </row>
    <row r="696" spans="1:6" ht="15.75" customHeight="1">
      <c r="A696" s="350" t="s">
        <v>1607</v>
      </c>
      <c r="B696" s="351">
        <v>100</v>
      </c>
      <c r="C696" s="351" t="s">
        <v>913</v>
      </c>
      <c r="D696" s="352">
        <v>3.3</v>
      </c>
      <c r="E696" s="352">
        <v>0.1</v>
      </c>
      <c r="F696" s="352">
        <v>5</v>
      </c>
    </row>
    <row r="697" spans="1:6" ht="15.75" customHeight="1">
      <c r="A697" s="350" t="s">
        <v>1608</v>
      </c>
      <c r="B697" s="351">
        <v>100</v>
      </c>
      <c r="C697" s="351" t="s">
        <v>913</v>
      </c>
      <c r="D697" s="352">
        <v>2.8</v>
      </c>
      <c r="E697" s="352">
        <v>1.4</v>
      </c>
      <c r="F697" s="352">
        <v>11.8</v>
      </c>
    </row>
    <row r="698" spans="1:6" ht="15.75" customHeight="1">
      <c r="A698" s="350" t="s">
        <v>1609</v>
      </c>
      <c r="B698" s="351">
        <v>100</v>
      </c>
      <c r="C698" s="351" t="s">
        <v>913</v>
      </c>
      <c r="D698" s="352">
        <v>2.6</v>
      </c>
      <c r="E698" s="352">
        <v>1.3</v>
      </c>
      <c r="F698" s="352">
        <v>12.5</v>
      </c>
    </row>
    <row r="699" spans="1:6" ht="15.75" customHeight="1">
      <c r="A699" s="350" t="s">
        <v>1610</v>
      </c>
      <c r="B699" s="351">
        <v>100</v>
      </c>
      <c r="C699" s="351" t="s">
        <v>913</v>
      </c>
      <c r="D699" s="352">
        <v>2.7</v>
      </c>
      <c r="E699" s="352">
        <v>1.4</v>
      </c>
      <c r="F699" s="352">
        <v>11.7</v>
      </c>
    </row>
    <row r="700" spans="1:6" ht="15.75" customHeight="1">
      <c r="A700" s="350" t="s">
        <v>1611</v>
      </c>
      <c r="B700" s="351">
        <v>100</v>
      </c>
      <c r="C700" s="351" t="s">
        <v>913</v>
      </c>
      <c r="D700" s="352">
        <v>4.8</v>
      </c>
      <c r="E700" s="352">
        <v>0.1</v>
      </c>
      <c r="F700" s="352">
        <v>4.8</v>
      </c>
    </row>
    <row r="701" spans="1:6" ht="15.75" customHeight="1">
      <c r="A701" s="350" t="s">
        <v>1612</v>
      </c>
      <c r="B701" s="351">
        <v>100</v>
      </c>
      <c r="C701" s="351" t="s">
        <v>913</v>
      </c>
      <c r="D701" s="352">
        <v>4.9000000000000004</v>
      </c>
      <c r="E701" s="352">
        <v>0.2</v>
      </c>
      <c r="F701" s="352">
        <v>5</v>
      </c>
    </row>
    <row r="702" spans="1:6" ht="15.75" customHeight="1">
      <c r="A702" s="350" t="s">
        <v>1613</v>
      </c>
      <c r="B702" s="351">
        <v>100</v>
      </c>
      <c r="C702" s="351" t="s">
        <v>913</v>
      </c>
      <c r="D702" s="352">
        <v>3.5</v>
      </c>
      <c r="E702" s="352">
        <v>1.5</v>
      </c>
      <c r="F702" s="352">
        <v>12</v>
      </c>
    </row>
    <row r="703" spans="1:6" ht="15.75" customHeight="1">
      <c r="A703" s="350" t="s">
        <v>1614</v>
      </c>
      <c r="B703" s="351">
        <v>100</v>
      </c>
      <c r="C703" s="351" t="s">
        <v>913</v>
      </c>
      <c r="D703" s="352">
        <v>3.7</v>
      </c>
      <c r="E703" s="352">
        <v>1.6</v>
      </c>
      <c r="F703" s="352">
        <v>16.100000000000001</v>
      </c>
    </row>
    <row r="704" spans="1:6" ht="15.75" customHeight="1">
      <c r="A704" s="350" t="s">
        <v>1615</v>
      </c>
      <c r="B704" s="351">
        <v>100</v>
      </c>
      <c r="C704" s="351" t="s">
        <v>913</v>
      </c>
      <c r="D704" s="352">
        <v>3.7</v>
      </c>
      <c r="E704" s="352">
        <v>1.3</v>
      </c>
      <c r="F704" s="352">
        <v>13.6</v>
      </c>
    </row>
    <row r="705" spans="1:6" ht="15.75" customHeight="1">
      <c r="A705" s="350" t="s">
        <v>1616</v>
      </c>
      <c r="B705" s="351">
        <v>100</v>
      </c>
      <c r="C705" s="351" t="s">
        <v>913</v>
      </c>
      <c r="D705" s="352">
        <v>3.8</v>
      </c>
      <c r="E705" s="352">
        <v>1.5</v>
      </c>
      <c r="F705" s="352">
        <v>4.5</v>
      </c>
    </row>
    <row r="706" spans="1:6" ht="15.75" customHeight="1">
      <c r="A706" s="350" t="s">
        <v>1617</v>
      </c>
      <c r="B706" s="351">
        <v>100</v>
      </c>
      <c r="C706" s="351" t="s">
        <v>913</v>
      </c>
      <c r="D706" s="352">
        <v>3.5</v>
      </c>
      <c r="E706" s="352">
        <v>1.5</v>
      </c>
      <c r="F706" s="352">
        <v>12.2</v>
      </c>
    </row>
    <row r="707" spans="1:6" ht="15.75" customHeight="1">
      <c r="A707" s="350" t="s">
        <v>1618</v>
      </c>
      <c r="B707" s="351">
        <v>100</v>
      </c>
      <c r="C707" s="351" t="s">
        <v>913</v>
      </c>
      <c r="D707" s="352">
        <v>21.4</v>
      </c>
      <c r="E707" s="352">
        <v>6</v>
      </c>
      <c r="F707" s="352">
        <v>0.1</v>
      </c>
    </row>
    <row r="708" spans="1:6" ht="15.75" customHeight="1">
      <c r="A708" s="350" t="s">
        <v>1619</v>
      </c>
      <c r="B708" s="351">
        <v>100</v>
      </c>
      <c r="C708" s="351" t="s">
        <v>913</v>
      </c>
      <c r="D708" s="352">
        <v>19.5</v>
      </c>
      <c r="E708" s="352">
        <v>3.4</v>
      </c>
      <c r="F708" s="352">
        <v>0</v>
      </c>
    </row>
    <row r="709" spans="1:6" ht="15.75" customHeight="1">
      <c r="A709" s="350" t="s">
        <v>1620</v>
      </c>
      <c r="B709" s="351">
        <v>100</v>
      </c>
      <c r="C709" s="351" t="s">
        <v>913</v>
      </c>
      <c r="D709" s="352">
        <v>4.0999999999999996</v>
      </c>
      <c r="E709" s="352">
        <v>31.2</v>
      </c>
      <c r="F709" s="352">
        <v>54</v>
      </c>
    </row>
    <row r="710" spans="1:6" ht="15.75" customHeight="1">
      <c r="A710" s="350" t="s">
        <v>1621</v>
      </c>
      <c r="B710" s="351">
        <v>100</v>
      </c>
      <c r="C710" s="351" t="s">
        <v>913</v>
      </c>
      <c r="D710" s="352">
        <v>20.6</v>
      </c>
      <c r="E710" s="352">
        <v>0.8</v>
      </c>
      <c r="F710" s="352">
        <v>0.2</v>
      </c>
    </row>
    <row r="711" spans="1:6" ht="15.75" customHeight="1">
      <c r="A711" s="350" t="s">
        <v>1622</v>
      </c>
      <c r="B711" s="351">
        <v>100</v>
      </c>
      <c r="C711" s="351" t="s">
        <v>913</v>
      </c>
      <c r="D711" s="352">
        <v>18.2</v>
      </c>
      <c r="E711" s="352">
        <v>0.7</v>
      </c>
      <c r="F711" s="352">
        <v>0.1</v>
      </c>
    </row>
    <row r="712" spans="1:6" ht="15.75" customHeight="1">
      <c r="A712" s="350" t="s">
        <v>1623</v>
      </c>
      <c r="B712" s="351">
        <v>100</v>
      </c>
      <c r="C712" s="351" t="s">
        <v>913</v>
      </c>
      <c r="D712" s="352">
        <v>21.2</v>
      </c>
      <c r="E712" s="352">
        <v>0.5</v>
      </c>
      <c r="F712" s="352">
        <v>0.2</v>
      </c>
    </row>
    <row r="713" spans="1:6" ht="15.75" customHeight="1">
      <c r="A713" s="350" t="s">
        <v>1624</v>
      </c>
      <c r="B713" s="351">
        <v>100</v>
      </c>
      <c r="C713" s="351" t="s">
        <v>913</v>
      </c>
      <c r="D713" s="352">
        <v>20.9</v>
      </c>
      <c r="E713" s="352">
        <v>0.5</v>
      </c>
      <c r="F713" s="352">
        <v>0.2</v>
      </c>
    </row>
    <row r="714" spans="1:6" ht="15.75" customHeight="1">
      <c r="A714" s="350" t="s">
        <v>1625</v>
      </c>
      <c r="B714" s="351">
        <v>100</v>
      </c>
      <c r="C714" s="351" t="s">
        <v>913</v>
      </c>
      <c r="D714" s="352">
        <v>16.7</v>
      </c>
      <c r="E714" s="352">
        <v>27.4</v>
      </c>
      <c r="F714" s="352">
        <v>0.1</v>
      </c>
    </row>
    <row r="715" spans="1:6" ht="15.75" customHeight="1">
      <c r="A715" s="350" t="s">
        <v>1626</v>
      </c>
      <c r="B715" s="351">
        <v>100</v>
      </c>
      <c r="C715" s="351" t="s">
        <v>913</v>
      </c>
      <c r="D715" s="352">
        <v>14.3</v>
      </c>
      <c r="E715" s="352">
        <v>0.7</v>
      </c>
      <c r="F715" s="352">
        <v>0.6</v>
      </c>
    </row>
    <row r="716" spans="1:6" ht="15.75" customHeight="1">
      <c r="A716" s="350" t="s">
        <v>1627</v>
      </c>
      <c r="B716" s="351">
        <v>100</v>
      </c>
      <c r="C716" s="351" t="s">
        <v>913</v>
      </c>
      <c r="D716" s="352">
        <v>1.1000000000000001</v>
      </c>
      <c r="E716" s="352">
        <v>0.2</v>
      </c>
      <c r="F716" s="352">
        <v>8.9</v>
      </c>
    </row>
    <row r="717" spans="1:6" ht="15.75" customHeight="1">
      <c r="A717" s="350" t="s">
        <v>1628</v>
      </c>
      <c r="B717" s="351">
        <v>100</v>
      </c>
      <c r="C717" s="351" t="s">
        <v>913</v>
      </c>
      <c r="D717" s="352">
        <v>7.7</v>
      </c>
      <c r="E717" s="352">
        <v>12.4</v>
      </c>
      <c r="F717" s="352">
        <v>9.1999999999999993</v>
      </c>
    </row>
    <row r="718" spans="1:6" ht="15.75" customHeight="1">
      <c r="A718" s="350" t="s">
        <v>1629</v>
      </c>
      <c r="B718" s="351">
        <v>100</v>
      </c>
      <c r="C718" s="351" t="s">
        <v>913</v>
      </c>
      <c r="D718" s="352">
        <v>21.6</v>
      </c>
      <c r="E718" s="352">
        <v>3</v>
      </c>
      <c r="F718" s="352">
        <v>0</v>
      </c>
    </row>
    <row r="719" spans="1:6" ht="15.75" customHeight="1">
      <c r="A719" s="350" t="s">
        <v>1630</v>
      </c>
      <c r="B719" s="351">
        <v>100</v>
      </c>
      <c r="C719" s="351" t="s">
        <v>913</v>
      </c>
      <c r="D719" s="352">
        <v>7.8</v>
      </c>
      <c r="E719" s="352">
        <v>9</v>
      </c>
      <c r="F719" s="352">
        <v>56.4</v>
      </c>
    </row>
    <row r="720" spans="1:6" ht="15.75" customHeight="1">
      <c r="A720" s="350" t="s">
        <v>1631</v>
      </c>
      <c r="B720" s="351">
        <v>100</v>
      </c>
      <c r="C720" s="351" t="s">
        <v>913</v>
      </c>
      <c r="D720" s="352">
        <v>5.9</v>
      </c>
      <c r="E720" s="352">
        <v>6.8</v>
      </c>
      <c r="F720" s="352">
        <v>19.5</v>
      </c>
    </row>
    <row r="721" spans="1:6" ht="15.75" customHeight="1">
      <c r="A721" s="350" t="s">
        <v>1632</v>
      </c>
      <c r="B721" s="351">
        <v>100</v>
      </c>
      <c r="C721" s="351" t="s">
        <v>913</v>
      </c>
      <c r="D721" s="352">
        <v>3.8</v>
      </c>
      <c r="E721" s="352">
        <v>4</v>
      </c>
      <c r="F721" s="352">
        <v>4.5999999999999996</v>
      </c>
    </row>
    <row r="722" spans="1:6" ht="15.75" customHeight="1">
      <c r="A722" s="350" t="s">
        <v>1633</v>
      </c>
      <c r="B722" s="351">
        <v>100</v>
      </c>
      <c r="C722" s="351" t="s">
        <v>913</v>
      </c>
      <c r="D722" s="352">
        <v>2</v>
      </c>
      <c r="E722" s="352">
        <v>18.399999999999999</v>
      </c>
      <c r="F722" s="352">
        <v>2.8</v>
      </c>
    </row>
    <row r="723" spans="1:6" ht="15.75" customHeight="1">
      <c r="A723" s="350" t="s">
        <v>1634</v>
      </c>
      <c r="B723" s="351">
        <v>100</v>
      </c>
      <c r="C723" s="351" t="s">
        <v>913</v>
      </c>
      <c r="D723" s="352">
        <v>5.0999999999999996</v>
      </c>
      <c r="E723" s="352">
        <v>6.2</v>
      </c>
      <c r="F723" s="352">
        <v>4.2</v>
      </c>
    </row>
    <row r="724" spans="1:6" ht="15.75" customHeight="1">
      <c r="A724" s="350" t="s">
        <v>1635</v>
      </c>
      <c r="B724" s="351">
        <v>100</v>
      </c>
      <c r="C724" s="351" t="s">
        <v>913</v>
      </c>
      <c r="D724" s="352">
        <v>6.6</v>
      </c>
      <c r="E724" s="352">
        <v>7.8</v>
      </c>
      <c r="F724" s="352">
        <v>9.8000000000000007</v>
      </c>
    </row>
    <row r="725" spans="1:6" ht="15.75" customHeight="1">
      <c r="A725" s="350" t="s">
        <v>1636</v>
      </c>
      <c r="B725" s="351">
        <v>100</v>
      </c>
      <c r="C725" s="351" t="s">
        <v>913</v>
      </c>
      <c r="D725" s="352">
        <v>4</v>
      </c>
      <c r="E725" s="352">
        <v>3.6</v>
      </c>
      <c r="F725" s="352">
        <v>4.5</v>
      </c>
    </row>
    <row r="726" spans="1:6" ht="15.75" customHeight="1">
      <c r="A726" s="350" t="s">
        <v>1637</v>
      </c>
      <c r="B726" s="351">
        <v>100</v>
      </c>
      <c r="C726" s="351" t="s">
        <v>913</v>
      </c>
      <c r="D726" s="352">
        <v>4.2</v>
      </c>
      <c r="E726" s="352">
        <v>0.8</v>
      </c>
      <c r="F726" s="352">
        <v>6.6</v>
      </c>
    </row>
    <row r="727" spans="1:6" ht="15.75" customHeight="1">
      <c r="A727" s="350" t="s">
        <v>1638</v>
      </c>
      <c r="B727" s="351">
        <v>100</v>
      </c>
      <c r="C727" s="351" t="s">
        <v>913</v>
      </c>
      <c r="D727" s="352">
        <v>4.2</v>
      </c>
      <c r="E727" s="352">
        <v>3.7</v>
      </c>
      <c r="F727" s="352">
        <v>4.8</v>
      </c>
    </row>
    <row r="728" spans="1:6" ht="15.75" customHeight="1">
      <c r="A728" s="350" t="s">
        <v>1639</v>
      </c>
      <c r="B728" s="351">
        <v>100</v>
      </c>
      <c r="C728" s="351" t="s">
        <v>913</v>
      </c>
      <c r="D728" s="352">
        <v>2.7</v>
      </c>
      <c r="E728" s="352">
        <v>1.7</v>
      </c>
      <c r="F728" s="352">
        <v>11</v>
      </c>
    </row>
    <row r="729" spans="1:6" ht="15.75" customHeight="1">
      <c r="A729" s="350" t="s">
        <v>1640</v>
      </c>
      <c r="B729" s="351">
        <v>100</v>
      </c>
      <c r="C729" s="351" t="s">
        <v>913</v>
      </c>
      <c r="D729" s="352">
        <v>4.9000000000000004</v>
      </c>
      <c r="E729" s="352">
        <v>0.4</v>
      </c>
      <c r="F729" s="352">
        <v>8.1999999999999993</v>
      </c>
    </row>
    <row r="730" spans="1:6" ht="15.75" customHeight="1">
      <c r="A730" s="350" t="s">
        <v>1641</v>
      </c>
      <c r="B730" s="351">
        <v>100</v>
      </c>
      <c r="C730" s="351" t="s">
        <v>913</v>
      </c>
      <c r="D730" s="352">
        <v>5.3</v>
      </c>
      <c r="E730" s="352">
        <v>0.4</v>
      </c>
      <c r="F730" s="352">
        <v>6.2</v>
      </c>
    </row>
    <row r="731" spans="1:6" ht="15.75" customHeight="1">
      <c r="A731" s="350" t="s">
        <v>1642</v>
      </c>
      <c r="B731" s="351">
        <v>100</v>
      </c>
      <c r="C731" s="351" t="s">
        <v>913</v>
      </c>
      <c r="D731" s="352">
        <v>3.1</v>
      </c>
      <c r="E731" s="352">
        <v>3.4</v>
      </c>
      <c r="F731" s="352">
        <v>4.8</v>
      </c>
    </row>
    <row r="732" spans="1:6" ht="15.75" customHeight="1">
      <c r="A732" s="350" t="s">
        <v>1643</v>
      </c>
      <c r="B732" s="351">
        <v>100</v>
      </c>
      <c r="C732" s="351" t="s">
        <v>913</v>
      </c>
      <c r="D732" s="352">
        <v>3</v>
      </c>
      <c r="E732" s="352">
        <v>3.5</v>
      </c>
      <c r="F732" s="352">
        <v>4.7</v>
      </c>
    </row>
    <row r="733" spans="1:6" ht="15.75" customHeight="1">
      <c r="A733" s="350" t="s">
        <v>1644</v>
      </c>
      <c r="B733" s="351">
        <v>100</v>
      </c>
      <c r="C733" s="351" t="s">
        <v>913</v>
      </c>
      <c r="D733" s="352">
        <v>26.8</v>
      </c>
      <c r="E733" s="352">
        <v>25.9</v>
      </c>
      <c r="F733" s="352">
        <v>38.700000000000003</v>
      </c>
    </row>
    <row r="734" spans="1:6" ht="15.75" customHeight="1">
      <c r="A734" s="350" t="s">
        <v>1645</v>
      </c>
      <c r="B734" s="351">
        <v>100</v>
      </c>
      <c r="C734" s="351" t="s">
        <v>913</v>
      </c>
      <c r="D734" s="352">
        <v>3</v>
      </c>
      <c r="E734" s="352">
        <v>3.5</v>
      </c>
      <c r="F734" s="352">
        <v>4.5999999999999996</v>
      </c>
    </row>
    <row r="735" spans="1:6" ht="15.75" customHeight="1">
      <c r="A735" s="350" t="s">
        <v>1646</v>
      </c>
      <c r="B735" s="351">
        <v>100</v>
      </c>
      <c r="C735" s="351" t="s">
        <v>913</v>
      </c>
      <c r="D735" s="352">
        <v>3</v>
      </c>
      <c r="E735" s="352">
        <v>3.5</v>
      </c>
      <c r="F735" s="352">
        <v>4.7</v>
      </c>
    </row>
    <row r="736" spans="1:6" ht="15.75" customHeight="1">
      <c r="A736" s="350" t="s">
        <v>1647</v>
      </c>
      <c r="B736" s="351">
        <v>100</v>
      </c>
      <c r="C736" s="351" t="s">
        <v>913</v>
      </c>
      <c r="D736" s="352">
        <v>1.4</v>
      </c>
      <c r="E736" s="352">
        <v>3.4</v>
      </c>
      <c r="F736" s="352">
        <v>7.5</v>
      </c>
    </row>
    <row r="737" spans="1:6" ht="15.75" customHeight="1">
      <c r="A737" s="350" t="s">
        <v>1648</v>
      </c>
      <c r="B737" s="351">
        <v>100</v>
      </c>
      <c r="C737" s="351" t="s">
        <v>913</v>
      </c>
      <c r="D737" s="352">
        <v>2.2999999999999998</v>
      </c>
      <c r="E737" s="352">
        <v>2.8</v>
      </c>
      <c r="F737" s="352">
        <v>6.3</v>
      </c>
    </row>
    <row r="738" spans="1:6" ht="15.75" customHeight="1">
      <c r="A738" s="350" t="s">
        <v>1649</v>
      </c>
      <c r="B738" s="351">
        <v>100</v>
      </c>
      <c r="C738" s="351" t="s">
        <v>913</v>
      </c>
      <c r="D738" s="352">
        <v>1.6</v>
      </c>
      <c r="E738" s="352">
        <v>3.7</v>
      </c>
      <c r="F738" s="352">
        <v>6.6</v>
      </c>
    </row>
    <row r="739" spans="1:6" ht="15.75" customHeight="1">
      <c r="A739" s="350" t="s">
        <v>1650</v>
      </c>
      <c r="B739" s="351">
        <v>100</v>
      </c>
      <c r="C739" s="351" t="s">
        <v>913</v>
      </c>
      <c r="D739" s="352">
        <v>3.1</v>
      </c>
      <c r="E739" s="352">
        <v>0.1</v>
      </c>
      <c r="F739" s="352">
        <v>4.9000000000000004</v>
      </c>
    </row>
    <row r="740" spans="1:6" ht="15.75" customHeight="1">
      <c r="A740" s="350" t="s">
        <v>1651</v>
      </c>
      <c r="B740" s="351">
        <v>100</v>
      </c>
      <c r="C740" s="351" t="s">
        <v>913</v>
      </c>
      <c r="D740" s="352">
        <v>35.1</v>
      </c>
      <c r="E740" s="352">
        <v>0.9</v>
      </c>
      <c r="F740" s="352">
        <v>52.7</v>
      </c>
    </row>
    <row r="741" spans="1:6" ht="15.75" customHeight="1">
      <c r="A741" s="350" t="s">
        <v>1652</v>
      </c>
      <c r="B741" s="351">
        <v>100</v>
      </c>
      <c r="C741" s="351" t="s">
        <v>913</v>
      </c>
      <c r="D741" s="352">
        <v>3.4</v>
      </c>
      <c r="E741" s="352">
        <v>0.2</v>
      </c>
      <c r="F741" s="352">
        <v>5.0999999999999996</v>
      </c>
    </row>
    <row r="742" spans="1:6" ht="15.75" customHeight="1">
      <c r="A742" s="350" t="s">
        <v>1653</v>
      </c>
      <c r="B742" s="351">
        <v>100</v>
      </c>
      <c r="C742" s="351" t="s">
        <v>913</v>
      </c>
      <c r="D742" s="352">
        <v>3.4</v>
      </c>
      <c r="E742" s="352">
        <v>0.2</v>
      </c>
      <c r="F742" s="352">
        <v>4.9000000000000004</v>
      </c>
    </row>
    <row r="743" spans="1:6" ht="15.75" customHeight="1">
      <c r="A743" s="350" t="s">
        <v>1654</v>
      </c>
      <c r="B743" s="351">
        <v>100</v>
      </c>
      <c r="C743" s="351" t="s">
        <v>913</v>
      </c>
      <c r="D743" s="352">
        <v>3</v>
      </c>
      <c r="E743" s="352">
        <v>1.8</v>
      </c>
      <c r="F743" s="352">
        <v>7.9</v>
      </c>
    </row>
    <row r="744" spans="1:6" ht="15.75" customHeight="1">
      <c r="A744" s="350" t="s">
        <v>1655</v>
      </c>
      <c r="B744" s="351">
        <v>100</v>
      </c>
      <c r="C744" s="351" t="s">
        <v>913</v>
      </c>
      <c r="D744" s="352">
        <v>3</v>
      </c>
      <c r="E744" s="352">
        <v>1.5</v>
      </c>
      <c r="F744" s="352">
        <v>5</v>
      </c>
    </row>
    <row r="745" spans="1:6" ht="15.75" customHeight="1">
      <c r="A745" s="350" t="s">
        <v>1656</v>
      </c>
      <c r="B745" s="351">
        <v>100</v>
      </c>
      <c r="C745" s="351" t="s">
        <v>913</v>
      </c>
      <c r="D745" s="352">
        <v>30.7</v>
      </c>
      <c r="E745" s="352">
        <v>13.5</v>
      </c>
      <c r="F745" s="352">
        <v>45.6</v>
      </c>
    </row>
    <row r="746" spans="1:6" ht="15.75" customHeight="1">
      <c r="A746" s="350" t="s">
        <v>1657</v>
      </c>
      <c r="B746" s="351">
        <v>100</v>
      </c>
      <c r="C746" s="351" t="s">
        <v>913</v>
      </c>
      <c r="D746" s="352">
        <v>3.3</v>
      </c>
      <c r="E746" s="352">
        <v>1.6</v>
      </c>
      <c r="F746" s="352">
        <v>5.0999999999999996</v>
      </c>
    </row>
    <row r="747" spans="1:6" ht="15.75" customHeight="1">
      <c r="A747" s="350" t="s">
        <v>1658</v>
      </c>
      <c r="B747" s="351">
        <v>100</v>
      </c>
      <c r="C747" s="351" t="s">
        <v>913</v>
      </c>
      <c r="D747" s="352">
        <v>3.3</v>
      </c>
      <c r="E747" s="352">
        <v>1.6</v>
      </c>
      <c r="F747" s="352">
        <v>4.9000000000000004</v>
      </c>
    </row>
    <row r="748" spans="1:6" ht="15.75" customHeight="1">
      <c r="A748" s="350" t="s">
        <v>1659</v>
      </c>
      <c r="B748" s="351">
        <v>100</v>
      </c>
      <c r="C748" s="351" t="s">
        <v>913</v>
      </c>
      <c r="D748" s="352">
        <v>9.1</v>
      </c>
      <c r="E748" s="352">
        <v>0.3</v>
      </c>
      <c r="F748" s="352">
        <v>16.7</v>
      </c>
    </row>
    <row r="749" spans="1:6" ht="15.75" customHeight="1">
      <c r="A749" s="350" t="s">
        <v>1660</v>
      </c>
      <c r="B749" s="351">
        <v>100</v>
      </c>
      <c r="C749" s="351" t="s">
        <v>913</v>
      </c>
      <c r="D749" s="352">
        <v>25.2</v>
      </c>
      <c r="E749" s="352">
        <v>0.7</v>
      </c>
      <c r="F749" s="352">
        <v>47.6</v>
      </c>
    </row>
    <row r="750" spans="1:6" ht="15.75" customHeight="1">
      <c r="A750" s="350" t="s">
        <v>1661</v>
      </c>
      <c r="B750" s="351">
        <v>100</v>
      </c>
      <c r="C750" s="351" t="s">
        <v>913</v>
      </c>
      <c r="D750" s="352">
        <v>0.9</v>
      </c>
      <c r="E750" s="352">
        <v>0.4</v>
      </c>
      <c r="F750" s="352">
        <v>14.8</v>
      </c>
    </row>
    <row r="751" spans="1:6" ht="15.75" customHeight="1">
      <c r="A751" s="350" t="s">
        <v>1662</v>
      </c>
      <c r="B751" s="351">
        <v>100</v>
      </c>
      <c r="C751" s="351" t="s">
        <v>913</v>
      </c>
      <c r="D751" s="352">
        <v>0</v>
      </c>
      <c r="E751" s="352">
        <v>0</v>
      </c>
      <c r="F751" s="352">
        <v>34.799999999999997</v>
      </c>
    </row>
    <row r="752" spans="1:6" ht="15.75" customHeight="1">
      <c r="A752" s="350" t="s">
        <v>1663</v>
      </c>
      <c r="B752" s="351">
        <v>100</v>
      </c>
      <c r="C752" s="351" t="s">
        <v>913</v>
      </c>
      <c r="D752" s="352">
        <v>0</v>
      </c>
      <c r="E752" s="352">
        <v>0</v>
      </c>
      <c r="F752" s="352">
        <v>36</v>
      </c>
    </row>
    <row r="753" spans="1:6" ht="15.75" customHeight="1">
      <c r="A753" s="350" t="s">
        <v>1664</v>
      </c>
      <c r="B753" s="351">
        <v>100</v>
      </c>
      <c r="C753" s="351" t="s">
        <v>913</v>
      </c>
      <c r="D753" s="352">
        <v>0.1</v>
      </c>
      <c r="E753" s="352">
        <v>0</v>
      </c>
      <c r="F753" s="352">
        <v>19</v>
      </c>
    </row>
    <row r="754" spans="1:6" ht="15.75" customHeight="1">
      <c r="A754" s="350" t="s">
        <v>1665</v>
      </c>
      <c r="B754" s="351">
        <v>100</v>
      </c>
      <c r="C754" s="351" t="s">
        <v>913</v>
      </c>
      <c r="D754" s="352">
        <v>0</v>
      </c>
      <c r="E754" s="352">
        <v>0</v>
      </c>
      <c r="F754" s="352">
        <v>24.4</v>
      </c>
    </row>
    <row r="755" spans="1:6" ht="15.75" customHeight="1">
      <c r="A755" s="350" t="s">
        <v>1666</v>
      </c>
      <c r="B755" s="351">
        <v>100</v>
      </c>
      <c r="C755" s="351" t="s">
        <v>913</v>
      </c>
      <c r="D755" s="352">
        <v>0.7</v>
      </c>
      <c r="E755" s="352">
        <v>0.2</v>
      </c>
      <c r="F755" s="352">
        <v>1.7</v>
      </c>
    </row>
    <row r="756" spans="1:6" ht="15.75" customHeight="1">
      <c r="A756" s="350" t="s">
        <v>1667</v>
      </c>
      <c r="B756" s="351">
        <v>100</v>
      </c>
      <c r="C756" s="351" t="s">
        <v>913</v>
      </c>
      <c r="D756" s="352">
        <v>0.5</v>
      </c>
      <c r="E756" s="352">
        <v>0.3</v>
      </c>
      <c r="F756" s="352">
        <v>1.9</v>
      </c>
    </row>
    <row r="757" spans="1:6" ht="15.75" customHeight="1">
      <c r="A757" s="350" t="s">
        <v>1668</v>
      </c>
      <c r="B757" s="351">
        <v>100</v>
      </c>
      <c r="C757" s="351" t="s">
        <v>913</v>
      </c>
      <c r="D757" s="352">
        <v>16.3</v>
      </c>
      <c r="E757" s="352">
        <v>17.2</v>
      </c>
      <c r="F757" s="352">
        <v>0</v>
      </c>
    </row>
    <row r="758" spans="1:6" ht="15.75" customHeight="1">
      <c r="A758" s="350" t="s">
        <v>1669</v>
      </c>
      <c r="B758" s="351">
        <v>100</v>
      </c>
      <c r="C758" s="351" t="s">
        <v>913</v>
      </c>
      <c r="D758" s="352">
        <v>15.9</v>
      </c>
      <c r="E758" s="352">
        <v>15</v>
      </c>
      <c r="F758" s="352">
        <v>0</v>
      </c>
    </row>
    <row r="759" spans="1:6" ht="15.75" customHeight="1">
      <c r="A759" s="350" t="s">
        <v>1670</v>
      </c>
      <c r="B759" s="351">
        <v>100</v>
      </c>
      <c r="C759" s="351" t="s">
        <v>913</v>
      </c>
      <c r="D759" s="352">
        <v>19.8</v>
      </c>
      <c r="E759" s="352">
        <v>20.9</v>
      </c>
      <c r="F759" s="352">
        <v>0</v>
      </c>
    </row>
    <row r="760" spans="1:6" ht="15.75" customHeight="1">
      <c r="A760" s="350" t="s">
        <v>1671</v>
      </c>
      <c r="B760" s="351">
        <v>100</v>
      </c>
      <c r="C760" s="351" t="s">
        <v>913</v>
      </c>
      <c r="D760" s="352">
        <v>20.100000000000001</v>
      </c>
      <c r="E760" s="352">
        <v>0.2</v>
      </c>
      <c r="F760" s="352">
        <v>0</v>
      </c>
    </row>
    <row r="761" spans="1:6" ht="15.75" customHeight="1">
      <c r="A761" s="350" t="s">
        <v>1672</v>
      </c>
      <c r="B761" s="351">
        <v>100</v>
      </c>
      <c r="C761" s="351" t="s">
        <v>913</v>
      </c>
      <c r="D761" s="352">
        <v>24.3</v>
      </c>
      <c r="E761" s="352">
        <v>6.2</v>
      </c>
      <c r="F761" s="352">
        <v>2.7</v>
      </c>
    </row>
    <row r="762" spans="1:6" ht="15.75" customHeight="1">
      <c r="A762" s="350" t="s">
        <v>1673</v>
      </c>
      <c r="B762" s="351">
        <v>100</v>
      </c>
      <c r="C762" s="351" t="s">
        <v>913</v>
      </c>
      <c r="D762" s="352">
        <v>23.1</v>
      </c>
      <c r="E762" s="352">
        <v>0.2</v>
      </c>
      <c r="F762" s="352">
        <v>0</v>
      </c>
    </row>
    <row r="763" spans="1:6" ht="15.75" customHeight="1">
      <c r="A763" s="350" t="s">
        <v>1674</v>
      </c>
      <c r="B763" s="351">
        <v>100</v>
      </c>
      <c r="C763" s="351" t="s">
        <v>913</v>
      </c>
      <c r="D763" s="352">
        <v>21.5</v>
      </c>
      <c r="E763" s="352">
        <v>39</v>
      </c>
      <c r="F763" s="352">
        <v>0</v>
      </c>
    </row>
    <row r="764" spans="1:6" ht="15.75" customHeight="1">
      <c r="A764" s="350" t="s">
        <v>1675</v>
      </c>
      <c r="B764" s="351">
        <v>100</v>
      </c>
      <c r="C764" s="351" t="s">
        <v>913</v>
      </c>
      <c r="D764" s="352">
        <v>27.5</v>
      </c>
      <c r="E764" s="352">
        <v>11.3</v>
      </c>
      <c r="F764" s="352">
        <v>0.2</v>
      </c>
    </row>
    <row r="765" spans="1:6" ht="15.75" customHeight="1">
      <c r="A765" s="350" t="s">
        <v>1676</v>
      </c>
      <c r="B765" s="351">
        <v>100</v>
      </c>
      <c r="C765" s="351" t="s">
        <v>913</v>
      </c>
      <c r="D765" s="352">
        <v>27.5</v>
      </c>
      <c r="E765" s="352">
        <v>11.1</v>
      </c>
      <c r="F765" s="352">
        <v>0.2</v>
      </c>
    </row>
    <row r="766" spans="1:6" ht="15.75" customHeight="1">
      <c r="A766" s="350" t="s">
        <v>1677</v>
      </c>
      <c r="B766" s="351">
        <v>100</v>
      </c>
      <c r="C766" s="351" t="s">
        <v>913</v>
      </c>
      <c r="D766" s="352">
        <v>28.2</v>
      </c>
      <c r="E766" s="352">
        <v>10.6</v>
      </c>
      <c r="F766" s="352">
        <v>0</v>
      </c>
    </row>
    <row r="767" spans="1:6" ht="15.75" customHeight="1">
      <c r="A767" s="350" t="s">
        <v>1678</v>
      </c>
      <c r="B767" s="351">
        <v>100</v>
      </c>
      <c r="C767" s="351" t="s">
        <v>913</v>
      </c>
      <c r="D767" s="352">
        <v>27.5</v>
      </c>
      <c r="E767" s="352">
        <v>11.1</v>
      </c>
      <c r="F767" s="352">
        <v>0.2</v>
      </c>
    </row>
    <row r="768" spans="1:6" ht="15.75" customHeight="1">
      <c r="A768" s="350" t="s">
        <v>1679</v>
      </c>
      <c r="B768" s="351">
        <v>100</v>
      </c>
      <c r="C768" s="351" t="s">
        <v>913</v>
      </c>
      <c r="D768" s="352">
        <v>32.700000000000003</v>
      </c>
      <c r="E768" s="352">
        <v>8.8000000000000007</v>
      </c>
      <c r="F768" s="352">
        <v>0</v>
      </c>
    </row>
    <row r="769" spans="1:6" ht="15.75" customHeight="1">
      <c r="A769" s="350" t="s">
        <v>1680</v>
      </c>
      <c r="B769" s="351">
        <v>100</v>
      </c>
      <c r="C769" s="351" t="s">
        <v>913</v>
      </c>
      <c r="D769" s="352">
        <v>22.2</v>
      </c>
      <c r="E769" s="352">
        <v>4.7</v>
      </c>
      <c r="F769" s="352">
        <v>0</v>
      </c>
    </row>
    <row r="770" spans="1:6" ht="15.75" customHeight="1">
      <c r="A770" s="350" t="s">
        <v>1681</v>
      </c>
      <c r="B770" s="351">
        <v>100</v>
      </c>
      <c r="C770" s="351" t="s">
        <v>913</v>
      </c>
      <c r="D770" s="352">
        <v>28.8</v>
      </c>
      <c r="E770" s="352">
        <v>7.4</v>
      </c>
      <c r="F770" s="352">
        <v>0</v>
      </c>
    </row>
    <row r="771" spans="1:6" ht="15.75" customHeight="1">
      <c r="A771" s="350" t="s">
        <v>1682</v>
      </c>
      <c r="B771" s="351">
        <v>100</v>
      </c>
      <c r="C771" s="351" t="s">
        <v>913</v>
      </c>
      <c r="D771" s="352">
        <v>28.8</v>
      </c>
      <c r="E771" s="352">
        <v>7.2</v>
      </c>
      <c r="F771" s="352">
        <v>0</v>
      </c>
    </row>
    <row r="772" spans="1:6" ht="15.75" customHeight="1">
      <c r="A772" s="350" t="s">
        <v>1683</v>
      </c>
      <c r="B772" s="351">
        <v>100</v>
      </c>
      <c r="C772" s="351" t="s">
        <v>913</v>
      </c>
      <c r="D772" s="352">
        <v>28.8</v>
      </c>
      <c r="E772" s="352">
        <v>7.6</v>
      </c>
      <c r="F772" s="352">
        <v>0</v>
      </c>
    </row>
    <row r="773" spans="1:6" ht="15.75" customHeight="1">
      <c r="A773" s="350" t="s">
        <v>1684</v>
      </c>
      <c r="B773" s="351">
        <v>100</v>
      </c>
      <c r="C773" s="351" t="s">
        <v>913</v>
      </c>
      <c r="D773" s="352">
        <v>25.3</v>
      </c>
      <c r="E773" s="352">
        <v>12.5</v>
      </c>
      <c r="F773" s="352">
        <v>8.5</v>
      </c>
    </row>
    <row r="774" spans="1:6" ht="15.75" customHeight="1">
      <c r="A774" s="350" t="s">
        <v>1685</v>
      </c>
      <c r="B774" s="351">
        <v>100</v>
      </c>
      <c r="C774" s="351" t="s">
        <v>913</v>
      </c>
      <c r="D774" s="352">
        <v>29.1</v>
      </c>
      <c r="E774" s="352">
        <v>8.1</v>
      </c>
      <c r="F774" s="352">
        <v>0</v>
      </c>
    </row>
    <row r="775" spans="1:6" ht="15.75" customHeight="1">
      <c r="A775" s="350" t="s">
        <v>1686</v>
      </c>
      <c r="B775" s="351">
        <v>100</v>
      </c>
      <c r="C775" s="351" t="s">
        <v>913</v>
      </c>
      <c r="D775" s="352">
        <v>26.2</v>
      </c>
      <c r="E775" s="352">
        <v>11.1</v>
      </c>
      <c r="F775" s="352">
        <v>0</v>
      </c>
    </row>
    <row r="776" spans="1:6" ht="15.75" customHeight="1">
      <c r="A776" s="350" t="s">
        <v>1687</v>
      </c>
      <c r="B776" s="351">
        <v>100</v>
      </c>
      <c r="C776" s="351" t="s">
        <v>913</v>
      </c>
      <c r="D776" s="352">
        <v>26.2</v>
      </c>
      <c r="E776" s="352">
        <v>11.4</v>
      </c>
      <c r="F776" s="352">
        <v>0</v>
      </c>
    </row>
    <row r="777" spans="1:6" ht="15.75" customHeight="1">
      <c r="A777" s="350" t="s">
        <v>1688</v>
      </c>
      <c r="B777" s="351">
        <v>100</v>
      </c>
      <c r="C777" s="351" t="s">
        <v>913</v>
      </c>
      <c r="D777" s="352">
        <v>26.2</v>
      </c>
      <c r="E777" s="352">
        <v>10.4</v>
      </c>
      <c r="F777" s="352">
        <v>0</v>
      </c>
    </row>
    <row r="778" spans="1:6" ht="15.75" customHeight="1">
      <c r="A778" s="350" t="s">
        <v>1689</v>
      </c>
      <c r="B778" s="351">
        <v>100</v>
      </c>
      <c r="C778" s="351" t="s">
        <v>913</v>
      </c>
      <c r="D778" s="352">
        <v>26.2</v>
      </c>
      <c r="E778" s="352">
        <v>11.1</v>
      </c>
      <c r="F778" s="352">
        <v>0</v>
      </c>
    </row>
    <row r="779" spans="1:6" ht="15.75" customHeight="1">
      <c r="A779" s="350" t="s">
        <v>1690</v>
      </c>
      <c r="B779" s="351">
        <v>100</v>
      </c>
      <c r="C779" s="351" t="s">
        <v>913</v>
      </c>
      <c r="D779" s="352">
        <v>29.2</v>
      </c>
      <c r="E779" s="352">
        <v>6.1</v>
      </c>
      <c r="F779" s="352">
        <v>0</v>
      </c>
    </row>
    <row r="780" spans="1:6" ht="15.75" customHeight="1">
      <c r="A780" s="350" t="s">
        <v>1691</v>
      </c>
      <c r="B780" s="351">
        <v>100</v>
      </c>
      <c r="C780" s="351" t="s">
        <v>913</v>
      </c>
      <c r="D780" s="352">
        <v>21</v>
      </c>
      <c r="E780" s="352">
        <v>3.3</v>
      </c>
      <c r="F780" s="352">
        <v>0</v>
      </c>
    </row>
    <row r="781" spans="1:6" ht="15.75" customHeight="1">
      <c r="A781" s="350" t="s">
        <v>1692</v>
      </c>
      <c r="B781" s="351">
        <v>100</v>
      </c>
      <c r="C781" s="351" t="s">
        <v>913</v>
      </c>
      <c r="D781" s="352">
        <v>11.9</v>
      </c>
      <c r="E781" s="352">
        <v>6.8</v>
      </c>
      <c r="F781" s="352">
        <v>2.5</v>
      </c>
    </row>
    <row r="782" spans="1:6" ht="15.75" customHeight="1">
      <c r="A782" s="350" t="s">
        <v>1693</v>
      </c>
      <c r="B782" s="351">
        <v>100</v>
      </c>
      <c r="C782" s="351" t="s">
        <v>913</v>
      </c>
      <c r="D782" s="352">
        <v>23</v>
      </c>
      <c r="E782" s="352">
        <v>14.4</v>
      </c>
      <c r="F782" s="352">
        <v>0.2</v>
      </c>
    </row>
    <row r="783" spans="1:6" ht="15.75" customHeight="1">
      <c r="A783" s="350" t="s">
        <v>1694</v>
      </c>
      <c r="B783" s="351">
        <v>100</v>
      </c>
      <c r="C783" s="351" t="s">
        <v>913</v>
      </c>
      <c r="D783" s="352">
        <v>23</v>
      </c>
      <c r="E783" s="352">
        <v>14.4</v>
      </c>
      <c r="F783" s="352">
        <v>0.2</v>
      </c>
    </row>
    <row r="784" spans="1:6" ht="15.75" customHeight="1">
      <c r="A784" s="350" t="s">
        <v>1695</v>
      </c>
      <c r="B784" s="351">
        <v>100</v>
      </c>
      <c r="C784" s="351" t="s">
        <v>913</v>
      </c>
      <c r="D784" s="352">
        <v>23</v>
      </c>
      <c r="E784" s="352">
        <v>14.4</v>
      </c>
      <c r="F784" s="352">
        <v>0.2</v>
      </c>
    </row>
    <row r="785" spans="1:6" ht="15.75" customHeight="1">
      <c r="A785" s="350" t="s">
        <v>1696</v>
      </c>
      <c r="B785" s="351">
        <v>100</v>
      </c>
      <c r="C785" s="351" t="s">
        <v>913</v>
      </c>
      <c r="D785" s="352">
        <v>25.1</v>
      </c>
      <c r="E785" s="352">
        <v>5.6</v>
      </c>
      <c r="F785" s="352">
        <v>0</v>
      </c>
    </row>
    <row r="786" spans="1:6" ht="15.75" customHeight="1">
      <c r="A786" s="350" t="s">
        <v>1697</v>
      </c>
      <c r="B786" s="351">
        <v>100</v>
      </c>
      <c r="C786" s="351" t="s">
        <v>913</v>
      </c>
      <c r="D786" s="352">
        <v>19.899999999999999</v>
      </c>
      <c r="E786" s="352">
        <v>7.6</v>
      </c>
      <c r="F786" s="352">
        <v>0</v>
      </c>
    </row>
    <row r="787" spans="1:6" ht="15.75" customHeight="1">
      <c r="A787" s="350" t="s">
        <v>1698</v>
      </c>
      <c r="B787" s="351">
        <v>100</v>
      </c>
      <c r="C787" s="351" t="s">
        <v>913</v>
      </c>
      <c r="D787" s="352">
        <v>23.5</v>
      </c>
      <c r="E787" s="352">
        <v>13.7</v>
      </c>
      <c r="F787" s="352">
        <v>0</v>
      </c>
    </row>
    <row r="788" spans="1:6" ht="15.75" customHeight="1">
      <c r="A788" s="350" t="s">
        <v>1699</v>
      </c>
      <c r="B788" s="351">
        <v>100</v>
      </c>
      <c r="C788" s="351" t="s">
        <v>913</v>
      </c>
      <c r="D788" s="352">
        <v>24.9</v>
      </c>
      <c r="E788" s="352">
        <v>10.6</v>
      </c>
      <c r="F788" s="352">
        <v>0</v>
      </c>
    </row>
    <row r="789" spans="1:6" ht="15.75" customHeight="1">
      <c r="A789" s="350" t="s">
        <v>1700</v>
      </c>
      <c r="B789" s="351">
        <v>100</v>
      </c>
      <c r="C789" s="351" t="s">
        <v>913</v>
      </c>
      <c r="D789" s="352">
        <v>25</v>
      </c>
      <c r="E789" s="352">
        <v>5.6</v>
      </c>
      <c r="F789" s="352">
        <v>0</v>
      </c>
    </row>
    <row r="790" spans="1:6" ht="15.75" customHeight="1">
      <c r="A790" s="350" t="s">
        <v>1701</v>
      </c>
      <c r="B790" s="351">
        <v>100</v>
      </c>
      <c r="C790" s="351" t="s">
        <v>913</v>
      </c>
      <c r="D790" s="352">
        <v>22.7</v>
      </c>
      <c r="E790" s="352">
        <v>8</v>
      </c>
      <c r="F790" s="352">
        <v>0.1</v>
      </c>
    </row>
    <row r="791" spans="1:6" ht="15.75" customHeight="1">
      <c r="A791" s="350" t="s">
        <v>1702</v>
      </c>
      <c r="B791" s="351">
        <v>100</v>
      </c>
      <c r="C791" s="351" t="s">
        <v>913</v>
      </c>
      <c r="D791" s="352">
        <v>22.7</v>
      </c>
      <c r="E791" s="352">
        <v>7.3</v>
      </c>
      <c r="F791" s="352">
        <v>0.1</v>
      </c>
    </row>
    <row r="792" spans="1:6" ht="15.75" customHeight="1">
      <c r="A792" s="350" t="s">
        <v>1703</v>
      </c>
      <c r="B792" s="351">
        <v>100</v>
      </c>
      <c r="C792" s="351" t="s">
        <v>913</v>
      </c>
      <c r="D792" s="352">
        <v>24.2</v>
      </c>
      <c r="E792" s="352">
        <v>4.3</v>
      </c>
      <c r="F792" s="352">
        <v>0</v>
      </c>
    </row>
    <row r="793" spans="1:6" ht="15.75" customHeight="1">
      <c r="A793" s="350" t="s">
        <v>1704</v>
      </c>
      <c r="B793" s="351">
        <v>100</v>
      </c>
      <c r="C793" s="351" t="s">
        <v>913</v>
      </c>
      <c r="D793" s="352">
        <v>19.600000000000001</v>
      </c>
      <c r="E793" s="352">
        <v>2.2999999999999998</v>
      </c>
      <c r="F793" s="352">
        <v>0</v>
      </c>
    </row>
    <row r="794" spans="1:6" ht="15.75" customHeight="1">
      <c r="A794" s="350" t="s">
        <v>1705</v>
      </c>
      <c r="B794" s="351">
        <v>100</v>
      </c>
      <c r="C794" s="351" t="s">
        <v>913</v>
      </c>
      <c r="D794" s="352">
        <v>21.6</v>
      </c>
      <c r="E794" s="352">
        <v>8</v>
      </c>
      <c r="F794" s="352">
        <v>0</v>
      </c>
    </row>
    <row r="795" spans="1:6" ht="15.75" customHeight="1">
      <c r="A795" s="350" t="s">
        <v>1706</v>
      </c>
      <c r="B795" s="351">
        <v>100</v>
      </c>
      <c r="C795" s="351" t="s">
        <v>913</v>
      </c>
      <c r="D795" s="352">
        <v>21.6</v>
      </c>
      <c r="E795" s="352">
        <v>7.8</v>
      </c>
      <c r="F795" s="352">
        <v>0</v>
      </c>
    </row>
    <row r="796" spans="1:6" ht="15.75" customHeight="1">
      <c r="A796" s="350" t="s">
        <v>1707</v>
      </c>
      <c r="B796" s="351">
        <v>100</v>
      </c>
      <c r="C796" s="351" t="s">
        <v>913</v>
      </c>
      <c r="D796" s="352">
        <v>15.8</v>
      </c>
      <c r="E796" s="352">
        <v>0.9</v>
      </c>
      <c r="F796" s="352">
        <v>0</v>
      </c>
    </row>
    <row r="797" spans="1:6" ht="15.75" customHeight="1">
      <c r="A797" s="350" t="s">
        <v>1708</v>
      </c>
      <c r="B797" s="351">
        <v>100</v>
      </c>
      <c r="C797" s="351" t="s">
        <v>913</v>
      </c>
      <c r="D797" s="352">
        <v>16.100000000000001</v>
      </c>
      <c r="E797" s="352">
        <v>6.3</v>
      </c>
      <c r="F797" s="352">
        <v>2.9</v>
      </c>
    </row>
    <row r="798" spans="1:6" ht="15.75" customHeight="1">
      <c r="A798" s="350" t="s">
        <v>1709</v>
      </c>
      <c r="B798" s="351">
        <v>100</v>
      </c>
      <c r="C798" s="351" t="s">
        <v>913</v>
      </c>
      <c r="D798" s="352">
        <v>32.5</v>
      </c>
      <c r="E798" s="352">
        <v>1.6</v>
      </c>
      <c r="F798" s="352">
        <v>0</v>
      </c>
    </row>
    <row r="799" spans="1:6" ht="15.75" customHeight="1">
      <c r="A799" s="350" t="s">
        <v>1710</v>
      </c>
      <c r="B799" s="351">
        <v>100</v>
      </c>
      <c r="C799" s="351" t="s">
        <v>913</v>
      </c>
      <c r="D799" s="352">
        <v>0.2</v>
      </c>
      <c r="E799" s="352">
        <v>0.5</v>
      </c>
      <c r="F799" s="352">
        <v>23.9</v>
      </c>
    </row>
    <row r="800" spans="1:6" ht="15.75" customHeight="1">
      <c r="A800" s="350" t="s">
        <v>1711</v>
      </c>
      <c r="B800" s="351">
        <v>100</v>
      </c>
      <c r="C800" s="351" t="s">
        <v>913</v>
      </c>
      <c r="D800" s="352">
        <v>0.3</v>
      </c>
      <c r="E800" s="352">
        <v>0.5</v>
      </c>
      <c r="F800" s="352">
        <v>15.7</v>
      </c>
    </row>
    <row r="801" spans="1:6" ht="15.75" customHeight="1">
      <c r="A801" s="350" t="s">
        <v>1712</v>
      </c>
      <c r="B801" s="351">
        <v>100</v>
      </c>
      <c r="C801" s="351" t="s">
        <v>913</v>
      </c>
      <c r="D801" s="352">
        <v>0.2</v>
      </c>
      <c r="E801" s="352">
        <v>0.5</v>
      </c>
      <c r="F801" s="352">
        <v>13.4</v>
      </c>
    </row>
    <row r="802" spans="1:6" ht="15.75" customHeight="1">
      <c r="A802" s="350" t="s">
        <v>1713</v>
      </c>
      <c r="B802" s="351">
        <v>100</v>
      </c>
      <c r="C802" s="351" t="s">
        <v>913</v>
      </c>
      <c r="D802" s="352">
        <v>0.2</v>
      </c>
      <c r="E802" s="352">
        <v>0.5</v>
      </c>
      <c r="F802" s="352">
        <v>17</v>
      </c>
    </row>
    <row r="803" spans="1:6" ht="15.75" customHeight="1">
      <c r="A803" s="350" t="s">
        <v>1714</v>
      </c>
      <c r="B803" s="351">
        <v>100</v>
      </c>
      <c r="C803" s="351" t="s">
        <v>913</v>
      </c>
      <c r="D803" s="352">
        <v>0.2</v>
      </c>
      <c r="E803" s="352">
        <v>0.5</v>
      </c>
      <c r="F803" s="352">
        <v>10.5</v>
      </c>
    </row>
    <row r="804" spans="1:6" ht="15.75" customHeight="1">
      <c r="A804" s="350" t="s">
        <v>1715</v>
      </c>
      <c r="B804" s="351">
        <v>100</v>
      </c>
      <c r="C804" s="351" t="s">
        <v>913</v>
      </c>
      <c r="D804" s="352">
        <v>1.1000000000000001</v>
      </c>
      <c r="E804" s="352">
        <v>2.9</v>
      </c>
      <c r="F804" s="352">
        <v>74.5</v>
      </c>
    </row>
    <row r="805" spans="1:6" ht="15.75" customHeight="1">
      <c r="A805" s="350" t="s">
        <v>1716</v>
      </c>
      <c r="B805" s="351">
        <v>100</v>
      </c>
      <c r="C805" s="351" t="s">
        <v>913</v>
      </c>
      <c r="D805" s="352">
        <v>0.2</v>
      </c>
      <c r="E805" s="352">
        <v>0.5</v>
      </c>
      <c r="F805" s="352">
        <v>13.1</v>
      </c>
    </row>
    <row r="806" spans="1:6" ht="15.75" customHeight="1">
      <c r="A806" s="350" t="s">
        <v>1717</v>
      </c>
      <c r="B806" s="351">
        <v>100</v>
      </c>
      <c r="C806" s="351" t="s">
        <v>913</v>
      </c>
      <c r="D806" s="352">
        <v>0.8</v>
      </c>
      <c r="E806" s="352">
        <v>0.3</v>
      </c>
      <c r="F806" s="352">
        <v>57.1</v>
      </c>
    </row>
    <row r="807" spans="1:6" ht="15.75" customHeight="1">
      <c r="A807" s="350" t="s">
        <v>1718</v>
      </c>
      <c r="B807" s="351">
        <v>100</v>
      </c>
      <c r="C807" s="351" t="s">
        <v>913</v>
      </c>
      <c r="D807" s="352">
        <v>0.2</v>
      </c>
      <c r="E807" s="352">
        <v>0.5</v>
      </c>
      <c r="F807" s="352">
        <v>12.7</v>
      </c>
    </row>
    <row r="808" spans="1:6" ht="15.75" customHeight="1">
      <c r="A808" s="350" t="s">
        <v>1719</v>
      </c>
      <c r="B808" s="351">
        <v>100</v>
      </c>
      <c r="C808" s="351" t="s">
        <v>913</v>
      </c>
      <c r="D808" s="352">
        <v>4.9000000000000004</v>
      </c>
      <c r="E808" s="352">
        <v>22.6</v>
      </c>
      <c r="F808" s="352">
        <v>54.7</v>
      </c>
    </row>
    <row r="809" spans="1:6" ht="15.75" customHeight="1">
      <c r="A809" s="350" t="s">
        <v>1720</v>
      </c>
      <c r="B809" s="351">
        <v>100</v>
      </c>
      <c r="C809" s="351" t="s">
        <v>913</v>
      </c>
      <c r="D809" s="352">
        <v>4</v>
      </c>
      <c r="E809" s="352">
        <v>71.2</v>
      </c>
      <c r="F809" s="352">
        <v>0</v>
      </c>
    </row>
    <row r="810" spans="1:6" ht="15.75" customHeight="1">
      <c r="A810" s="350" t="s">
        <v>1721</v>
      </c>
      <c r="B810" s="351">
        <v>100</v>
      </c>
      <c r="C810" s="351" t="s">
        <v>913</v>
      </c>
      <c r="D810" s="352">
        <v>3.9</v>
      </c>
      <c r="E810" s="352">
        <v>69.8</v>
      </c>
      <c r="F810" s="352">
        <v>0</v>
      </c>
    </row>
    <row r="811" spans="1:6" ht="15.75" customHeight="1">
      <c r="A811" s="350" t="s">
        <v>1722</v>
      </c>
      <c r="B811" s="351">
        <v>100</v>
      </c>
      <c r="C811" s="351" t="s">
        <v>913</v>
      </c>
      <c r="D811" s="352">
        <v>1.8</v>
      </c>
      <c r="E811" s="352">
        <v>0.3</v>
      </c>
      <c r="F811" s="352">
        <v>4.2</v>
      </c>
    </row>
    <row r="812" spans="1:6" ht="15.75" customHeight="1">
      <c r="A812" s="350" t="s">
        <v>1723</v>
      </c>
      <c r="B812" s="351">
        <v>100</v>
      </c>
      <c r="C812" s="351" t="s">
        <v>913</v>
      </c>
      <c r="D812" s="352">
        <v>1</v>
      </c>
      <c r="E812" s="352">
        <v>0.3</v>
      </c>
      <c r="F812" s="352">
        <v>33.799999999999997</v>
      </c>
    </row>
    <row r="813" spans="1:6" ht="15.75" customHeight="1">
      <c r="A813" s="350" t="s">
        <v>1724</v>
      </c>
      <c r="B813" s="351">
        <v>100</v>
      </c>
      <c r="C813" s="351" t="s">
        <v>913</v>
      </c>
      <c r="D813" s="352">
        <v>0.5</v>
      </c>
      <c r="E813" s="352">
        <v>0.3</v>
      </c>
      <c r="F813" s="352">
        <v>11.7</v>
      </c>
    </row>
    <row r="814" spans="1:6" ht="15.75" customHeight="1">
      <c r="A814" s="350" t="s">
        <v>1725</v>
      </c>
      <c r="B814" s="351">
        <v>100</v>
      </c>
      <c r="C814" s="351" t="s">
        <v>913</v>
      </c>
      <c r="D814" s="352">
        <v>2.9</v>
      </c>
      <c r="E814" s="352">
        <v>1.7</v>
      </c>
      <c r="F814" s="352">
        <v>67.400000000000006</v>
      </c>
    </row>
    <row r="815" spans="1:6" ht="15.75" customHeight="1">
      <c r="A815" s="350" t="s">
        <v>1726</v>
      </c>
      <c r="B815" s="351">
        <v>100</v>
      </c>
      <c r="C815" s="351" t="s">
        <v>913</v>
      </c>
      <c r="D815" s="352">
        <v>3.1</v>
      </c>
      <c r="E815" s="352">
        <v>0.8</v>
      </c>
      <c r="F815" s="352">
        <v>5.0999999999999996</v>
      </c>
    </row>
    <row r="816" spans="1:6" ht="15.75" customHeight="1">
      <c r="A816" s="350" t="s">
        <v>1727</v>
      </c>
      <c r="B816" s="351">
        <v>100</v>
      </c>
      <c r="C816" s="351" t="s">
        <v>913</v>
      </c>
      <c r="D816" s="352">
        <v>23</v>
      </c>
      <c r="E816" s="352">
        <v>4.0999999999999996</v>
      </c>
      <c r="F816" s="352">
        <v>10</v>
      </c>
    </row>
    <row r="817" spans="1:6" ht="15.75" customHeight="1">
      <c r="A817" s="350" t="s">
        <v>1728</v>
      </c>
      <c r="B817" s="351">
        <v>100</v>
      </c>
      <c r="C817" s="351" t="s">
        <v>913</v>
      </c>
      <c r="D817" s="352">
        <v>12.7</v>
      </c>
      <c r="E817" s="352">
        <v>7</v>
      </c>
      <c r="F817" s="352">
        <v>42.5</v>
      </c>
    </row>
    <row r="818" spans="1:6" ht="15.75" customHeight="1">
      <c r="A818" s="350" t="s">
        <v>1729</v>
      </c>
      <c r="B818" s="351">
        <v>100</v>
      </c>
      <c r="C818" s="351" t="s">
        <v>913</v>
      </c>
      <c r="D818" s="352">
        <v>0.1</v>
      </c>
      <c r="E818" s="352">
        <v>81.8</v>
      </c>
      <c r="F818" s="352">
        <v>0.7</v>
      </c>
    </row>
    <row r="819" spans="1:6" ht="15.75" customHeight="1">
      <c r="A819" s="350" t="s">
        <v>1730</v>
      </c>
      <c r="B819" s="351">
        <v>100</v>
      </c>
      <c r="C819" s="351" t="s">
        <v>913</v>
      </c>
      <c r="D819" s="352">
        <v>0.1</v>
      </c>
      <c r="E819" s="352">
        <v>83</v>
      </c>
      <c r="F819" s="352">
        <v>0.7</v>
      </c>
    </row>
    <row r="820" spans="1:6" ht="15.75" customHeight="1">
      <c r="A820" s="350" t="s">
        <v>1731</v>
      </c>
      <c r="B820" s="351">
        <v>100</v>
      </c>
      <c r="C820" s="351" t="s">
        <v>913</v>
      </c>
      <c r="D820" s="352">
        <v>2.6</v>
      </c>
      <c r="E820" s="352">
        <v>0.4</v>
      </c>
      <c r="F820" s="352">
        <v>5.7</v>
      </c>
    </row>
    <row r="821" spans="1:6" ht="15.75" customHeight="1">
      <c r="A821" s="350" t="s">
        <v>1732</v>
      </c>
      <c r="B821" s="351">
        <v>100</v>
      </c>
      <c r="C821" s="351" t="s">
        <v>913</v>
      </c>
      <c r="D821" s="352">
        <v>0.1</v>
      </c>
      <c r="E821" s="352">
        <v>82</v>
      </c>
      <c r="F821" s="352">
        <v>0.4</v>
      </c>
    </row>
    <row r="822" spans="1:6" ht="15.75" customHeight="1">
      <c r="A822" s="350" t="s">
        <v>1733</v>
      </c>
      <c r="B822" s="351">
        <v>100</v>
      </c>
      <c r="C822" s="351" t="s">
        <v>913</v>
      </c>
      <c r="D822" s="352">
        <v>0.1</v>
      </c>
      <c r="E822" s="352">
        <v>58</v>
      </c>
      <c r="F822" s="352">
        <v>0.3</v>
      </c>
    </row>
    <row r="823" spans="1:6" ht="15.75" customHeight="1">
      <c r="A823" s="350" t="s">
        <v>1734</v>
      </c>
      <c r="B823" s="351">
        <v>100</v>
      </c>
      <c r="C823" s="351" t="s">
        <v>913</v>
      </c>
      <c r="D823" s="352">
        <v>0.1</v>
      </c>
      <c r="E823" s="352">
        <v>85.5</v>
      </c>
      <c r="F823" s="352">
        <v>0.4</v>
      </c>
    </row>
    <row r="824" spans="1:6" ht="15.75" customHeight="1">
      <c r="A824" s="350" t="s">
        <v>1735</v>
      </c>
      <c r="B824" s="351">
        <v>100</v>
      </c>
      <c r="C824" s="351" t="s">
        <v>913</v>
      </c>
      <c r="D824" s="352">
        <v>0.1</v>
      </c>
      <c r="E824" s="352">
        <v>80.5</v>
      </c>
      <c r="F824" s="352">
        <v>0.4</v>
      </c>
    </row>
    <row r="825" spans="1:6" ht="15.75" customHeight="1">
      <c r="A825" s="350" t="s">
        <v>1736</v>
      </c>
      <c r="B825" s="351">
        <v>100</v>
      </c>
      <c r="C825" s="351" t="s">
        <v>913</v>
      </c>
      <c r="D825" s="352">
        <v>0.1</v>
      </c>
      <c r="E825" s="352">
        <v>80</v>
      </c>
      <c r="F825" s="352">
        <v>0.4</v>
      </c>
    </row>
    <row r="826" spans="1:6" ht="15.75" customHeight="1">
      <c r="A826" s="350" t="s">
        <v>1737</v>
      </c>
      <c r="B826" s="351">
        <v>100</v>
      </c>
      <c r="C826" s="351" t="s">
        <v>913</v>
      </c>
      <c r="D826" s="352">
        <v>1</v>
      </c>
      <c r="E826" s="352">
        <v>74.3</v>
      </c>
      <c r="F826" s="352">
        <v>4.4000000000000004</v>
      </c>
    </row>
    <row r="827" spans="1:6" ht="15.75" customHeight="1">
      <c r="A827" s="350" t="s">
        <v>1738</v>
      </c>
      <c r="B827" s="351">
        <v>100</v>
      </c>
      <c r="C827" s="351" t="s">
        <v>913</v>
      </c>
      <c r="D827" s="352">
        <v>0.1</v>
      </c>
      <c r="E827" s="352">
        <v>0</v>
      </c>
      <c r="F827" s="352">
        <v>69.7</v>
      </c>
    </row>
    <row r="828" spans="1:6" ht="15.75" customHeight="1">
      <c r="A828" s="350" t="s">
        <v>1739</v>
      </c>
      <c r="B828" s="351">
        <v>100</v>
      </c>
      <c r="C828" s="351" t="s">
        <v>913</v>
      </c>
      <c r="D828" s="352">
        <v>0.3</v>
      </c>
      <c r="E828" s="352">
        <v>0.2</v>
      </c>
      <c r="F828" s="352">
        <v>9.3000000000000007</v>
      </c>
    </row>
    <row r="829" spans="1:6" ht="15.75" customHeight="1">
      <c r="A829" s="350" t="s">
        <v>1740</v>
      </c>
      <c r="B829" s="351">
        <v>100</v>
      </c>
      <c r="C829" s="351" t="s">
        <v>913</v>
      </c>
      <c r="D829" s="352">
        <v>17.899999999999999</v>
      </c>
      <c r="E829" s="352">
        <v>0.1</v>
      </c>
      <c r="F829" s="352">
        <v>0</v>
      </c>
    </row>
    <row r="830" spans="1:6" ht="15.75" customHeight="1">
      <c r="A830" s="350" t="s">
        <v>1741</v>
      </c>
      <c r="B830" s="351">
        <v>100</v>
      </c>
      <c r="C830" s="351" t="s">
        <v>913</v>
      </c>
      <c r="D830" s="352">
        <v>17.2</v>
      </c>
      <c r="E830" s="352">
        <v>0.1</v>
      </c>
      <c r="F830" s="352">
        <v>0</v>
      </c>
    </row>
    <row r="831" spans="1:6" ht="15.75" customHeight="1">
      <c r="A831" s="350" t="s">
        <v>1742</v>
      </c>
      <c r="B831" s="351">
        <v>100</v>
      </c>
      <c r="C831" s="351" t="s">
        <v>913</v>
      </c>
      <c r="D831" s="352">
        <v>2.8</v>
      </c>
      <c r="E831" s="352">
        <v>0.6</v>
      </c>
      <c r="F831" s="352">
        <v>13.3</v>
      </c>
    </row>
    <row r="832" spans="1:6" ht="15.75" customHeight="1">
      <c r="A832" s="350" t="s">
        <v>1743</v>
      </c>
      <c r="B832" s="351">
        <v>100</v>
      </c>
      <c r="C832" s="351" t="s">
        <v>913</v>
      </c>
      <c r="D832" s="352">
        <v>13.9</v>
      </c>
      <c r="E832" s="352">
        <v>3.1</v>
      </c>
      <c r="F832" s="352">
        <v>67.599999999999994</v>
      </c>
    </row>
    <row r="833" spans="1:6" ht="15.75" customHeight="1">
      <c r="A833" s="350" t="s">
        <v>1744</v>
      </c>
      <c r="B833" s="351">
        <v>100</v>
      </c>
      <c r="C833" s="351" t="s">
        <v>913</v>
      </c>
      <c r="D833" s="352">
        <v>2.6</v>
      </c>
      <c r="E833" s="352">
        <v>1</v>
      </c>
      <c r="F833" s="352">
        <v>4.4000000000000004</v>
      </c>
    </row>
    <row r="834" spans="1:6" ht="15.75" customHeight="1">
      <c r="A834" s="350" t="s">
        <v>1745</v>
      </c>
      <c r="B834" s="351">
        <v>100</v>
      </c>
      <c r="C834" s="351" t="s">
        <v>913</v>
      </c>
      <c r="D834" s="352">
        <v>5</v>
      </c>
      <c r="E834" s="352">
        <v>27.5</v>
      </c>
      <c r="F834" s="352">
        <v>31.8</v>
      </c>
    </row>
    <row r="835" spans="1:6" ht="15.75" customHeight="1">
      <c r="A835" s="350" t="s">
        <v>1746</v>
      </c>
      <c r="B835" s="351">
        <v>100</v>
      </c>
      <c r="C835" s="351" t="s">
        <v>913</v>
      </c>
      <c r="D835" s="352">
        <v>12.4</v>
      </c>
      <c r="E835" s="352">
        <v>1.8</v>
      </c>
      <c r="F835" s="352">
        <v>70</v>
      </c>
    </row>
    <row r="836" spans="1:6" ht="15.75" customHeight="1">
      <c r="A836" s="350" t="s">
        <v>1747</v>
      </c>
      <c r="B836" s="351">
        <v>100</v>
      </c>
      <c r="C836" s="351" t="s">
        <v>913</v>
      </c>
      <c r="D836" s="352">
        <v>4</v>
      </c>
      <c r="E836" s="352">
        <v>0.7</v>
      </c>
      <c r="F836" s="352">
        <v>22.6</v>
      </c>
    </row>
    <row r="837" spans="1:6" ht="15.75" customHeight="1">
      <c r="A837" s="350" t="s">
        <v>1748</v>
      </c>
      <c r="B837" s="351">
        <v>100</v>
      </c>
      <c r="C837" s="351" t="s">
        <v>913</v>
      </c>
      <c r="D837" s="352">
        <v>12</v>
      </c>
      <c r="E837" s="352">
        <v>2.1</v>
      </c>
      <c r="F837" s="352">
        <v>71.400000000000006</v>
      </c>
    </row>
    <row r="838" spans="1:6" ht="15.75" customHeight="1">
      <c r="A838" s="350" t="s">
        <v>1749</v>
      </c>
      <c r="B838" s="351">
        <v>100</v>
      </c>
      <c r="C838" s="351" t="s">
        <v>913</v>
      </c>
      <c r="D838" s="352">
        <v>7.8</v>
      </c>
      <c r="E838" s="352">
        <v>4.8</v>
      </c>
      <c r="F838" s="352">
        <v>52.5</v>
      </c>
    </row>
    <row r="839" spans="1:6" ht="15.75" customHeight="1">
      <c r="A839" s="350" t="s">
        <v>1750</v>
      </c>
      <c r="B839" s="351">
        <v>100</v>
      </c>
      <c r="C839" s="351" t="s">
        <v>913</v>
      </c>
      <c r="D839" s="352">
        <v>5.5</v>
      </c>
      <c r="E839" s="352">
        <v>29.2</v>
      </c>
      <c r="F839" s="352">
        <v>52.4</v>
      </c>
    </row>
    <row r="840" spans="1:6" ht="15.75" customHeight="1">
      <c r="A840" s="350" t="s">
        <v>1751</v>
      </c>
      <c r="B840" s="351">
        <v>100</v>
      </c>
      <c r="C840" s="351" t="s">
        <v>913</v>
      </c>
      <c r="D840" s="352">
        <v>12.7</v>
      </c>
      <c r="E840" s="352">
        <v>4.2</v>
      </c>
      <c r="F840" s="352">
        <v>14.8</v>
      </c>
    </row>
    <row r="841" spans="1:6" ht="15.75" customHeight="1">
      <c r="A841" s="350" t="s">
        <v>1752</v>
      </c>
      <c r="B841" s="351">
        <v>100</v>
      </c>
      <c r="C841" s="351" t="s">
        <v>913</v>
      </c>
      <c r="D841" s="352">
        <v>0.5</v>
      </c>
      <c r="E841" s="352">
        <v>0</v>
      </c>
      <c r="F841" s="352">
        <v>78</v>
      </c>
    </row>
    <row r="842" spans="1:6" ht="15.75" customHeight="1">
      <c r="A842" s="350" t="s">
        <v>1753</v>
      </c>
      <c r="B842" s="351">
        <v>100</v>
      </c>
      <c r="C842" s="351" t="s">
        <v>913</v>
      </c>
      <c r="D842" s="352">
        <v>0.6</v>
      </c>
      <c r="E842" s="352">
        <v>0.1</v>
      </c>
      <c r="F842" s="352">
        <v>66.599999999999994</v>
      </c>
    </row>
    <row r="843" spans="1:6" ht="15.75" customHeight="1">
      <c r="A843" s="350" t="s">
        <v>1754</v>
      </c>
      <c r="B843" s="351">
        <v>100</v>
      </c>
      <c r="C843" s="351" t="s">
        <v>913</v>
      </c>
      <c r="D843" s="352">
        <v>0.4</v>
      </c>
      <c r="E843" s="352">
        <v>0.2</v>
      </c>
      <c r="F843" s="352">
        <v>5.5</v>
      </c>
    </row>
    <row r="844" spans="1:6" ht="15.75" customHeight="1">
      <c r="A844" s="350" t="s">
        <v>1755</v>
      </c>
      <c r="B844" s="351">
        <v>100</v>
      </c>
      <c r="C844" s="351" t="s">
        <v>913</v>
      </c>
      <c r="D844" s="352">
        <v>0.6</v>
      </c>
      <c r="E844" s="352">
        <v>0.3</v>
      </c>
      <c r="F844" s="352">
        <v>5.7</v>
      </c>
    </row>
    <row r="845" spans="1:6" ht="15.75" customHeight="1">
      <c r="A845" s="350" t="s">
        <v>1756</v>
      </c>
      <c r="B845" s="351">
        <v>100</v>
      </c>
      <c r="C845" s="351" t="s">
        <v>913</v>
      </c>
      <c r="D845" s="352">
        <v>0.3</v>
      </c>
      <c r="E845" s="352">
        <v>0</v>
      </c>
      <c r="F845" s="352">
        <v>77.400000000000006</v>
      </c>
    </row>
    <row r="846" spans="1:6" ht="15.75" customHeight="1">
      <c r="A846" s="350" t="s">
        <v>1757</v>
      </c>
      <c r="B846" s="351">
        <v>100</v>
      </c>
      <c r="C846" s="351" t="s">
        <v>913</v>
      </c>
      <c r="D846" s="352">
        <v>0.6</v>
      </c>
      <c r="E846" s="352">
        <v>0.1</v>
      </c>
      <c r="F846" s="352">
        <v>4.2</v>
      </c>
    </row>
    <row r="847" spans="1:6" ht="15.75" customHeight="1">
      <c r="A847" s="350" t="s">
        <v>1758</v>
      </c>
      <c r="B847" s="351">
        <v>100</v>
      </c>
      <c r="C847" s="351" t="s">
        <v>913</v>
      </c>
      <c r="D847" s="352">
        <v>4.0999999999999996</v>
      </c>
      <c r="E847" s="352">
        <v>0.5</v>
      </c>
      <c r="F847" s="352">
        <v>83</v>
      </c>
    </row>
    <row r="848" spans="1:6" ht="15.75" customHeight="1">
      <c r="A848" s="350" t="s">
        <v>1759</v>
      </c>
      <c r="B848" s="351">
        <v>100</v>
      </c>
      <c r="C848" s="351" t="s">
        <v>913</v>
      </c>
      <c r="D848" s="352">
        <v>16.8</v>
      </c>
      <c r="E848" s="352">
        <v>2.1</v>
      </c>
      <c r="F848" s="352">
        <v>2.8</v>
      </c>
    </row>
    <row r="849" spans="1:6" ht="15.75" customHeight="1">
      <c r="A849" s="350" t="s">
        <v>1760</v>
      </c>
      <c r="B849" s="351">
        <v>100</v>
      </c>
      <c r="C849" s="351" t="s">
        <v>913</v>
      </c>
      <c r="D849" s="352">
        <v>12.1</v>
      </c>
      <c r="E849" s="352">
        <v>1.5</v>
      </c>
      <c r="F849" s="352">
        <v>2</v>
      </c>
    </row>
    <row r="850" spans="1:6" ht="15.75" customHeight="1">
      <c r="A850" s="350" t="s">
        <v>1761</v>
      </c>
      <c r="B850" s="351">
        <v>100</v>
      </c>
      <c r="C850" s="351" t="s">
        <v>913</v>
      </c>
      <c r="D850" s="352">
        <v>0.4</v>
      </c>
      <c r="E850" s="352">
        <v>0.2</v>
      </c>
      <c r="F850" s="352">
        <v>90.2</v>
      </c>
    </row>
    <row r="851" spans="1:6" ht="15.75" customHeight="1">
      <c r="A851" s="350" t="s">
        <v>1762</v>
      </c>
      <c r="B851" s="351">
        <v>100</v>
      </c>
      <c r="C851" s="351" t="s">
        <v>913</v>
      </c>
      <c r="D851" s="352">
        <v>2.8</v>
      </c>
      <c r="E851" s="352">
        <v>1.7</v>
      </c>
      <c r="F851" s="352">
        <v>18.399999999999999</v>
      </c>
    </row>
    <row r="852" spans="1:6" ht="15.75" customHeight="1">
      <c r="A852" s="350" t="s">
        <v>1763</v>
      </c>
      <c r="B852" s="351">
        <v>100</v>
      </c>
      <c r="C852" s="351" t="s">
        <v>913</v>
      </c>
      <c r="D852" s="352">
        <v>9.3000000000000007</v>
      </c>
      <c r="E852" s="352">
        <v>4.9000000000000004</v>
      </c>
      <c r="F852" s="352">
        <v>70.3</v>
      </c>
    </row>
    <row r="853" spans="1:6" ht="15.75" customHeight="1">
      <c r="A853" s="350" t="s">
        <v>1764</v>
      </c>
      <c r="B853" s="351">
        <v>100</v>
      </c>
      <c r="C853" s="351" t="s">
        <v>913</v>
      </c>
      <c r="D853" s="352">
        <v>0.9</v>
      </c>
      <c r="E853" s="352">
        <v>41.6</v>
      </c>
      <c r="F853" s="352">
        <v>0.4</v>
      </c>
    </row>
    <row r="854" spans="1:6" ht="15.75" customHeight="1">
      <c r="A854" s="350" t="s">
        <v>1765</v>
      </c>
      <c r="B854" s="351">
        <v>100</v>
      </c>
      <c r="C854" s="351" t="s">
        <v>913</v>
      </c>
      <c r="D854" s="352">
        <v>0.5</v>
      </c>
      <c r="E854" s="352">
        <v>0.6</v>
      </c>
      <c r="F854" s="352">
        <v>6.4</v>
      </c>
    </row>
    <row r="855" spans="1:6" ht="15.75" customHeight="1">
      <c r="A855" s="350" t="s">
        <v>1766</v>
      </c>
      <c r="B855" s="351">
        <v>100</v>
      </c>
      <c r="C855" s="351" t="s">
        <v>913</v>
      </c>
      <c r="D855" s="352">
        <v>3.7</v>
      </c>
      <c r="E855" s="352">
        <v>4.4000000000000004</v>
      </c>
      <c r="F855" s="352">
        <v>46.8</v>
      </c>
    </row>
    <row r="856" spans="1:6" ht="15.75" customHeight="1">
      <c r="A856" s="350" t="s">
        <v>1767</v>
      </c>
      <c r="B856" s="351">
        <v>100</v>
      </c>
      <c r="C856" s="351" t="s">
        <v>913</v>
      </c>
      <c r="D856" s="352">
        <v>4</v>
      </c>
      <c r="E856" s="352">
        <v>8.4</v>
      </c>
      <c r="F856" s="352">
        <v>9.6</v>
      </c>
    </row>
    <row r="857" spans="1:6" ht="15.75" customHeight="1">
      <c r="A857" s="350" t="s">
        <v>1768</v>
      </c>
      <c r="B857" s="351">
        <v>100</v>
      </c>
      <c r="C857" s="351" t="s">
        <v>913</v>
      </c>
      <c r="D857" s="352">
        <v>3.6</v>
      </c>
      <c r="E857" s="352">
        <v>9.5</v>
      </c>
      <c r="F857" s="352">
        <v>9.9</v>
      </c>
    </row>
    <row r="858" spans="1:6" ht="15.75" customHeight="1">
      <c r="A858" s="350" t="s">
        <v>1769</v>
      </c>
      <c r="B858" s="351">
        <v>100</v>
      </c>
      <c r="C858" s="351" t="s">
        <v>913</v>
      </c>
      <c r="D858" s="352">
        <v>1.1000000000000001</v>
      </c>
      <c r="E858" s="352">
        <v>9.1999999999999993</v>
      </c>
      <c r="F858" s="352">
        <v>6.8</v>
      </c>
    </row>
    <row r="859" spans="1:6" ht="15.75" customHeight="1">
      <c r="A859" s="350" t="s">
        <v>1770</v>
      </c>
      <c r="B859" s="351">
        <v>100</v>
      </c>
      <c r="C859" s="351" t="s">
        <v>913</v>
      </c>
      <c r="D859" s="352">
        <v>4.4000000000000004</v>
      </c>
      <c r="E859" s="352">
        <v>16.8</v>
      </c>
      <c r="F859" s="352">
        <v>18.5</v>
      </c>
    </row>
    <row r="860" spans="1:6" ht="15.75" customHeight="1">
      <c r="A860" s="350" t="s">
        <v>1771</v>
      </c>
      <c r="B860" s="351">
        <v>100</v>
      </c>
      <c r="C860" s="351" t="s">
        <v>913</v>
      </c>
      <c r="D860" s="352">
        <v>2</v>
      </c>
      <c r="E860" s="352">
        <v>41</v>
      </c>
      <c r="F860" s="352">
        <v>0.4</v>
      </c>
    </row>
    <row r="861" spans="1:6" ht="15.75" customHeight="1">
      <c r="A861" s="350" t="s">
        <v>1772</v>
      </c>
      <c r="B861" s="351">
        <v>100</v>
      </c>
      <c r="C861" s="351" t="s">
        <v>913</v>
      </c>
      <c r="D861" s="352">
        <v>2.1</v>
      </c>
      <c r="E861" s="352">
        <v>64</v>
      </c>
      <c r="F861" s="352">
        <v>0.3</v>
      </c>
    </row>
    <row r="862" spans="1:6" ht="15.75" customHeight="1">
      <c r="A862" s="350" t="s">
        <v>1773</v>
      </c>
      <c r="B862" s="351">
        <v>100</v>
      </c>
      <c r="C862" s="351" t="s">
        <v>913</v>
      </c>
      <c r="D862" s="352">
        <v>1.9</v>
      </c>
      <c r="E862" s="352">
        <v>56</v>
      </c>
      <c r="F862" s="352">
        <v>0.4</v>
      </c>
    </row>
    <row r="863" spans="1:6" ht="15.75" customHeight="1">
      <c r="A863" s="350" t="s">
        <v>1774</v>
      </c>
      <c r="B863" s="351">
        <v>100</v>
      </c>
      <c r="C863" s="351" t="s">
        <v>913</v>
      </c>
      <c r="D863" s="352">
        <v>1.7</v>
      </c>
      <c r="E863" s="352">
        <v>27.9</v>
      </c>
      <c r="F863" s="352">
        <v>0.4</v>
      </c>
    </row>
    <row r="864" spans="1:6" ht="15.75" customHeight="1">
      <c r="A864" s="350" t="s">
        <v>1775</v>
      </c>
      <c r="B864" s="351">
        <v>100</v>
      </c>
      <c r="C864" s="351" t="s">
        <v>913</v>
      </c>
      <c r="D864" s="352">
        <v>1.3</v>
      </c>
      <c r="E864" s="352">
        <v>28.5</v>
      </c>
      <c r="F864" s="352">
        <v>1.3</v>
      </c>
    </row>
    <row r="865" spans="1:6" ht="15.75" customHeight="1">
      <c r="A865" s="350" t="s">
        <v>1776</v>
      </c>
      <c r="B865" s="351">
        <v>100</v>
      </c>
      <c r="C865" s="351" t="s">
        <v>913</v>
      </c>
      <c r="D865" s="352">
        <v>2.2000000000000002</v>
      </c>
      <c r="E865" s="352">
        <v>60.2</v>
      </c>
      <c r="F865" s="352">
        <v>0</v>
      </c>
    </row>
    <row r="866" spans="1:6" ht="15.75" customHeight="1">
      <c r="A866" s="350" t="s">
        <v>1777</v>
      </c>
      <c r="B866" s="351">
        <v>100</v>
      </c>
      <c r="C866" s="351" t="s">
        <v>913</v>
      </c>
      <c r="D866" s="352">
        <v>2.2999999999999998</v>
      </c>
      <c r="E866" s="352">
        <v>54.3</v>
      </c>
      <c r="F866" s="352">
        <v>0.1</v>
      </c>
    </row>
    <row r="867" spans="1:6" ht="15.75" customHeight="1">
      <c r="A867" s="350" t="s">
        <v>1778</v>
      </c>
      <c r="B867" s="351">
        <v>100</v>
      </c>
      <c r="C867" s="351" t="s">
        <v>913</v>
      </c>
      <c r="D867" s="352">
        <v>2.2999999999999998</v>
      </c>
      <c r="E867" s="352">
        <v>48.5</v>
      </c>
      <c r="F867" s="352">
        <v>0.2</v>
      </c>
    </row>
    <row r="868" spans="1:6" ht="15.75" customHeight="1">
      <c r="A868" s="350" t="s">
        <v>1779</v>
      </c>
      <c r="B868" s="351">
        <v>100</v>
      </c>
      <c r="C868" s="351" t="s">
        <v>913</v>
      </c>
      <c r="D868" s="352">
        <v>2.2000000000000002</v>
      </c>
      <c r="E868" s="352">
        <v>37.799999999999997</v>
      </c>
      <c r="F868" s="352">
        <v>0.2</v>
      </c>
    </row>
    <row r="869" spans="1:6" ht="15.75" customHeight="1">
      <c r="A869" s="350" t="s">
        <v>1780</v>
      </c>
      <c r="B869" s="351">
        <v>100</v>
      </c>
      <c r="C869" s="351" t="s">
        <v>913</v>
      </c>
      <c r="D869" s="352">
        <v>2.2000000000000002</v>
      </c>
      <c r="E869" s="352">
        <v>40.299999999999997</v>
      </c>
      <c r="F869" s="352">
        <v>0.2</v>
      </c>
    </row>
    <row r="870" spans="1:6" ht="15.75" customHeight="1">
      <c r="A870" s="350" t="s">
        <v>1781</v>
      </c>
      <c r="B870" s="351">
        <v>100</v>
      </c>
      <c r="C870" s="351" t="s">
        <v>913</v>
      </c>
      <c r="D870" s="352">
        <v>2.6</v>
      </c>
      <c r="E870" s="352">
        <v>40.200000000000003</v>
      </c>
      <c r="F870" s="352">
        <v>18</v>
      </c>
    </row>
    <row r="871" spans="1:6" ht="15.75" customHeight="1">
      <c r="A871" s="350" t="s">
        <v>1782</v>
      </c>
      <c r="B871" s="351">
        <v>100</v>
      </c>
      <c r="C871" s="351" t="s">
        <v>913</v>
      </c>
      <c r="D871" s="352">
        <v>4.7</v>
      </c>
      <c r="E871" s="352">
        <v>0</v>
      </c>
      <c r="F871" s="352">
        <v>17.3</v>
      </c>
    </row>
    <row r="872" spans="1:6" ht="15.75" customHeight="1">
      <c r="A872" s="350" t="s">
        <v>1783</v>
      </c>
      <c r="B872" s="351">
        <v>100</v>
      </c>
      <c r="C872" s="351" t="s">
        <v>913</v>
      </c>
      <c r="D872" s="352">
        <v>1.1000000000000001</v>
      </c>
      <c r="E872" s="352">
        <v>8.8000000000000007</v>
      </c>
      <c r="F872" s="352">
        <v>4.9000000000000004</v>
      </c>
    </row>
    <row r="873" spans="1:6" ht="15.75" customHeight="1">
      <c r="A873" s="350" t="s">
        <v>1784</v>
      </c>
      <c r="B873" s="351">
        <v>100</v>
      </c>
      <c r="C873" s="351" t="s">
        <v>913</v>
      </c>
      <c r="D873" s="352">
        <v>1.7</v>
      </c>
      <c r="E873" s="352">
        <v>0.3</v>
      </c>
      <c r="F873" s="352">
        <v>26.9</v>
      </c>
    </row>
    <row r="874" spans="1:6" ht="15.75" customHeight="1">
      <c r="A874" s="350" t="s">
        <v>1785</v>
      </c>
      <c r="B874" s="351">
        <v>100</v>
      </c>
      <c r="C874" s="351" t="s">
        <v>913</v>
      </c>
      <c r="D874" s="352">
        <v>0.2</v>
      </c>
      <c r="E874" s="352">
        <v>71.8</v>
      </c>
      <c r="F874" s="352">
        <v>0.2</v>
      </c>
    </row>
    <row r="875" spans="1:6" ht="15.75" customHeight="1">
      <c r="A875" s="350" t="s">
        <v>1786</v>
      </c>
      <c r="B875" s="351">
        <v>100</v>
      </c>
      <c r="C875" s="351" t="s">
        <v>913</v>
      </c>
      <c r="D875" s="352">
        <v>1.1000000000000001</v>
      </c>
      <c r="E875" s="352">
        <v>2.6</v>
      </c>
      <c r="F875" s="352">
        <v>4.8</v>
      </c>
    </row>
    <row r="876" spans="1:6" ht="15.75" customHeight="1">
      <c r="A876" s="350" t="s">
        <v>1787</v>
      </c>
      <c r="B876" s="351">
        <v>100</v>
      </c>
      <c r="C876" s="351" t="s">
        <v>913</v>
      </c>
      <c r="D876" s="352">
        <v>0.7</v>
      </c>
      <c r="E876" s="352">
        <v>25.6</v>
      </c>
      <c r="F876" s="352">
        <v>2.2999999999999998</v>
      </c>
    </row>
    <row r="877" spans="1:6" ht="15.75" customHeight="1">
      <c r="A877" s="350" t="s">
        <v>1788</v>
      </c>
      <c r="B877" s="351">
        <v>100</v>
      </c>
      <c r="C877" s="351" t="s">
        <v>913</v>
      </c>
      <c r="D877" s="352">
        <v>0.6</v>
      </c>
      <c r="E877" s="352">
        <v>0.4</v>
      </c>
      <c r="F877" s="352">
        <v>5.3</v>
      </c>
    </row>
    <row r="878" spans="1:6" ht="15.75" customHeight="1">
      <c r="A878" s="350" t="s">
        <v>1789</v>
      </c>
      <c r="B878" s="351">
        <v>100</v>
      </c>
      <c r="C878" s="351" t="s">
        <v>913</v>
      </c>
      <c r="D878" s="352">
        <v>5.8</v>
      </c>
      <c r="E878" s="352">
        <v>3.8</v>
      </c>
      <c r="F878" s="352">
        <v>50.9</v>
      </c>
    </row>
    <row r="879" spans="1:6" ht="15.75" customHeight="1">
      <c r="A879" s="350" t="s">
        <v>1790</v>
      </c>
      <c r="B879" s="351">
        <v>100</v>
      </c>
      <c r="C879" s="351" t="s">
        <v>913</v>
      </c>
      <c r="D879" s="352">
        <v>12</v>
      </c>
      <c r="E879" s="352">
        <v>29.5</v>
      </c>
      <c r="F879" s="352">
        <v>12</v>
      </c>
    </row>
    <row r="880" spans="1:6" ht="15.75" customHeight="1">
      <c r="A880" s="350" t="s">
        <v>1791</v>
      </c>
      <c r="B880" s="351">
        <v>100</v>
      </c>
      <c r="C880" s="351" t="s">
        <v>913</v>
      </c>
      <c r="D880" s="352">
        <v>12.9</v>
      </c>
      <c r="E880" s="352">
        <v>25.9</v>
      </c>
      <c r="F880" s="352">
        <v>13.1</v>
      </c>
    </row>
    <row r="881" spans="1:6" ht="15.75" customHeight="1">
      <c r="A881" s="350" t="s">
        <v>1792</v>
      </c>
      <c r="B881" s="351">
        <v>100</v>
      </c>
      <c r="C881" s="351" t="s">
        <v>913</v>
      </c>
      <c r="D881" s="352">
        <v>18.3</v>
      </c>
      <c r="E881" s="352">
        <v>33.200000000000003</v>
      </c>
      <c r="F881" s="352">
        <v>1.7</v>
      </c>
    </row>
    <row r="882" spans="1:6" ht="15.75" customHeight="1">
      <c r="A882" s="350" t="s">
        <v>1793</v>
      </c>
      <c r="B882" s="351">
        <v>100</v>
      </c>
      <c r="C882" s="351" t="s">
        <v>913</v>
      </c>
      <c r="D882" s="352">
        <v>9.5</v>
      </c>
      <c r="E882" s="352">
        <v>13.1</v>
      </c>
      <c r="F882" s="352">
        <v>31</v>
      </c>
    </row>
    <row r="883" spans="1:6" ht="15.75" customHeight="1">
      <c r="A883" s="350" t="s">
        <v>1794</v>
      </c>
      <c r="B883" s="351">
        <v>100</v>
      </c>
      <c r="C883" s="351" t="s">
        <v>913</v>
      </c>
      <c r="D883" s="352">
        <v>2.8</v>
      </c>
      <c r="E883" s="352">
        <v>0.1</v>
      </c>
      <c r="F883" s="352">
        <v>16.3</v>
      </c>
    </row>
    <row r="884" spans="1:6" ht="15.75" customHeight="1">
      <c r="A884" s="350" t="s">
        <v>1795</v>
      </c>
      <c r="B884" s="351">
        <v>100</v>
      </c>
      <c r="C884" s="351" t="s">
        <v>913</v>
      </c>
      <c r="D884" s="352">
        <v>2</v>
      </c>
      <c r="E884" s="352">
        <v>0</v>
      </c>
      <c r="F884" s="352">
        <v>1</v>
      </c>
    </row>
    <row r="885" spans="1:6" ht="15.75" customHeight="1">
      <c r="A885" s="350" t="s">
        <v>1796</v>
      </c>
      <c r="B885" s="351">
        <v>100</v>
      </c>
      <c r="C885" s="351" t="s">
        <v>913</v>
      </c>
      <c r="D885" s="352">
        <v>0.4</v>
      </c>
      <c r="E885" s="352">
        <v>0.4</v>
      </c>
      <c r="F885" s="352">
        <v>2.2999999999999998</v>
      </c>
    </row>
    <row r="886" spans="1:6" ht="15.75" customHeight="1">
      <c r="A886" s="350" t="s">
        <v>1797</v>
      </c>
      <c r="B886" s="351">
        <v>100</v>
      </c>
      <c r="C886" s="351" t="s">
        <v>913</v>
      </c>
      <c r="D886" s="352">
        <v>0.4</v>
      </c>
      <c r="E886" s="352">
        <v>0.4</v>
      </c>
      <c r="F886" s="352">
        <v>3</v>
      </c>
    </row>
    <row r="887" spans="1:6" ht="15.75" customHeight="1">
      <c r="A887" s="350" t="s">
        <v>1798</v>
      </c>
      <c r="B887" s="351">
        <v>100</v>
      </c>
      <c r="C887" s="351" t="s">
        <v>913</v>
      </c>
      <c r="D887" s="352">
        <v>1.9</v>
      </c>
      <c r="E887" s="352">
        <v>32</v>
      </c>
      <c r="F887" s="352">
        <v>2.7</v>
      </c>
    </row>
    <row r="888" spans="1:6" ht="15.75" customHeight="1">
      <c r="A888" s="350" t="s">
        <v>1799</v>
      </c>
      <c r="B888" s="351">
        <v>100</v>
      </c>
      <c r="C888" s="351" t="s">
        <v>913</v>
      </c>
      <c r="D888" s="352">
        <v>2.2000000000000002</v>
      </c>
      <c r="E888" s="352">
        <v>34</v>
      </c>
      <c r="F888" s="352">
        <v>2.1</v>
      </c>
    </row>
    <row r="889" spans="1:6" ht="15.75" customHeight="1">
      <c r="A889" s="350" t="s">
        <v>1800</v>
      </c>
      <c r="B889" s="351">
        <v>100</v>
      </c>
      <c r="C889" s="351" t="s">
        <v>913</v>
      </c>
      <c r="D889" s="352">
        <v>2</v>
      </c>
      <c r="E889" s="352">
        <v>33</v>
      </c>
      <c r="F889" s="352">
        <v>2.9</v>
      </c>
    </row>
    <row r="890" spans="1:6" ht="15.75" customHeight="1">
      <c r="A890" s="350" t="s">
        <v>1801</v>
      </c>
      <c r="B890" s="351">
        <v>100</v>
      </c>
      <c r="C890" s="351" t="s">
        <v>913</v>
      </c>
      <c r="D890" s="352">
        <v>2</v>
      </c>
      <c r="E890" s="352">
        <v>36</v>
      </c>
      <c r="F890" s="352">
        <v>1.9</v>
      </c>
    </row>
    <row r="891" spans="1:6" ht="15.75" customHeight="1">
      <c r="A891" s="350" t="s">
        <v>1802</v>
      </c>
      <c r="B891" s="351">
        <v>100</v>
      </c>
      <c r="C891" s="351" t="s">
        <v>913</v>
      </c>
      <c r="D891" s="352">
        <v>2</v>
      </c>
      <c r="E891" s="352">
        <v>15</v>
      </c>
      <c r="F891" s="352">
        <v>2.4</v>
      </c>
    </row>
    <row r="892" spans="1:6" ht="15.75" customHeight="1">
      <c r="A892" s="350" t="s">
        <v>1803</v>
      </c>
      <c r="B892" s="351">
        <v>100</v>
      </c>
      <c r="C892" s="351" t="s">
        <v>913</v>
      </c>
      <c r="D892" s="352">
        <v>1.8</v>
      </c>
      <c r="E892" s="352">
        <v>35</v>
      </c>
      <c r="F892" s="352">
        <v>3.1</v>
      </c>
    </row>
    <row r="893" spans="1:6" ht="15.75" customHeight="1">
      <c r="A893" s="350" t="s">
        <v>1804</v>
      </c>
      <c r="B893" s="351">
        <v>100</v>
      </c>
      <c r="C893" s="351" t="s">
        <v>913</v>
      </c>
      <c r="D893" s="352">
        <v>0.2</v>
      </c>
      <c r="E893" s="352">
        <v>0.1</v>
      </c>
      <c r="F893" s="352">
        <v>12.9</v>
      </c>
    </row>
    <row r="894" spans="1:6" ht="15.75" customHeight="1">
      <c r="A894" s="350" t="s">
        <v>1805</v>
      </c>
      <c r="B894" s="351">
        <v>100</v>
      </c>
      <c r="C894" s="351" t="s">
        <v>913</v>
      </c>
      <c r="D894" s="352">
        <v>0.2</v>
      </c>
      <c r="E894" s="352">
        <v>0.1</v>
      </c>
      <c r="F894" s="352">
        <v>10.5</v>
      </c>
    </row>
    <row r="895" spans="1:6" ht="15.75" customHeight="1">
      <c r="A895" s="350" t="s">
        <v>1806</v>
      </c>
      <c r="B895" s="351">
        <v>100</v>
      </c>
      <c r="C895" s="351" t="s">
        <v>913</v>
      </c>
      <c r="D895" s="352">
        <v>0.2</v>
      </c>
      <c r="E895" s="352">
        <v>0.1</v>
      </c>
      <c r="F895" s="352">
        <v>9.6</v>
      </c>
    </row>
    <row r="896" spans="1:6" ht="15.75" customHeight="1">
      <c r="A896" s="350" t="s">
        <v>1807</v>
      </c>
      <c r="B896" s="351">
        <v>100</v>
      </c>
      <c r="C896" s="351" t="s">
        <v>913</v>
      </c>
      <c r="D896" s="352">
        <v>0.1</v>
      </c>
      <c r="E896" s="352">
        <v>0.1</v>
      </c>
      <c r="F896" s="352">
        <v>11.3</v>
      </c>
    </row>
    <row r="897" spans="1:6" ht="15.75" customHeight="1">
      <c r="A897" s="350" t="s">
        <v>1808</v>
      </c>
      <c r="B897" s="351">
        <v>100</v>
      </c>
      <c r="C897" s="351" t="s">
        <v>913</v>
      </c>
      <c r="D897" s="352">
        <v>0.1</v>
      </c>
      <c r="E897" s="352">
        <v>0.2</v>
      </c>
      <c r="F897" s="352">
        <v>4.5999999999999996</v>
      </c>
    </row>
    <row r="898" spans="1:6" ht="15.75" customHeight="1">
      <c r="A898" s="350" t="s">
        <v>1809</v>
      </c>
      <c r="B898" s="351">
        <v>100</v>
      </c>
      <c r="C898" s="351" t="s">
        <v>913</v>
      </c>
      <c r="D898" s="352">
        <v>0.2</v>
      </c>
      <c r="E898" s="352">
        <v>0.1</v>
      </c>
      <c r="F898" s="352">
        <v>11</v>
      </c>
    </row>
    <row r="899" spans="1:6" ht="15.75" customHeight="1">
      <c r="A899" s="350" t="s">
        <v>1810</v>
      </c>
      <c r="B899" s="351">
        <v>100</v>
      </c>
      <c r="C899" s="351" t="s">
        <v>913</v>
      </c>
      <c r="D899" s="352">
        <v>0.2</v>
      </c>
      <c r="E899" s="352">
        <v>0.1</v>
      </c>
      <c r="F899" s="352">
        <v>11.7</v>
      </c>
    </row>
    <row r="900" spans="1:6" ht="15.75" customHeight="1">
      <c r="A900" s="350" t="s">
        <v>1811</v>
      </c>
      <c r="B900" s="351">
        <v>100</v>
      </c>
      <c r="C900" s="351" t="s">
        <v>913</v>
      </c>
      <c r="D900" s="352">
        <v>0.1</v>
      </c>
      <c r="E900" s="352">
        <v>0.1</v>
      </c>
      <c r="F900" s="352">
        <v>3.5</v>
      </c>
    </row>
    <row r="901" spans="1:6" ht="15.75" customHeight="1">
      <c r="A901" s="350" t="s">
        <v>1812</v>
      </c>
      <c r="B901" s="351">
        <v>100</v>
      </c>
      <c r="C901" s="351" t="s">
        <v>913</v>
      </c>
      <c r="D901" s="352">
        <v>0.1</v>
      </c>
      <c r="E901" s="352">
        <v>0.1</v>
      </c>
      <c r="F901" s="352">
        <v>10.8</v>
      </c>
    </row>
    <row r="902" spans="1:6" ht="15.75" customHeight="1">
      <c r="A902" s="350" t="s">
        <v>1813</v>
      </c>
      <c r="B902" s="351">
        <v>100</v>
      </c>
      <c r="C902" s="351" t="s">
        <v>913</v>
      </c>
      <c r="D902" s="352">
        <v>1.4</v>
      </c>
      <c r="E902" s="352">
        <v>0.1</v>
      </c>
      <c r="F902" s="352">
        <v>8.6999999999999993</v>
      </c>
    </row>
    <row r="903" spans="1:6" ht="15.75" customHeight="1">
      <c r="A903" s="350" t="s">
        <v>1814</v>
      </c>
      <c r="B903" s="351">
        <v>100</v>
      </c>
      <c r="C903" s="351" t="s">
        <v>913</v>
      </c>
      <c r="D903" s="352">
        <v>0.4</v>
      </c>
      <c r="E903" s="352">
        <v>0.4</v>
      </c>
      <c r="F903" s="352">
        <v>10.199999999999999</v>
      </c>
    </row>
    <row r="904" spans="1:6" ht="15.75" customHeight="1">
      <c r="A904" s="350" t="s">
        <v>1815</v>
      </c>
      <c r="B904" s="351">
        <v>100</v>
      </c>
      <c r="C904" s="351" t="s">
        <v>913</v>
      </c>
      <c r="D904" s="352">
        <v>8</v>
      </c>
      <c r="E904" s="352">
        <v>76</v>
      </c>
      <c r="F904" s="352">
        <v>5.0999999999999996</v>
      </c>
    </row>
    <row r="905" spans="1:6" ht="15.75" customHeight="1">
      <c r="A905" s="350" t="s">
        <v>1816</v>
      </c>
      <c r="B905" s="351">
        <v>100</v>
      </c>
      <c r="C905" s="351" t="s">
        <v>913</v>
      </c>
      <c r="D905" s="352">
        <v>16.7</v>
      </c>
      <c r="E905" s="352">
        <v>67.5</v>
      </c>
      <c r="F905" s="352">
        <v>3.6</v>
      </c>
    </row>
    <row r="906" spans="1:6" ht="15.75" customHeight="1">
      <c r="A906" s="350" t="s">
        <v>1817</v>
      </c>
      <c r="B906" s="351">
        <v>100</v>
      </c>
      <c r="C906" s="351" t="s">
        <v>913</v>
      </c>
      <c r="D906" s="352">
        <v>5.8</v>
      </c>
      <c r="E906" s="352">
        <v>36.299999999999997</v>
      </c>
      <c r="F906" s="352">
        <v>28.5</v>
      </c>
    </row>
    <row r="907" spans="1:6" ht="15.75" customHeight="1">
      <c r="A907" s="350" t="s">
        <v>1818</v>
      </c>
      <c r="B907" s="351">
        <v>100</v>
      </c>
      <c r="C907" s="351" t="s">
        <v>913</v>
      </c>
      <c r="D907" s="352">
        <v>9.4</v>
      </c>
      <c r="E907" s="352">
        <v>72.599999999999994</v>
      </c>
      <c r="F907" s="352">
        <v>5.4</v>
      </c>
    </row>
    <row r="908" spans="1:6" ht="15.75" customHeight="1">
      <c r="A908" s="350" t="s">
        <v>1819</v>
      </c>
      <c r="B908" s="351">
        <v>100</v>
      </c>
      <c r="C908" s="351" t="s">
        <v>913</v>
      </c>
      <c r="D908" s="352">
        <v>0</v>
      </c>
      <c r="E908" s="352">
        <v>99.5</v>
      </c>
      <c r="F908" s="352">
        <v>0</v>
      </c>
    </row>
    <row r="909" spans="1:6" ht="15.75" customHeight="1">
      <c r="A909" s="350" t="s">
        <v>1820</v>
      </c>
      <c r="B909" s="351">
        <v>100</v>
      </c>
      <c r="C909" s="351" t="s">
        <v>913</v>
      </c>
      <c r="D909" s="352">
        <v>0</v>
      </c>
      <c r="E909" s="352">
        <v>98.5</v>
      </c>
      <c r="F909" s="352">
        <v>0</v>
      </c>
    </row>
    <row r="910" spans="1:6" ht="15.75" customHeight="1">
      <c r="A910" s="350" t="s">
        <v>1821</v>
      </c>
      <c r="B910" s="351">
        <v>100</v>
      </c>
      <c r="C910" s="351" t="s">
        <v>913</v>
      </c>
      <c r="D910" s="352">
        <v>0</v>
      </c>
      <c r="E910" s="352">
        <v>98.5</v>
      </c>
      <c r="F910" s="352">
        <v>0</v>
      </c>
    </row>
    <row r="911" spans="1:6" ht="15.75" customHeight="1">
      <c r="A911" s="350" t="s">
        <v>1822</v>
      </c>
      <c r="B911" s="351">
        <v>100</v>
      </c>
      <c r="C911" s="351" t="s">
        <v>913</v>
      </c>
      <c r="D911" s="352">
        <v>0</v>
      </c>
      <c r="E911" s="352">
        <v>100</v>
      </c>
      <c r="F911" s="352">
        <v>0</v>
      </c>
    </row>
    <row r="912" spans="1:6" ht="15.75" customHeight="1">
      <c r="A912" s="350" t="s">
        <v>1823</v>
      </c>
      <c r="B912" s="351">
        <v>100</v>
      </c>
      <c r="C912" s="351" t="s">
        <v>913</v>
      </c>
      <c r="D912" s="352">
        <v>0</v>
      </c>
      <c r="E912" s="352">
        <v>99.5</v>
      </c>
      <c r="F912" s="352">
        <v>0</v>
      </c>
    </row>
    <row r="913" spans="1:6" ht="15.75" customHeight="1">
      <c r="A913" s="350" t="s">
        <v>1824</v>
      </c>
      <c r="B913" s="351">
        <v>100</v>
      </c>
      <c r="C913" s="351" t="s">
        <v>913</v>
      </c>
      <c r="D913" s="352">
        <v>0</v>
      </c>
      <c r="E913" s="352">
        <v>100</v>
      </c>
      <c r="F913" s="352">
        <v>0</v>
      </c>
    </row>
    <row r="914" spans="1:6" ht="15.75" customHeight="1">
      <c r="A914" s="350" t="s">
        <v>1825</v>
      </c>
      <c r="B914" s="351">
        <v>100</v>
      </c>
      <c r="C914" s="351" t="s">
        <v>913</v>
      </c>
      <c r="D914" s="352">
        <v>0</v>
      </c>
      <c r="E914" s="352">
        <v>100</v>
      </c>
      <c r="F914" s="352">
        <v>0</v>
      </c>
    </row>
    <row r="915" spans="1:6" ht="15.75" customHeight="1">
      <c r="A915" s="350" t="s">
        <v>1826</v>
      </c>
      <c r="B915" s="351">
        <v>100</v>
      </c>
      <c r="C915" s="351" t="s">
        <v>913</v>
      </c>
      <c r="D915" s="352">
        <v>0</v>
      </c>
      <c r="E915" s="352">
        <v>98.5</v>
      </c>
      <c r="F915" s="352">
        <v>0</v>
      </c>
    </row>
    <row r="916" spans="1:6" ht="15.75" customHeight="1">
      <c r="A916" s="350" t="s">
        <v>1827</v>
      </c>
      <c r="B916" s="351">
        <v>100</v>
      </c>
      <c r="C916" s="351" t="s">
        <v>913</v>
      </c>
      <c r="D916" s="352">
        <v>0</v>
      </c>
      <c r="E916" s="352">
        <v>99.5</v>
      </c>
      <c r="F916" s="352">
        <v>0</v>
      </c>
    </row>
    <row r="917" spans="1:6" ht="15.75" customHeight="1">
      <c r="A917" s="350" t="s">
        <v>1828</v>
      </c>
      <c r="B917" s="351">
        <v>100</v>
      </c>
      <c r="C917" s="351" t="s">
        <v>913</v>
      </c>
      <c r="D917" s="352">
        <v>12</v>
      </c>
      <c r="E917" s="352">
        <v>9.5</v>
      </c>
      <c r="F917" s="352">
        <v>0.2</v>
      </c>
    </row>
    <row r="918" spans="1:6" ht="15.75" customHeight="1">
      <c r="A918" s="350" t="s">
        <v>1829</v>
      </c>
      <c r="B918" s="351">
        <v>100</v>
      </c>
      <c r="C918" s="351" t="s">
        <v>913</v>
      </c>
      <c r="D918" s="352">
        <v>13</v>
      </c>
      <c r="E918" s="352">
        <v>16.3</v>
      </c>
      <c r="F918" s="352">
        <v>0</v>
      </c>
    </row>
    <row r="919" spans="1:6" ht="15.75" customHeight="1">
      <c r="A919" s="350" t="s">
        <v>1830</v>
      </c>
      <c r="B919" s="351">
        <v>100</v>
      </c>
      <c r="C919" s="351" t="s">
        <v>913</v>
      </c>
      <c r="D919" s="352">
        <v>13</v>
      </c>
      <c r="E919" s="352">
        <v>16.2</v>
      </c>
      <c r="F919" s="352">
        <v>0</v>
      </c>
    </row>
    <row r="920" spans="1:6" ht="15.75" customHeight="1">
      <c r="A920" s="350" t="s">
        <v>1831</v>
      </c>
      <c r="B920" s="351">
        <v>100</v>
      </c>
      <c r="C920" s="351" t="s">
        <v>913</v>
      </c>
      <c r="D920" s="352">
        <v>9</v>
      </c>
      <c r="E920" s="352">
        <v>4.3</v>
      </c>
      <c r="F920" s="352">
        <v>26.4</v>
      </c>
    </row>
    <row r="921" spans="1:6" ht="15.75" customHeight="1">
      <c r="A921" s="350" t="s">
        <v>1832</v>
      </c>
      <c r="B921" s="351">
        <v>100</v>
      </c>
      <c r="C921" s="351" t="s">
        <v>913</v>
      </c>
      <c r="D921" s="352">
        <v>26</v>
      </c>
      <c r="E921" s="352">
        <v>2.5</v>
      </c>
      <c r="F921" s="352">
        <v>0.3</v>
      </c>
    </row>
    <row r="922" spans="1:6" ht="15.75" customHeight="1">
      <c r="A922" s="350" t="s">
        <v>1833</v>
      </c>
      <c r="B922" s="351">
        <v>100</v>
      </c>
      <c r="C922" s="351" t="s">
        <v>913</v>
      </c>
      <c r="D922" s="352">
        <v>8.6</v>
      </c>
      <c r="E922" s="352">
        <v>1.7</v>
      </c>
      <c r="F922" s="352">
        <v>3.9</v>
      </c>
    </row>
    <row r="923" spans="1:6" ht="15.75" customHeight="1">
      <c r="A923" s="350" t="s">
        <v>1834</v>
      </c>
      <c r="B923" s="351">
        <v>100</v>
      </c>
      <c r="C923" s="351" t="s">
        <v>913</v>
      </c>
      <c r="D923" s="352">
        <v>21.7</v>
      </c>
      <c r="E923" s="352">
        <v>1.9</v>
      </c>
      <c r="F923" s="352">
        <v>0</v>
      </c>
    </row>
    <row r="924" spans="1:6" ht="15.75" customHeight="1">
      <c r="A924" s="350" t="s">
        <v>1835</v>
      </c>
      <c r="B924" s="351">
        <v>100</v>
      </c>
      <c r="C924" s="351" t="s">
        <v>913</v>
      </c>
      <c r="D924" s="352">
        <v>14.3</v>
      </c>
      <c r="E924" s="352">
        <v>2.9</v>
      </c>
      <c r="F924" s="352">
        <v>0</v>
      </c>
    </row>
    <row r="925" spans="1:6" ht="15.75" customHeight="1">
      <c r="A925" s="350" t="s">
        <v>1836</v>
      </c>
      <c r="B925" s="351">
        <v>100</v>
      </c>
      <c r="C925" s="351" t="s">
        <v>913</v>
      </c>
      <c r="D925" s="352">
        <v>12.9</v>
      </c>
      <c r="E925" s="352">
        <v>10.7</v>
      </c>
      <c r="F925" s="352">
        <v>0.4</v>
      </c>
    </row>
    <row r="926" spans="1:6" ht="15.75" customHeight="1">
      <c r="A926" s="350" t="s">
        <v>1837</v>
      </c>
      <c r="B926" s="351">
        <v>100</v>
      </c>
      <c r="C926" s="351" t="s">
        <v>913</v>
      </c>
      <c r="D926" s="352">
        <v>13</v>
      </c>
      <c r="E926" s="352">
        <v>10.8</v>
      </c>
      <c r="F926" s="352">
        <v>0</v>
      </c>
    </row>
    <row r="927" spans="1:6" ht="15.75" customHeight="1">
      <c r="A927" s="350" t="s">
        <v>1838</v>
      </c>
      <c r="B927" s="351">
        <v>100</v>
      </c>
      <c r="C927" s="351" t="s">
        <v>913</v>
      </c>
      <c r="D927" s="352">
        <v>13</v>
      </c>
      <c r="E927" s="352">
        <v>10.9</v>
      </c>
      <c r="F927" s="352">
        <v>0</v>
      </c>
    </row>
    <row r="928" spans="1:6" ht="15.75" customHeight="1">
      <c r="A928" s="350" t="s">
        <v>1839</v>
      </c>
      <c r="B928" s="351">
        <v>100</v>
      </c>
      <c r="C928" s="351" t="s">
        <v>913</v>
      </c>
      <c r="D928" s="352">
        <v>13.7</v>
      </c>
      <c r="E928" s="352">
        <v>15.4</v>
      </c>
      <c r="F928" s="352">
        <v>0</v>
      </c>
    </row>
    <row r="929" spans="1:6" ht="15.75" customHeight="1">
      <c r="A929" s="350" t="s">
        <v>1840</v>
      </c>
      <c r="B929" s="351">
        <v>100</v>
      </c>
      <c r="C929" s="351" t="s">
        <v>913</v>
      </c>
      <c r="D929" s="352">
        <v>13.8</v>
      </c>
      <c r="E929" s="352">
        <v>15.1</v>
      </c>
      <c r="F929" s="352">
        <v>0</v>
      </c>
    </row>
    <row r="930" spans="1:6" ht="15.75" customHeight="1">
      <c r="A930" s="350" t="s">
        <v>1841</v>
      </c>
      <c r="B930" s="351">
        <v>100</v>
      </c>
      <c r="C930" s="351" t="s">
        <v>913</v>
      </c>
      <c r="D930" s="352">
        <v>13.7</v>
      </c>
      <c r="E930" s="352">
        <v>15.5</v>
      </c>
      <c r="F930" s="352">
        <v>0</v>
      </c>
    </row>
    <row r="931" spans="1:6" ht="15.75" customHeight="1">
      <c r="A931" s="350" t="s">
        <v>1842</v>
      </c>
      <c r="B931" s="351">
        <v>100</v>
      </c>
      <c r="C931" s="351" t="s">
        <v>913</v>
      </c>
      <c r="D931" s="352">
        <v>13.7</v>
      </c>
      <c r="E931" s="352">
        <v>15.5</v>
      </c>
      <c r="F931" s="352">
        <v>0</v>
      </c>
    </row>
    <row r="932" spans="1:6" ht="15.75" customHeight="1">
      <c r="A932" s="350" t="s">
        <v>1843</v>
      </c>
      <c r="B932" s="351">
        <v>100</v>
      </c>
      <c r="C932" s="351" t="s">
        <v>913</v>
      </c>
      <c r="D932" s="352">
        <v>13</v>
      </c>
      <c r="E932" s="352">
        <v>10.8</v>
      </c>
      <c r="F932" s="352">
        <v>0</v>
      </c>
    </row>
    <row r="933" spans="1:6" ht="15.75" customHeight="1">
      <c r="A933" s="350" t="s">
        <v>1844</v>
      </c>
      <c r="B933" s="351">
        <v>100</v>
      </c>
      <c r="C933" s="351" t="s">
        <v>913</v>
      </c>
      <c r="D933" s="352">
        <v>11.9</v>
      </c>
      <c r="E933" s="352">
        <v>9.3000000000000007</v>
      </c>
      <c r="F933" s="352">
        <v>0</v>
      </c>
    </row>
    <row r="934" spans="1:6" ht="15.75" customHeight="1">
      <c r="A934" s="350" t="s">
        <v>1845</v>
      </c>
      <c r="B934" s="351">
        <v>100</v>
      </c>
      <c r="C934" s="351" t="s">
        <v>913</v>
      </c>
      <c r="D934" s="352">
        <v>13</v>
      </c>
      <c r="E934" s="352">
        <v>16.100000000000001</v>
      </c>
      <c r="F934" s="352">
        <v>0</v>
      </c>
    </row>
    <row r="935" spans="1:6" ht="15.75" customHeight="1">
      <c r="A935" s="350" t="s">
        <v>1846</v>
      </c>
      <c r="B935" s="351">
        <v>100</v>
      </c>
      <c r="C935" s="351" t="s">
        <v>913</v>
      </c>
      <c r="D935" s="352">
        <v>13</v>
      </c>
      <c r="E935" s="352">
        <v>16</v>
      </c>
      <c r="F935" s="352">
        <v>0</v>
      </c>
    </row>
    <row r="936" spans="1:6" ht="15.75" customHeight="1">
      <c r="A936" s="350" t="s">
        <v>1847</v>
      </c>
      <c r="B936" s="351">
        <v>100</v>
      </c>
      <c r="C936" s="351" t="s">
        <v>913</v>
      </c>
      <c r="D936" s="352">
        <v>11</v>
      </c>
      <c r="E936" s="352">
        <v>18.3</v>
      </c>
      <c r="F936" s="352">
        <v>0.9</v>
      </c>
    </row>
    <row r="937" spans="1:6" ht="15.75" customHeight="1">
      <c r="A937" s="350" t="s">
        <v>1848</v>
      </c>
      <c r="B937" s="351">
        <v>100</v>
      </c>
      <c r="C937" s="351" t="s">
        <v>913</v>
      </c>
      <c r="D937" s="352">
        <v>24.3</v>
      </c>
      <c r="E937" s="352">
        <v>24.6</v>
      </c>
      <c r="F937" s="352">
        <v>0</v>
      </c>
    </row>
    <row r="938" spans="1:6" ht="15.75" customHeight="1">
      <c r="A938" s="350" t="s">
        <v>1849</v>
      </c>
      <c r="B938" s="351">
        <v>100</v>
      </c>
      <c r="C938" s="351" t="s">
        <v>913</v>
      </c>
      <c r="D938" s="352">
        <v>24.3</v>
      </c>
      <c r="E938" s="352">
        <v>23.6</v>
      </c>
      <c r="F938" s="352">
        <v>0</v>
      </c>
    </row>
    <row r="939" spans="1:6" ht="15.75" customHeight="1">
      <c r="A939" s="350" t="s">
        <v>1850</v>
      </c>
      <c r="B939" s="351">
        <v>100</v>
      </c>
      <c r="C939" s="351" t="s">
        <v>913</v>
      </c>
      <c r="D939" s="352">
        <v>25.1</v>
      </c>
      <c r="E939" s="352">
        <v>11.3</v>
      </c>
      <c r="F939" s="352">
        <v>0</v>
      </c>
    </row>
    <row r="940" spans="1:6" ht="15.75" customHeight="1">
      <c r="A940" s="350" t="s">
        <v>1851</v>
      </c>
      <c r="B940" s="351">
        <v>100</v>
      </c>
      <c r="C940" s="351" t="s">
        <v>913</v>
      </c>
      <c r="D940" s="352">
        <v>27.6</v>
      </c>
      <c r="E940" s="352">
        <v>14.2</v>
      </c>
      <c r="F940" s="352">
        <v>0</v>
      </c>
    </row>
    <row r="941" spans="1:6" ht="15.75" customHeight="1">
      <c r="A941" s="350" t="s">
        <v>1852</v>
      </c>
      <c r="B941" s="351">
        <v>100</v>
      </c>
      <c r="C941" s="351" t="s">
        <v>913</v>
      </c>
      <c r="D941" s="352">
        <v>20.5</v>
      </c>
      <c r="E941" s="352">
        <v>12.6</v>
      </c>
      <c r="F941" s="352">
        <v>0</v>
      </c>
    </row>
    <row r="942" spans="1:6" ht="15.75" customHeight="1">
      <c r="A942" s="350" t="s">
        <v>1853</v>
      </c>
      <c r="B942" s="351">
        <v>100</v>
      </c>
      <c r="C942" s="351" t="s">
        <v>913</v>
      </c>
      <c r="D942" s="352">
        <v>27.6</v>
      </c>
      <c r="E942" s="352">
        <v>14.2</v>
      </c>
      <c r="F942" s="352">
        <v>0</v>
      </c>
    </row>
    <row r="943" spans="1:6" ht="15.75" customHeight="1">
      <c r="A943" s="350" t="s">
        <v>1854</v>
      </c>
      <c r="B943" s="351">
        <v>100</v>
      </c>
      <c r="C943" s="351" t="s">
        <v>913</v>
      </c>
      <c r="D943" s="352">
        <v>23.3</v>
      </c>
      <c r="E943" s="352">
        <v>4.9000000000000004</v>
      </c>
      <c r="F943" s="352">
        <v>0.3</v>
      </c>
    </row>
    <row r="944" spans="1:6" ht="15.75" customHeight="1">
      <c r="A944" s="350" t="s">
        <v>1855</v>
      </c>
      <c r="B944" s="351">
        <v>100</v>
      </c>
      <c r="C944" s="351" t="s">
        <v>913</v>
      </c>
      <c r="D944" s="352">
        <v>29.2</v>
      </c>
      <c r="E944" s="352">
        <v>19</v>
      </c>
      <c r="F944" s="352">
        <v>0</v>
      </c>
    </row>
    <row r="945" spans="1:6" ht="15.75" customHeight="1">
      <c r="A945" s="350" t="s">
        <v>1856</v>
      </c>
      <c r="B945" s="351">
        <v>100</v>
      </c>
      <c r="C945" s="351" t="s">
        <v>913</v>
      </c>
      <c r="D945" s="352">
        <v>22.8</v>
      </c>
      <c r="E945" s="352">
        <v>30</v>
      </c>
      <c r="F945" s="352">
        <v>0</v>
      </c>
    </row>
    <row r="946" spans="1:6" ht="15.75" customHeight="1">
      <c r="A946" s="350" t="s">
        <v>1857</v>
      </c>
      <c r="B946" s="351">
        <v>100</v>
      </c>
      <c r="C946" s="351" t="s">
        <v>913</v>
      </c>
      <c r="D946" s="352">
        <v>5.9</v>
      </c>
      <c r="E946" s="352">
        <v>0.8</v>
      </c>
      <c r="F946" s="352">
        <v>56.4</v>
      </c>
    </row>
    <row r="947" spans="1:6" ht="15.75" customHeight="1">
      <c r="A947" s="350" t="s">
        <v>1858</v>
      </c>
      <c r="B947" s="351">
        <v>100</v>
      </c>
      <c r="C947" s="351" t="s">
        <v>913</v>
      </c>
      <c r="D947" s="352">
        <v>7.7</v>
      </c>
      <c r="E947" s="352">
        <v>2.1</v>
      </c>
      <c r="F947" s="352">
        <v>41.3</v>
      </c>
    </row>
    <row r="948" spans="1:6" ht="15.75" customHeight="1">
      <c r="A948" s="350" t="s">
        <v>1859</v>
      </c>
      <c r="B948" s="351">
        <v>100</v>
      </c>
      <c r="C948" s="351" t="s">
        <v>913</v>
      </c>
      <c r="D948" s="352">
        <v>8.3000000000000007</v>
      </c>
      <c r="E948" s="352">
        <v>2</v>
      </c>
      <c r="F948" s="352">
        <v>58.3</v>
      </c>
    </row>
    <row r="949" spans="1:6" ht="15.75" customHeight="1">
      <c r="A949" s="350" t="s">
        <v>1860</v>
      </c>
      <c r="B949" s="351">
        <v>100</v>
      </c>
      <c r="C949" s="351" t="s">
        <v>913</v>
      </c>
      <c r="D949" s="352">
        <v>8.6999999999999993</v>
      </c>
      <c r="E949" s="352">
        <v>2.7</v>
      </c>
      <c r="F949" s="352">
        <v>54.5</v>
      </c>
    </row>
    <row r="950" spans="1:6" ht="15.75" customHeight="1">
      <c r="A950" s="350" t="s">
        <v>1861</v>
      </c>
      <c r="B950" s="351">
        <v>100</v>
      </c>
      <c r="C950" s="351" t="s">
        <v>913</v>
      </c>
      <c r="D950" s="352">
        <v>7.7</v>
      </c>
      <c r="E950" s="352">
        <v>1.9</v>
      </c>
      <c r="F950" s="352">
        <v>51.4</v>
      </c>
    </row>
    <row r="951" spans="1:6" ht="15.75" customHeight="1">
      <c r="A951" s="350" t="s">
        <v>1862</v>
      </c>
      <c r="B951" s="351">
        <v>100</v>
      </c>
      <c r="C951" s="351" t="s">
        <v>913</v>
      </c>
      <c r="D951" s="352">
        <v>9.6</v>
      </c>
      <c r="E951" s="352">
        <v>8</v>
      </c>
      <c r="F951" s="352">
        <v>62.2</v>
      </c>
    </row>
    <row r="952" spans="1:6" ht="15.75" customHeight="1">
      <c r="A952" s="350" t="s">
        <v>1863</v>
      </c>
      <c r="B952" s="351">
        <v>100</v>
      </c>
      <c r="C952" s="351" t="s">
        <v>913</v>
      </c>
      <c r="D952" s="352">
        <v>5.3</v>
      </c>
      <c r="E952" s="352">
        <v>1.2</v>
      </c>
      <c r="F952" s="352">
        <v>37.200000000000003</v>
      </c>
    </row>
    <row r="953" spans="1:6" ht="15.75" customHeight="1">
      <c r="A953" s="350" t="s">
        <v>1864</v>
      </c>
      <c r="B953" s="351">
        <v>100</v>
      </c>
      <c r="C953" s="351" t="s">
        <v>913</v>
      </c>
      <c r="D953" s="352">
        <v>9</v>
      </c>
      <c r="E953" s="352">
        <v>1.4</v>
      </c>
      <c r="F953" s="352">
        <v>53.8</v>
      </c>
    </row>
    <row r="954" spans="1:6" ht="15.75" customHeight="1">
      <c r="A954" s="350" t="s">
        <v>1865</v>
      </c>
      <c r="B954" s="351">
        <v>100</v>
      </c>
      <c r="C954" s="351" t="s">
        <v>913</v>
      </c>
      <c r="D954" s="352">
        <v>8.4</v>
      </c>
      <c r="E954" s="352">
        <v>2.2000000000000002</v>
      </c>
      <c r="F954" s="352">
        <v>57.3</v>
      </c>
    </row>
    <row r="955" spans="1:6" ht="15.75" customHeight="1">
      <c r="A955" s="350" t="s">
        <v>1866</v>
      </c>
      <c r="B955" s="351">
        <v>100</v>
      </c>
      <c r="C955" s="351" t="s">
        <v>913</v>
      </c>
      <c r="D955" s="352">
        <v>7.6</v>
      </c>
      <c r="E955" s="352">
        <v>3</v>
      </c>
      <c r="F955" s="352">
        <v>39.9</v>
      </c>
    </row>
    <row r="956" spans="1:6" ht="15.75" customHeight="1">
      <c r="A956" s="350" t="s">
        <v>1867</v>
      </c>
      <c r="B956" s="351">
        <v>100</v>
      </c>
      <c r="C956" s="351" t="s">
        <v>913</v>
      </c>
      <c r="D956" s="352">
        <v>7.4</v>
      </c>
      <c r="E956" s="352">
        <v>2.6</v>
      </c>
      <c r="F956" s="352">
        <v>44</v>
      </c>
    </row>
    <row r="957" spans="1:6" ht="15.75" customHeight="1">
      <c r="A957" s="350" t="s">
        <v>1868</v>
      </c>
      <c r="B957" s="351">
        <v>100</v>
      </c>
      <c r="C957" s="351" t="s">
        <v>913</v>
      </c>
      <c r="D957" s="352">
        <v>7.7</v>
      </c>
      <c r="E957" s="352">
        <v>4</v>
      </c>
      <c r="F957" s="352">
        <v>43.2</v>
      </c>
    </row>
    <row r="958" spans="1:6" ht="15.75" customHeight="1">
      <c r="A958" s="350" t="s">
        <v>1869</v>
      </c>
      <c r="B958" s="351">
        <v>100</v>
      </c>
      <c r="C958" s="351" t="s">
        <v>913</v>
      </c>
      <c r="D958" s="352">
        <v>9.4</v>
      </c>
      <c r="E958" s="352">
        <v>2.8</v>
      </c>
      <c r="F958" s="352">
        <v>38.200000000000003</v>
      </c>
    </row>
    <row r="959" spans="1:6" ht="15.75" customHeight="1">
      <c r="A959" s="350" t="s">
        <v>1870</v>
      </c>
      <c r="B959" s="351">
        <v>100</v>
      </c>
      <c r="C959" s="351" t="s">
        <v>913</v>
      </c>
      <c r="D959" s="352">
        <v>7</v>
      </c>
      <c r="E959" s="352">
        <v>1.2</v>
      </c>
      <c r="F959" s="352">
        <v>51</v>
      </c>
    </row>
    <row r="960" spans="1:6" ht="15.75" customHeight="1">
      <c r="A960" s="350" t="s">
        <v>1871</v>
      </c>
      <c r="B960" s="351">
        <v>100</v>
      </c>
      <c r="C960" s="351" t="s">
        <v>913</v>
      </c>
      <c r="D960" s="352">
        <v>7.7</v>
      </c>
      <c r="E960" s="352">
        <v>1.1000000000000001</v>
      </c>
      <c r="F960" s="352">
        <v>42.7</v>
      </c>
    </row>
    <row r="961" spans="1:6" ht="15.75" customHeight="1">
      <c r="A961" s="350" t="s">
        <v>1872</v>
      </c>
      <c r="B961" s="351">
        <v>100</v>
      </c>
      <c r="C961" s="351" t="s">
        <v>913</v>
      </c>
      <c r="D961" s="352">
        <v>11.2</v>
      </c>
      <c r="E961" s="352">
        <v>2.2999999999999998</v>
      </c>
      <c r="F961" s="352">
        <v>71.599999999999994</v>
      </c>
    </row>
    <row r="962" spans="1:6" ht="15.75" customHeight="1">
      <c r="A962" s="350" t="s">
        <v>1873</v>
      </c>
      <c r="B962" s="351">
        <v>100</v>
      </c>
      <c r="C962" s="351" t="s">
        <v>913</v>
      </c>
      <c r="D962" s="352">
        <v>0.6</v>
      </c>
      <c r="E962" s="352">
        <v>0.1</v>
      </c>
      <c r="F962" s="352">
        <v>9.1</v>
      </c>
    </row>
    <row r="963" spans="1:6" ht="15.75" customHeight="1">
      <c r="A963" s="350" t="s">
        <v>1874</v>
      </c>
      <c r="B963" s="351">
        <v>100</v>
      </c>
      <c r="C963" s="351" t="s">
        <v>913</v>
      </c>
      <c r="D963" s="352">
        <v>4.8</v>
      </c>
      <c r="E963" s="352">
        <v>0.8</v>
      </c>
      <c r="F963" s="352">
        <v>73.3</v>
      </c>
    </row>
    <row r="964" spans="1:6" ht="15.75" customHeight="1">
      <c r="A964" s="350" t="s">
        <v>1875</v>
      </c>
      <c r="B964" s="351">
        <v>100</v>
      </c>
      <c r="C964" s="351" t="s">
        <v>913</v>
      </c>
      <c r="D964" s="352">
        <v>15.9</v>
      </c>
      <c r="E964" s="352">
        <v>6.7</v>
      </c>
      <c r="F964" s="352">
        <v>1.4</v>
      </c>
    </row>
    <row r="965" spans="1:6" ht="15.75" customHeight="1">
      <c r="A965" s="350" t="s">
        <v>1876</v>
      </c>
      <c r="B965" s="351">
        <v>100</v>
      </c>
      <c r="C965" s="351" t="s">
        <v>913</v>
      </c>
      <c r="D965" s="352">
        <v>19.8</v>
      </c>
      <c r="E965" s="352">
        <v>0.3</v>
      </c>
      <c r="F965" s="352">
        <v>0</v>
      </c>
    </row>
    <row r="966" spans="1:6" ht="15.75" customHeight="1">
      <c r="A966" s="350" t="s">
        <v>1877</v>
      </c>
      <c r="B966" s="351">
        <v>100</v>
      </c>
      <c r="C966" s="351" t="s">
        <v>913</v>
      </c>
      <c r="D966" s="352">
        <v>19.399999999999999</v>
      </c>
      <c r="E966" s="352">
        <v>0.2</v>
      </c>
      <c r="F966" s="352">
        <v>0</v>
      </c>
    </row>
    <row r="967" spans="1:6" ht="15.75" customHeight="1">
      <c r="A967" s="350" t="s">
        <v>1878</v>
      </c>
      <c r="B967" s="351">
        <v>100</v>
      </c>
      <c r="C967" s="351" t="s">
        <v>913</v>
      </c>
      <c r="D967" s="352">
        <v>15.2</v>
      </c>
      <c r="E967" s="352">
        <v>7.1</v>
      </c>
      <c r="F967" s="352">
        <v>1.4</v>
      </c>
    </row>
    <row r="968" spans="1:6" ht="15.75" customHeight="1">
      <c r="A968" s="350" t="s">
        <v>1879</v>
      </c>
      <c r="B968" s="351">
        <v>100</v>
      </c>
      <c r="C968" s="351" t="s">
        <v>913</v>
      </c>
      <c r="D968" s="352">
        <v>19</v>
      </c>
      <c r="E968" s="352">
        <v>1</v>
      </c>
      <c r="F968" s="352">
        <v>0</v>
      </c>
    </row>
    <row r="969" spans="1:6" ht="15.75" customHeight="1">
      <c r="A969" s="350" t="s">
        <v>1880</v>
      </c>
      <c r="B969" s="351">
        <v>100</v>
      </c>
      <c r="C969" s="351" t="s">
        <v>913</v>
      </c>
      <c r="D969" s="352">
        <v>18.5</v>
      </c>
      <c r="E969" s="352">
        <v>0.7</v>
      </c>
      <c r="F969" s="352">
        <v>0</v>
      </c>
    </row>
    <row r="970" spans="1:6" ht="15.75" customHeight="1">
      <c r="A970" s="350" t="s">
        <v>1881</v>
      </c>
      <c r="B970" s="351">
        <v>100</v>
      </c>
      <c r="C970" s="351" t="s">
        <v>913</v>
      </c>
      <c r="D970" s="352">
        <v>27</v>
      </c>
      <c r="E970" s="352">
        <v>17.600000000000001</v>
      </c>
      <c r="F970" s="352">
        <v>4.5999999999999996</v>
      </c>
    </row>
    <row r="971" spans="1:6" ht="15.75" customHeight="1">
      <c r="A971" s="350" t="s">
        <v>1882</v>
      </c>
      <c r="B971" s="351">
        <v>100</v>
      </c>
      <c r="C971" s="351" t="s">
        <v>913</v>
      </c>
      <c r="D971" s="352">
        <v>10</v>
      </c>
      <c r="E971" s="352">
        <v>34.5</v>
      </c>
      <c r="F971" s="352">
        <v>3.2</v>
      </c>
    </row>
    <row r="972" spans="1:6" ht="15.75" customHeight="1">
      <c r="A972" s="350" t="s">
        <v>1883</v>
      </c>
      <c r="B972" s="351">
        <v>100</v>
      </c>
      <c r="C972" s="351" t="s">
        <v>913</v>
      </c>
      <c r="D972" s="352">
        <v>13.8</v>
      </c>
      <c r="E972" s="352">
        <v>13.4</v>
      </c>
      <c r="F972" s="352">
        <v>12.3</v>
      </c>
    </row>
    <row r="973" spans="1:6" ht="15.75" customHeight="1">
      <c r="A973" s="350" t="s">
        <v>1884</v>
      </c>
      <c r="B973" s="351">
        <v>100</v>
      </c>
      <c r="C973" s="351" t="s">
        <v>913</v>
      </c>
      <c r="D973" s="352">
        <v>6.8</v>
      </c>
      <c r="E973" s="352">
        <v>9.4</v>
      </c>
      <c r="F973" s="352">
        <v>52</v>
      </c>
    </row>
    <row r="974" spans="1:6" ht="15.75" customHeight="1">
      <c r="A974" s="350" t="s">
        <v>1885</v>
      </c>
      <c r="B974" s="351">
        <v>100</v>
      </c>
      <c r="C974" s="351" t="s">
        <v>913</v>
      </c>
      <c r="D974" s="352">
        <v>2.9</v>
      </c>
      <c r="E974" s="352">
        <v>10.199999999999999</v>
      </c>
      <c r="F974" s="352">
        <v>48.5</v>
      </c>
    </row>
    <row r="975" spans="1:6" ht="15.75" customHeight="1">
      <c r="A975" s="350" t="s">
        <v>1886</v>
      </c>
      <c r="B975" s="351">
        <v>100</v>
      </c>
      <c r="C975" s="351" t="s">
        <v>913</v>
      </c>
      <c r="D975" s="352">
        <v>7.1</v>
      </c>
      <c r="E975" s="352">
        <v>26</v>
      </c>
      <c r="F975" s="352">
        <v>37.4</v>
      </c>
    </row>
    <row r="976" spans="1:6" ht="15.75" customHeight="1">
      <c r="A976" s="350" t="s">
        <v>1887</v>
      </c>
      <c r="B976" s="351">
        <v>100</v>
      </c>
      <c r="C976" s="351" t="s">
        <v>913</v>
      </c>
      <c r="D976" s="352">
        <v>6.9</v>
      </c>
      <c r="E976" s="352">
        <v>0</v>
      </c>
      <c r="F976" s="352">
        <v>75.099999999999994</v>
      </c>
    </row>
    <row r="977" spans="1:6" ht="15.75" customHeight="1">
      <c r="A977" s="350" t="s">
        <v>1888</v>
      </c>
      <c r="B977" s="351">
        <v>100</v>
      </c>
      <c r="C977" s="351" t="s">
        <v>913</v>
      </c>
      <c r="D977" s="352">
        <v>18.5</v>
      </c>
      <c r="E977" s="352">
        <v>30.3</v>
      </c>
      <c r="F977" s="352">
        <v>0</v>
      </c>
    </row>
    <row r="978" spans="1:6" ht="15.75" customHeight="1">
      <c r="A978" s="350" t="s">
        <v>1889</v>
      </c>
      <c r="B978" s="351">
        <v>100</v>
      </c>
      <c r="C978" s="351" t="s">
        <v>913</v>
      </c>
      <c r="D978" s="352">
        <v>12.3</v>
      </c>
      <c r="E978" s="352">
        <v>38.299999999999997</v>
      </c>
      <c r="F978" s="352">
        <v>0</v>
      </c>
    </row>
    <row r="979" spans="1:6" ht="15.75" customHeight="1">
      <c r="A979" s="350" t="s">
        <v>1890</v>
      </c>
      <c r="B979" s="351">
        <v>100</v>
      </c>
      <c r="C979" s="351" t="s">
        <v>913</v>
      </c>
      <c r="D979" s="352">
        <v>36.200000000000003</v>
      </c>
      <c r="E979" s="352">
        <v>14.6</v>
      </c>
      <c r="F979" s="352">
        <v>0</v>
      </c>
    </row>
    <row r="980" spans="1:6" ht="15.75" customHeight="1">
      <c r="A980" s="350" t="s">
        <v>1891</v>
      </c>
      <c r="B980" s="351">
        <v>100</v>
      </c>
      <c r="C980" s="351" t="s">
        <v>913</v>
      </c>
      <c r="D980" s="352">
        <v>19.3</v>
      </c>
      <c r="E980" s="352">
        <v>6.2</v>
      </c>
      <c r="F980" s="352">
        <v>0</v>
      </c>
    </row>
    <row r="981" spans="1:6" ht="15.75" customHeight="1">
      <c r="A981" s="350" t="s">
        <v>1892</v>
      </c>
      <c r="B981" s="351">
        <v>100</v>
      </c>
      <c r="C981" s="351" t="s">
        <v>913</v>
      </c>
      <c r="D981" s="352">
        <v>27.2</v>
      </c>
      <c r="E981" s="352">
        <v>13.7</v>
      </c>
      <c r="F981" s="352">
        <v>0</v>
      </c>
    </row>
    <row r="982" spans="1:6" ht="15.75" customHeight="1">
      <c r="A982" s="350" t="s">
        <v>1893</v>
      </c>
      <c r="B982" s="351">
        <v>100</v>
      </c>
      <c r="C982" s="351" t="s">
        <v>913</v>
      </c>
      <c r="D982" s="352">
        <v>38</v>
      </c>
      <c r="E982" s="352">
        <v>20.399999999999999</v>
      </c>
      <c r="F982" s="352">
        <v>0</v>
      </c>
    </row>
    <row r="983" spans="1:6" ht="15.75" customHeight="1">
      <c r="A983" s="350" t="s">
        <v>1894</v>
      </c>
      <c r="B983" s="351">
        <v>100</v>
      </c>
      <c r="C983" s="351" t="s">
        <v>913</v>
      </c>
      <c r="D983" s="352">
        <v>20.5</v>
      </c>
      <c r="E983" s="352">
        <v>3.8</v>
      </c>
      <c r="F983" s="352">
        <v>0</v>
      </c>
    </row>
    <row r="984" spans="1:6" ht="15.75" customHeight="1">
      <c r="A984" s="350" t="s">
        <v>1895</v>
      </c>
      <c r="B984" s="351">
        <v>100</v>
      </c>
      <c r="C984" s="351" t="s">
        <v>913</v>
      </c>
      <c r="D984" s="352">
        <v>23.3</v>
      </c>
      <c r="E984" s="352">
        <v>8.4</v>
      </c>
      <c r="F984" s="352">
        <v>0.8</v>
      </c>
    </row>
    <row r="985" spans="1:6" ht="15.75" customHeight="1">
      <c r="A985" s="350" t="s">
        <v>1896</v>
      </c>
      <c r="B985" s="351">
        <v>100</v>
      </c>
      <c r="C985" s="351" t="s">
        <v>913</v>
      </c>
      <c r="D985" s="352">
        <v>23.3</v>
      </c>
      <c r="E985" s="352">
        <v>8.8000000000000007</v>
      </c>
      <c r="F985" s="352">
        <v>0.7</v>
      </c>
    </row>
    <row r="986" spans="1:6" ht="15.75" customHeight="1">
      <c r="A986" s="350" t="s">
        <v>1897</v>
      </c>
      <c r="B986" s="351">
        <v>100</v>
      </c>
      <c r="C986" s="351" t="s">
        <v>913</v>
      </c>
      <c r="D986" s="352">
        <v>23.3</v>
      </c>
      <c r="E986" s="352">
        <v>8.4</v>
      </c>
      <c r="F986" s="352">
        <v>0.8</v>
      </c>
    </row>
    <row r="987" spans="1:6" ht="15.75" customHeight="1">
      <c r="A987" s="350" t="s">
        <v>1898</v>
      </c>
      <c r="B987" s="351">
        <v>100</v>
      </c>
      <c r="C987" s="351" t="s">
        <v>913</v>
      </c>
      <c r="D987" s="352">
        <v>23.3</v>
      </c>
      <c r="E987" s="352">
        <v>8.4</v>
      </c>
      <c r="F987" s="352">
        <v>0.8</v>
      </c>
    </row>
    <row r="988" spans="1:6" ht="15.75" customHeight="1">
      <c r="A988" s="350" t="s">
        <v>1899</v>
      </c>
      <c r="B988" s="351">
        <v>100</v>
      </c>
      <c r="C988" s="351" t="s">
        <v>913</v>
      </c>
      <c r="D988" s="352">
        <v>28.4</v>
      </c>
      <c r="E988" s="352">
        <v>4.4000000000000004</v>
      </c>
      <c r="F988" s="352">
        <v>0</v>
      </c>
    </row>
    <row r="989" spans="1:6" ht="15.75" customHeight="1">
      <c r="A989" s="350" t="s">
        <v>1900</v>
      </c>
      <c r="B989" s="351">
        <v>100</v>
      </c>
      <c r="C989" s="351" t="s">
        <v>913</v>
      </c>
      <c r="D989" s="352">
        <v>26.5</v>
      </c>
      <c r="E989" s="352">
        <v>4.2</v>
      </c>
      <c r="F989" s="352">
        <v>0</v>
      </c>
    </row>
    <row r="990" spans="1:6" ht="15.75" customHeight="1">
      <c r="A990" s="350" t="s">
        <v>1901</v>
      </c>
      <c r="B990" s="351">
        <v>100</v>
      </c>
      <c r="C990" s="351" t="s">
        <v>913</v>
      </c>
      <c r="D990" s="352">
        <v>23.3</v>
      </c>
      <c r="E990" s="352">
        <v>26.6</v>
      </c>
      <c r="F990" s="352">
        <v>0</v>
      </c>
    </row>
    <row r="991" spans="1:6" ht="15.75" customHeight="1">
      <c r="A991" s="350" t="s">
        <v>1902</v>
      </c>
      <c r="B991" s="351">
        <v>100</v>
      </c>
      <c r="C991" s="351" t="s">
        <v>913</v>
      </c>
      <c r="D991" s="352">
        <v>16.8</v>
      </c>
      <c r="E991" s="352">
        <v>36.5</v>
      </c>
      <c r="F991" s="352">
        <v>0</v>
      </c>
    </row>
    <row r="992" spans="1:6" ht="15.75" customHeight="1">
      <c r="A992" s="350" t="s">
        <v>1903</v>
      </c>
      <c r="B992" s="351">
        <v>100</v>
      </c>
      <c r="C992" s="351" t="s">
        <v>913</v>
      </c>
      <c r="D992" s="352">
        <v>32.1</v>
      </c>
      <c r="E992" s="352">
        <v>7.3</v>
      </c>
      <c r="F992" s="352">
        <v>0</v>
      </c>
    </row>
    <row r="993" spans="1:6" ht="15.75" customHeight="1">
      <c r="A993" s="350" t="s">
        <v>1904</v>
      </c>
      <c r="B993" s="351">
        <v>100</v>
      </c>
      <c r="C993" s="351" t="s">
        <v>913</v>
      </c>
      <c r="D993" s="352">
        <v>24.1</v>
      </c>
      <c r="E993" s="352">
        <v>8.9</v>
      </c>
      <c r="F993" s="352">
        <v>0</v>
      </c>
    </row>
    <row r="994" spans="1:6" ht="15.75" customHeight="1">
      <c r="A994" s="350" t="s">
        <v>1905</v>
      </c>
      <c r="B994" s="351">
        <v>100</v>
      </c>
      <c r="C994" s="351" t="s">
        <v>913</v>
      </c>
      <c r="D994" s="352">
        <v>22.1</v>
      </c>
      <c r="E994" s="352">
        <v>10.3</v>
      </c>
      <c r="F994" s="352">
        <v>1.7</v>
      </c>
    </row>
    <row r="995" spans="1:6" ht="15.75" customHeight="1">
      <c r="A995" s="350" t="s">
        <v>1906</v>
      </c>
      <c r="B995" s="351">
        <v>100</v>
      </c>
      <c r="C995" s="351" t="s">
        <v>913</v>
      </c>
      <c r="D995" s="352">
        <v>22.1</v>
      </c>
      <c r="E995" s="352">
        <v>10</v>
      </c>
      <c r="F995" s="352">
        <v>1.7</v>
      </c>
    </row>
    <row r="996" spans="1:6" ht="15.75" customHeight="1">
      <c r="A996" s="350" t="s">
        <v>1907</v>
      </c>
      <c r="B996" s="351">
        <v>100</v>
      </c>
      <c r="C996" s="351" t="s">
        <v>913</v>
      </c>
      <c r="D996" s="352">
        <v>34.4</v>
      </c>
      <c r="E996" s="352">
        <v>8.3000000000000007</v>
      </c>
      <c r="F996" s="352">
        <v>0</v>
      </c>
    </row>
    <row r="997" spans="1:6" ht="15.75" customHeight="1">
      <c r="A997" s="350" t="s">
        <v>1908</v>
      </c>
      <c r="B997" s="351">
        <v>100</v>
      </c>
      <c r="C997" s="351" t="s">
        <v>913</v>
      </c>
      <c r="D997" s="352">
        <v>34.5</v>
      </c>
      <c r="E997" s="352">
        <v>1.1000000000000001</v>
      </c>
      <c r="F997" s="352">
        <v>0</v>
      </c>
    </row>
    <row r="998" spans="1:6" ht="15.75" customHeight="1">
      <c r="A998" s="350" t="s">
        <v>1909</v>
      </c>
      <c r="B998" s="351">
        <v>100</v>
      </c>
      <c r="C998" s="351" t="s">
        <v>913</v>
      </c>
      <c r="D998" s="352">
        <v>24.1</v>
      </c>
      <c r="E998" s="352">
        <v>1.2</v>
      </c>
      <c r="F998" s="352">
        <v>0</v>
      </c>
    </row>
    <row r="999" spans="1:6" ht="15.75" customHeight="1">
      <c r="A999" s="350" t="s">
        <v>1910</v>
      </c>
      <c r="B999" s="351">
        <v>100</v>
      </c>
      <c r="C999" s="351" t="s">
        <v>913</v>
      </c>
      <c r="D999" s="352">
        <v>21.4</v>
      </c>
      <c r="E999" s="352">
        <v>3.3</v>
      </c>
      <c r="F999" s="352">
        <v>1.7</v>
      </c>
    </row>
    <row r="1000" spans="1:6" ht="15.75" customHeight="1">
      <c r="A1000" s="350" t="s">
        <v>1911</v>
      </c>
      <c r="B1000" s="351">
        <v>100</v>
      </c>
      <c r="C1000" s="351" t="s">
        <v>913</v>
      </c>
      <c r="D1000" s="352">
        <v>21.4</v>
      </c>
      <c r="E1000" s="352">
        <v>3</v>
      </c>
      <c r="F1000" s="352">
        <v>1.7</v>
      </c>
    </row>
    <row r="1001" spans="1:6" ht="15.75" customHeight="1">
      <c r="A1001" s="350" t="s">
        <v>1912</v>
      </c>
      <c r="B1001" s="351">
        <v>100</v>
      </c>
      <c r="C1001" s="351" t="s">
        <v>913</v>
      </c>
      <c r="D1001" s="352">
        <v>36.6</v>
      </c>
      <c r="E1001" s="352">
        <v>2.5</v>
      </c>
      <c r="F1001" s="352">
        <v>0</v>
      </c>
    </row>
    <row r="1002" spans="1:6" ht="15.75" customHeight="1">
      <c r="A1002" s="350" t="s">
        <v>1913</v>
      </c>
      <c r="B1002" s="351">
        <v>100</v>
      </c>
      <c r="C1002" s="351" t="s">
        <v>913</v>
      </c>
      <c r="D1002" s="352">
        <v>23</v>
      </c>
      <c r="E1002" s="352">
        <v>4.7</v>
      </c>
      <c r="F1002" s="352">
        <v>0</v>
      </c>
    </row>
    <row r="1003" spans="1:6" ht="15.75" customHeight="1">
      <c r="A1003" s="350" t="s">
        <v>1914</v>
      </c>
      <c r="B1003" s="351">
        <v>100</v>
      </c>
      <c r="C1003" s="351" t="s">
        <v>913</v>
      </c>
      <c r="D1003" s="352">
        <v>23.1</v>
      </c>
      <c r="E1003" s="352">
        <v>7.1</v>
      </c>
      <c r="F1003" s="352">
        <v>1.3</v>
      </c>
    </row>
    <row r="1004" spans="1:6" ht="15.75" customHeight="1">
      <c r="A1004" s="350" t="s">
        <v>1915</v>
      </c>
      <c r="B1004" s="351">
        <v>100</v>
      </c>
      <c r="C1004" s="351" t="s">
        <v>913</v>
      </c>
      <c r="D1004" s="352">
        <v>28.9</v>
      </c>
      <c r="E1004" s="352">
        <v>6.4</v>
      </c>
      <c r="F1004" s="352">
        <v>0.1</v>
      </c>
    </row>
    <row r="1005" spans="1:6" ht="15.75" customHeight="1">
      <c r="A1005" s="350" t="s">
        <v>1916</v>
      </c>
      <c r="B1005" s="351">
        <v>100</v>
      </c>
      <c r="C1005" s="351" t="s">
        <v>913</v>
      </c>
      <c r="D1005" s="352">
        <v>23.4</v>
      </c>
      <c r="E1005" s="352">
        <v>1.3</v>
      </c>
      <c r="F1005" s="352">
        <v>0</v>
      </c>
    </row>
    <row r="1006" spans="1:6" ht="15.75" customHeight="1">
      <c r="A1006" s="350" t="s">
        <v>1917</v>
      </c>
      <c r="B1006" s="351">
        <v>100</v>
      </c>
      <c r="C1006" s="351" t="s">
        <v>913</v>
      </c>
      <c r="D1006" s="352">
        <v>25.5</v>
      </c>
      <c r="E1006" s="352">
        <v>9.9</v>
      </c>
      <c r="F1006" s="352">
        <v>8.4</v>
      </c>
    </row>
    <row r="1007" spans="1:6" ht="15.75" customHeight="1">
      <c r="A1007" s="350" t="s">
        <v>1918</v>
      </c>
      <c r="B1007" s="351">
        <v>100</v>
      </c>
      <c r="C1007" s="351" t="s">
        <v>913</v>
      </c>
      <c r="D1007" s="352">
        <v>24.8</v>
      </c>
      <c r="E1007" s="352">
        <v>8</v>
      </c>
      <c r="F1007" s="352">
        <v>0</v>
      </c>
    </row>
    <row r="1008" spans="1:6" ht="15.75" customHeight="1">
      <c r="A1008" s="350" t="s">
        <v>1919</v>
      </c>
      <c r="B1008" s="351">
        <v>100</v>
      </c>
      <c r="C1008" s="351" t="s">
        <v>913</v>
      </c>
      <c r="D1008" s="352">
        <v>19.600000000000001</v>
      </c>
      <c r="E1008" s="352">
        <v>7.6</v>
      </c>
      <c r="F1008" s="352">
        <v>0</v>
      </c>
    </row>
    <row r="1009" spans="1:6" ht="15.75" customHeight="1">
      <c r="A1009" s="350" t="s">
        <v>1920</v>
      </c>
      <c r="B1009" s="351">
        <v>100</v>
      </c>
      <c r="C1009" s="351" t="s">
        <v>913</v>
      </c>
      <c r="D1009" s="352">
        <v>22.9</v>
      </c>
      <c r="E1009" s="352">
        <v>12.6</v>
      </c>
      <c r="F1009" s="352">
        <v>0.6</v>
      </c>
    </row>
    <row r="1010" spans="1:6" ht="15.75" customHeight="1">
      <c r="A1010" s="350" t="s">
        <v>1921</v>
      </c>
      <c r="B1010" s="351">
        <v>100</v>
      </c>
      <c r="C1010" s="351" t="s">
        <v>913</v>
      </c>
      <c r="D1010" s="352">
        <v>22.9</v>
      </c>
      <c r="E1010" s="352">
        <v>12.6</v>
      </c>
      <c r="F1010" s="352">
        <v>0.6</v>
      </c>
    </row>
    <row r="1011" spans="1:6" ht="15.75" customHeight="1">
      <c r="A1011" s="350" t="s">
        <v>1922</v>
      </c>
      <c r="B1011" s="351">
        <v>100</v>
      </c>
      <c r="C1011" s="351" t="s">
        <v>913</v>
      </c>
      <c r="D1011" s="352">
        <v>22.9</v>
      </c>
      <c r="E1011" s="352">
        <v>12.6</v>
      </c>
      <c r="F1011" s="352">
        <v>0.6</v>
      </c>
    </row>
    <row r="1012" spans="1:6" ht="15.75" customHeight="1">
      <c r="A1012" s="350" t="s">
        <v>1923</v>
      </c>
      <c r="B1012" s="351">
        <v>100</v>
      </c>
      <c r="C1012" s="351" t="s">
        <v>913</v>
      </c>
      <c r="D1012" s="352">
        <v>22.9</v>
      </c>
      <c r="E1012" s="352">
        <v>12.6</v>
      </c>
      <c r="F1012" s="352">
        <v>0.6</v>
      </c>
    </row>
    <row r="1013" spans="1:6" ht="15.75" customHeight="1">
      <c r="A1013" s="350" t="s">
        <v>1924</v>
      </c>
      <c r="B1013" s="351">
        <v>100</v>
      </c>
      <c r="C1013" s="351" t="s">
        <v>913</v>
      </c>
      <c r="D1013" s="352">
        <v>26</v>
      </c>
      <c r="E1013" s="352">
        <v>8.3000000000000007</v>
      </c>
      <c r="F1013" s="352">
        <v>0</v>
      </c>
    </row>
    <row r="1014" spans="1:6" ht="15.75" customHeight="1">
      <c r="A1014" s="350" t="s">
        <v>1925</v>
      </c>
      <c r="B1014" s="351">
        <v>100</v>
      </c>
      <c r="C1014" s="351" t="s">
        <v>913</v>
      </c>
      <c r="D1014" s="352">
        <v>20.3</v>
      </c>
      <c r="E1014" s="352">
        <v>4</v>
      </c>
      <c r="F1014" s="352">
        <v>0</v>
      </c>
    </row>
    <row r="1015" spans="1:6" ht="15.75" customHeight="1">
      <c r="A1015" s="350" t="s">
        <v>1926</v>
      </c>
      <c r="B1015" s="351">
        <v>100</v>
      </c>
      <c r="C1015" s="351" t="s">
        <v>913</v>
      </c>
      <c r="D1015" s="352">
        <v>22.7</v>
      </c>
      <c r="E1015" s="352">
        <v>6.3</v>
      </c>
      <c r="F1015" s="352">
        <v>2.9</v>
      </c>
    </row>
    <row r="1016" spans="1:6" ht="15.75" customHeight="1">
      <c r="A1016" s="350" t="s">
        <v>1927</v>
      </c>
      <c r="B1016" s="351">
        <v>100</v>
      </c>
      <c r="C1016" s="351" t="s">
        <v>913</v>
      </c>
      <c r="D1016" s="352">
        <v>20.2</v>
      </c>
      <c r="E1016" s="352">
        <v>4.7</v>
      </c>
      <c r="F1016" s="352">
        <v>0</v>
      </c>
    </row>
    <row r="1017" spans="1:6" ht="15.75" customHeight="1">
      <c r="A1017" s="350" t="s">
        <v>1928</v>
      </c>
      <c r="B1017" s="351">
        <v>100</v>
      </c>
      <c r="C1017" s="351" t="s">
        <v>913</v>
      </c>
      <c r="D1017" s="352">
        <v>15.7</v>
      </c>
      <c r="E1017" s="352">
        <v>2.8</v>
      </c>
      <c r="F1017" s="352">
        <v>0</v>
      </c>
    </row>
    <row r="1018" spans="1:6" ht="15.75" customHeight="1">
      <c r="A1018" s="350" t="s">
        <v>1929</v>
      </c>
      <c r="B1018" s="351">
        <v>100</v>
      </c>
      <c r="C1018" s="351" t="s">
        <v>913</v>
      </c>
      <c r="D1018" s="352">
        <v>24.2</v>
      </c>
      <c r="E1018" s="352">
        <v>16.600000000000001</v>
      </c>
      <c r="F1018" s="352">
        <v>3.2</v>
      </c>
    </row>
    <row r="1019" spans="1:6" ht="15.75" customHeight="1">
      <c r="A1019" s="350" t="s">
        <v>1930</v>
      </c>
      <c r="B1019" s="351">
        <v>100</v>
      </c>
      <c r="C1019" s="351" t="s">
        <v>913</v>
      </c>
      <c r="D1019" s="352">
        <v>20.5</v>
      </c>
      <c r="E1019" s="352">
        <v>3.2</v>
      </c>
      <c r="F1019" s="352">
        <v>0</v>
      </c>
    </row>
    <row r="1020" spans="1:6" ht="15.75" customHeight="1">
      <c r="A1020" s="350" t="s">
        <v>1931</v>
      </c>
      <c r="B1020" s="351">
        <v>100</v>
      </c>
      <c r="C1020" s="351" t="s">
        <v>913</v>
      </c>
      <c r="D1020" s="352">
        <v>4</v>
      </c>
      <c r="E1020" s="352">
        <v>1.4</v>
      </c>
      <c r="F1020" s="352">
        <v>14.9</v>
      </c>
    </row>
    <row r="1021" spans="1:6" ht="15.75" customHeight="1">
      <c r="A1021" s="350" t="s">
        <v>1932</v>
      </c>
      <c r="B1021" s="351">
        <v>100</v>
      </c>
      <c r="C1021" s="351" t="s">
        <v>913</v>
      </c>
      <c r="D1021" s="352">
        <v>1.4</v>
      </c>
      <c r="E1021" s="352">
        <v>0.6</v>
      </c>
      <c r="F1021" s="352">
        <v>1.7</v>
      </c>
    </row>
    <row r="1022" spans="1:6" ht="15.75" customHeight="1">
      <c r="A1022" s="350" t="s">
        <v>1933</v>
      </c>
      <c r="B1022" s="351">
        <v>100</v>
      </c>
      <c r="C1022" s="351" t="s">
        <v>913</v>
      </c>
      <c r="D1022" s="352">
        <v>0.3</v>
      </c>
      <c r="E1022" s="352">
        <v>0.4</v>
      </c>
      <c r="F1022" s="352">
        <v>9.4</v>
      </c>
    </row>
    <row r="1023" spans="1:6" ht="15.75" customHeight="1">
      <c r="A1023" s="350" t="s">
        <v>1934</v>
      </c>
      <c r="B1023" s="351">
        <v>100</v>
      </c>
      <c r="C1023" s="351" t="s">
        <v>913</v>
      </c>
      <c r="D1023" s="352">
        <v>0.2</v>
      </c>
      <c r="E1023" s="352">
        <v>0.3</v>
      </c>
      <c r="F1023" s="352">
        <v>28.9</v>
      </c>
    </row>
    <row r="1024" spans="1:6" ht="15.75" customHeight="1">
      <c r="A1024" s="350" t="s">
        <v>1935</v>
      </c>
      <c r="B1024" s="351">
        <v>100</v>
      </c>
      <c r="C1024" s="351" t="s">
        <v>913</v>
      </c>
      <c r="D1024" s="352">
        <v>0.3</v>
      </c>
      <c r="E1024" s="352">
        <v>0.4</v>
      </c>
      <c r="F1024" s="352">
        <v>14.5</v>
      </c>
    </row>
    <row r="1025" spans="1:6" ht="15.75" customHeight="1">
      <c r="A1025" s="350" t="s">
        <v>1936</v>
      </c>
      <c r="B1025" s="351">
        <v>100</v>
      </c>
      <c r="C1025" s="351" t="s">
        <v>913</v>
      </c>
      <c r="D1025" s="352">
        <v>0.3</v>
      </c>
      <c r="E1025" s="352">
        <v>0.4</v>
      </c>
      <c r="F1025" s="352">
        <v>7.8</v>
      </c>
    </row>
    <row r="1026" spans="1:6" ht="15.75" customHeight="1">
      <c r="A1026" s="350" t="s">
        <v>1937</v>
      </c>
      <c r="B1026" s="351">
        <v>100</v>
      </c>
      <c r="C1026" s="351" t="s">
        <v>913</v>
      </c>
      <c r="D1026" s="352">
        <v>0.2</v>
      </c>
      <c r="E1026" s="352">
        <v>0.1</v>
      </c>
      <c r="F1026" s="352">
        <v>69.8</v>
      </c>
    </row>
    <row r="1027" spans="1:6" ht="15.75" customHeight="1">
      <c r="A1027" s="350" t="s">
        <v>1938</v>
      </c>
      <c r="B1027" s="351">
        <v>100</v>
      </c>
      <c r="C1027" s="351" t="s">
        <v>913</v>
      </c>
      <c r="D1027" s="352">
        <v>1.9</v>
      </c>
      <c r="E1027" s="352">
        <v>2.6</v>
      </c>
      <c r="F1027" s="352">
        <v>59.9</v>
      </c>
    </row>
    <row r="1028" spans="1:6" ht="15.75" customHeight="1">
      <c r="A1028" s="350" t="s">
        <v>1939</v>
      </c>
      <c r="B1028" s="351">
        <v>100</v>
      </c>
      <c r="C1028" s="351" t="s">
        <v>913</v>
      </c>
      <c r="D1028" s="352">
        <v>13.6</v>
      </c>
      <c r="E1028" s="352">
        <v>0.5</v>
      </c>
      <c r="F1028" s="352">
        <v>0</v>
      </c>
    </row>
    <row r="1029" spans="1:6" ht="15.75" customHeight="1">
      <c r="A1029" s="350" t="s">
        <v>1940</v>
      </c>
      <c r="B1029" s="351">
        <v>100</v>
      </c>
      <c r="C1029" s="351" t="s">
        <v>913</v>
      </c>
      <c r="D1029" s="352">
        <v>23</v>
      </c>
      <c r="E1029" s="352">
        <v>1.3</v>
      </c>
      <c r="F1029" s="352">
        <v>0</v>
      </c>
    </row>
    <row r="1030" spans="1:6" ht="15.75" customHeight="1">
      <c r="A1030" s="350" t="s">
        <v>1941</v>
      </c>
      <c r="B1030" s="351">
        <v>100</v>
      </c>
      <c r="C1030" s="351" t="s">
        <v>913</v>
      </c>
      <c r="D1030" s="352">
        <v>24.7</v>
      </c>
      <c r="E1030" s="352">
        <v>11.4</v>
      </c>
      <c r="F1030" s="352">
        <v>0.7</v>
      </c>
    </row>
    <row r="1031" spans="1:6" ht="15.75" customHeight="1">
      <c r="A1031" s="350" t="s">
        <v>1942</v>
      </c>
      <c r="B1031" s="351">
        <v>100</v>
      </c>
      <c r="C1031" s="351" t="s">
        <v>913</v>
      </c>
      <c r="D1031" s="352">
        <v>21.9</v>
      </c>
      <c r="E1031" s="352">
        <v>7.6</v>
      </c>
      <c r="F1031" s="352">
        <v>0.4</v>
      </c>
    </row>
    <row r="1032" spans="1:6" ht="15.75" customHeight="1">
      <c r="A1032" s="350" t="s">
        <v>1943</v>
      </c>
      <c r="B1032" s="351">
        <v>100</v>
      </c>
      <c r="C1032" s="351" t="s">
        <v>913</v>
      </c>
      <c r="D1032" s="352">
        <v>21.7</v>
      </c>
      <c r="E1032" s="352">
        <v>10</v>
      </c>
      <c r="F1032" s="352">
        <v>0.2</v>
      </c>
    </row>
    <row r="1033" spans="1:6" ht="15.75" customHeight="1">
      <c r="A1033" s="350" t="s">
        <v>1944</v>
      </c>
      <c r="B1033" s="351">
        <v>100</v>
      </c>
      <c r="C1033" s="351" t="s">
        <v>913</v>
      </c>
      <c r="D1033" s="352">
        <v>21.7</v>
      </c>
      <c r="E1033" s="352">
        <v>10</v>
      </c>
      <c r="F1033" s="352">
        <v>0.2</v>
      </c>
    </row>
    <row r="1034" spans="1:6" ht="15.75" customHeight="1">
      <c r="A1034" s="350" t="s">
        <v>1945</v>
      </c>
      <c r="B1034" s="351">
        <v>100</v>
      </c>
      <c r="C1034" s="351" t="s">
        <v>913</v>
      </c>
      <c r="D1034" s="352">
        <v>24.3</v>
      </c>
      <c r="E1034" s="352">
        <v>4.2</v>
      </c>
      <c r="F1034" s="352">
        <v>0</v>
      </c>
    </row>
    <row r="1035" spans="1:6" ht="15.75" customHeight="1">
      <c r="A1035" s="350" t="s">
        <v>1946</v>
      </c>
      <c r="B1035" s="351">
        <v>100</v>
      </c>
      <c r="C1035" s="351" t="s">
        <v>913</v>
      </c>
      <c r="D1035" s="352">
        <v>19.3</v>
      </c>
      <c r="E1035" s="352">
        <v>4</v>
      </c>
      <c r="F1035" s="352">
        <v>0</v>
      </c>
    </row>
    <row r="1036" spans="1:6" ht="15.75" customHeight="1">
      <c r="A1036" s="350" t="s">
        <v>1947</v>
      </c>
      <c r="B1036" s="351">
        <v>100</v>
      </c>
      <c r="C1036" s="351" t="s">
        <v>913</v>
      </c>
      <c r="D1036" s="352">
        <v>24.3</v>
      </c>
      <c r="E1036" s="352">
        <v>20.9</v>
      </c>
      <c r="F1036" s="352">
        <v>0</v>
      </c>
    </row>
    <row r="1037" spans="1:6" ht="15.75" customHeight="1">
      <c r="A1037" s="350" t="s">
        <v>1948</v>
      </c>
      <c r="B1037" s="351">
        <v>100</v>
      </c>
      <c r="C1037" s="351" t="s">
        <v>913</v>
      </c>
      <c r="D1037" s="352">
        <v>19.100000000000001</v>
      </c>
      <c r="E1037" s="352">
        <v>22.2</v>
      </c>
      <c r="F1037" s="352">
        <v>0</v>
      </c>
    </row>
    <row r="1038" spans="1:6" ht="15.75" customHeight="1">
      <c r="A1038" s="350" t="s">
        <v>1949</v>
      </c>
      <c r="B1038" s="351">
        <v>100</v>
      </c>
      <c r="C1038" s="351" t="s">
        <v>913</v>
      </c>
      <c r="D1038" s="352">
        <v>26.5</v>
      </c>
      <c r="E1038" s="352">
        <v>25.9</v>
      </c>
      <c r="F1038" s="352">
        <v>0</v>
      </c>
    </row>
    <row r="1039" spans="1:6" ht="15.75" customHeight="1">
      <c r="A1039" s="350" t="s">
        <v>1950</v>
      </c>
      <c r="B1039" s="351">
        <v>100</v>
      </c>
      <c r="C1039" s="351" t="s">
        <v>913</v>
      </c>
      <c r="D1039" s="352">
        <v>23.5</v>
      </c>
      <c r="E1039" s="352">
        <v>16.399999999999999</v>
      </c>
      <c r="F1039" s="352">
        <v>0</v>
      </c>
    </row>
    <row r="1040" spans="1:6" ht="15.75" customHeight="1">
      <c r="A1040" s="350" t="s">
        <v>1951</v>
      </c>
      <c r="B1040" s="351">
        <v>100</v>
      </c>
      <c r="C1040" s="351" t="s">
        <v>913</v>
      </c>
      <c r="D1040" s="352">
        <v>23.5</v>
      </c>
      <c r="E1040" s="352">
        <v>15.3</v>
      </c>
      <c r="F1040" s="352">
        <v>0</v>
      </c>
    </row>
    <row r="1041" spans="1:6" ht="15.75" customHeight="1">
      <c r="A1041" s="350" t="s">
        <v>1952</v>
      </c>
      <c r="B1041" s="351">
        <v>100</v>
      </c>
      <c r="C1041" s="351" t="s">
        <v>913</v>
      </c>
      <c r="D1041" s="352">
        <v>24.2</v>
      </c>
      <c r="E1041" s="352">
        <v>9</v>
      </c>
      <c r="F1041" s="352">
        <v>0</v>
      </c>
    </row>
    <row r="1042" spans="1:6" ht="15.75" customHeight="1">
      <c r="A1042" s="350" t="s">
        <v>1953</v>
      </c>
      <c r="B1042" s="351">
        <v>100</v>
      </c>
      <c r="C1042" s="351" t="s">
        <v>913</v>
      </c>
      <c r="D1042" s="352">
        <v>19.8</v>
      </c>
      <c r="E1042" s="352">
        <v>5.6</v>
      </c>
      <c r="F1042" s="352">
        <v>0</v>
      </c>
    </row>
    <row r="1043" spans="1:6" ht="15.75" customHeight="1">
      <c r="A1043" s="350" t="s">
        <v>1954</v>
      </c>
      <c r="B1043" s="351">
        <v>100</v>
      </c>
      <c r="C1043" s="351" t="s">
        <v>913</v>
      </c>
      <c r="D1043" s="352">
        <v>17.399999999999999</v>
      </c>
      <c r="E1043" s="352">
        <v>13.4</v>
      </c>
      <c r="F1043" s="352">
        <v>1.7</v>
      </c>
    </row>
    <row r="1044" spans="1:6" ht="15.75" customHeight="1">
      <c r="A1044" s="350" t="s">
        <v>1955</v>
      </c>
      <c r="B1044" s="351">
        <v>100</v>
      </c>
      <c r="C1044" s="351" t="s">
        <v>913</v>
      </c>
      <c r="D1044" s="352">
        <v>17.399999999999999</v>
      </c>
      <c r="E1044" s="352">
        <v>12.5</v>
      </c>
      <c r="F1044" s="352">
        <v>1.7</v>
      </c>
    </row>
    <row r="1045" spans="1:6" ht="15.75" customHeight="1">
      <c r="A1045" s="350" t="s">
        <v>1956</v>
      </c>
      <c r="B1045" s="351">
        <v>100</v>
      </c>
      <c r="C1045" s="351" t="s">
        <v>913</v>
      </c>
      <c r="D1045" s="352">
        <v>25.6</v>
      </c>
      <c r="E1045" s="352">
        <v>10.3</v>
      </c>
      <c r="F1045" s="352">
        <v>0</v>
      </c>
    </row>
    <row r="1046" spans="1:6" ht="15.75" customHeight="1">
      <c r="A1046" s="350" t="s">
        <v>1957</v>
      </c>
      <c r="B1046" s="351">
        <v>100</v>
      </c>
      <c r="C1046" s="351" t="s">
        <v>913</v>
      </c>
      <c r="D1046" s="352">
        <v>31.5</v>
      </c>
      <c r="E1046" s="352">
        <v>2.2999999999999998</v>
      </c>
      <c r="F1046" s="352">
        <v>0</v>
      </c>
    </row>
    <row r="1047" spans="1:6" ht="15.75" customHeight="1">
      <c r="A1047" s="350" t="s">
        <v>1958</v>
      </c>
      <c r="B1047" s="351">
        <v>100</v>
      </c>
      <c r="C1047" s="351" t="s">
        <v>913</v>
      </c>
      <c r="D1047" s="352">
        <v>22</v>
      </c>
      <c r="E1047" s="352">
        <v>2.6</v>
      </c>
      <c r="F1047" s="352">
        <v>0</v>
      </c>
    </row>
    <row r="1048" spans="1:6" ht="15.75" customHeight="1">
      <c r="A1048" s="350" t="s">
        <v>1959</v>
      </c>
      <c r="B1048" s="351">
        <v>100</v>
      </c>
      <c r="C1048" s="351" t="s">
        <v>913</v>
      </c>
      <c r="D1048" s="352">
        <v>19.100000000000001</v>
      </c>
      <c r="E1048" s="352">
        <v>4.4000000000000004</v>
      </c>
      <c r="F1048" s="352">
        <v>1.6</v>
      </c>
    </row>
    <row r="1049" spans="1:6" ht="15.75" customHeight="1">
      <c r="A1049" s="350" t="s">
        <v>1960</v>
      </c>
      <c r="B1049" s="351">
        <v>100</v>
      </c>
      <c r="C1049" s="351" t="s">
        <v>913</v>
      </c>
      <c r="D1049" s="352">
        <v>19.100000000000001</v>
      </c>
      <c r="E1049" s="352">
        <v>4.0999999999999996</v>
      </c>
      <c r="F1049" s="352">
        <v>1.6</v>
      </c>
    </row>
    <row r="1050" spans="1:6" ht="15.75" customHeight="1">
      <c r="A1050" s="350" t="s">
        <v>1961</v>
      </c>
      <c r="B1050" s="351">
        <v>100</v>
      </c>
      <c r="C1050" s="351" t="s">
        <v>913</v>
      </c>
      <c r="D1050" s="352">
        <v>32.9</v>
      </c>
      <c r="E1050" s="352">
        <v>5.4</v>
      </c>
      <c r="F1050" s="352">
        <v>0</v>
      </c>
    </row>
    <row r="1051" spans="1:6" ht="15.75" customHeight="1">
      <c r="A1051" s="350" t="s">
        <v>1962</v>
      </c>
      <c r="B1051" s="351">
        <v>100</v>
      </c>
      <c r="C1051" s="351" t="s">
        <v>913</v>
      </c>
      <c r="D1051" s="352">
        <v>24.4</v>
      </c>
      <c r="E1051" s="352">
        <v>12.5</v>
      </c>
      <c r="F1051" s="352">
        <v>0</v>
      </c>
    </row>
    <row r="1052" spans="1:6" ht="15.75" customHeight="1">
      <c r="A1052" s="350" t="s">
        <v>1963</v>
      </c>
      <c r="B1052" s="351">
        <v>100</v>
      </c>
      <c r="C1052" s="351" t="s">
        <v>913</v>
      </c>
      <c r="D1052" s="352">
        <v>18.899999999999999</v>
      </c>
      <c r="E1052" s="352">
        <v>8.1</v>
      </c>
      <c r="F1052" s="352">
        <v>0</v>
      </c>
    </row>
    <row r="1053" spans="1:6" ht="15.75" customHeight="1">
      <c r="A1053" s="350" t="s">
        <v>1964</v>
      </c>
      <c r="B1053" s="351">
        <v>100</v>
      </c>
      <c r="C1053" s="351" t="s">
        <v>913</v>
      </c>
      <c r="D1053" s="352">
        <v>19.100000000000001</v>
      </c>
      <c r="E1053" s="352">
        <v>9.6999999999999993</v>
      </c>
      <c r="F1053" s="352">
        <v>1.3</v>
      </c>
    </row>
    <row r="1054" spans="1:6" ht="15.75" customHeight="1">
      <c r="A1054" s="350" t="s">
        <v>1965</v>
      </c>
      <c r="B1054" s="351">
        <v>100</v>
      </c>
      <c r="C1054" s="351" t="s">
        <v>913</v>
      </c>
      <c r="D1054" s="352">
        <v>22.4</v>
      </c>
      <c r="E1054" s="352">
        <v>28.2</v>
      </c>
      <c r="F1054" s="352">
        <v>0.2</v>
      </c>
    </row>
    <row r="1055" spans="1:6" ht="15.75" customHeight="1">
      <c r="A1055" s="350" t="s">
        <v>1966</v>
      </c>
      <c r="B1055" s="351">
        <v>100</v>
      </c>
      <c r="C1055" s="351" t="s">
        <v>913</v>
      </c>
      <c r="D1055" s="352">
        <v>22.4</v>
      </c>
      <c r="E1055" s="352">
        <v>27.6</v>
      </c>
      <c r="F1055" s="352">
        <v>0.2</v>
      </c>
    </row>
    <row r="1056" spans="1:6" ht="15.75" customHeight="1">
      <c r="A1056" s="350" t="s">
        <v>1967</v>
      </c>
      <c r="B1056" s="351">
        <v>100</v>
      </c>
      <c r="C1056" s="351" t="s">
        <v>913</v>
      </c>
      <c r="D1056" s="352">
        <v>22.4</v>
      </c>
      <c r="E1056" s="352">
        <v>28.2</v>
      </c>
      <c r="F1056" s="352">
        <v>0.2</v>
      </c>
    </row>
    <row r="1057" spans="1:6" ht="15.75" customHeight="1">
      <c r="A1057" s="350" t="s">
        <v>1968</v>
      </c>
      <c r="B1057" s="351">
        <v>100</v>
      </c>
      <c r="C1057" s="351" t="s">
        <v>913</v>
      </c>
      <c r="D1057" s="352">
        <v>27.6</v>
      </c>
      <c r="E1057" s="352">
        <v>19.2</v>
      </c>
      <c r="F1057" s="352">
        <v>0</v>
      </c>
    </row>
    <row r="1058" spans="1:6" ht="15.75" customHeight="1">
      <c r="A1058" s="350" t="s">
        <v>1969</v>
      </c>
      <c r="B1058" s="351">
        <v>100</v>
      </c>
      <c r="C1058" s="351" t="s">
        <v>913</v>
      </c>
      <c r="D1058" s="352">
        <v>18.100000000000001</v>
      </c>
      <c r="E1058" s="352">
        <v>18.5</v>
      </c>
      <c r="F1058" s="352">
        <v>0</v>
      </c>
    </row>
    <row r="1059" spans="1:6" ht="15.75" customHeight="1">
      <c r="A1059" s="350" t="s">
        <v>1970</v>
      </c>
      <c r="B1059" s="351">
        <v>100</v>
      </c>
      <c r="C1059" s="351" t="s">
        <v>913</v>
      </c>
      <c r="D1059" s="352">
        <v>25.5</v>
      </c>
      <c r="E1059" s="352">
        <v>20.6</v>
      </c>
      <c r="F1059" s="352">
        <v>0</v>
      </c>
    </row>
    <row r="1060" spans="1:6" ht="15.75" customHeight="1">
      <c r="A1060" s="350" t="s">
        <v>1971</v>
      </c>
      <c r="B1060" s="351">
        <v>100</v>
      </c>
      <c r="C1060" s="351" t="s">
        <v>913</v>
      </c>
      <c r="D1060" s="352">
        <v>26</v>
      </c>
      <c r="E1060" s="352">
        <v>14.6</v>
      </c>
      <c r="F1060" s="352">
        <v>0.2</v>
      </c>
    </row>
    <row r="1061" spans="1:6" ht="15.75" customHeight="1">
      <c r="A1061" s="350" t="s">
        <v>1972</v>
      </c>
      <c r="B1061" s="351">
        <v>100</v>
      </c>
      <c r="C1061" s="351" t="s">
        <v>913</v>
      </c>
      <c r="D1061" s="352">
        <v>26</v>
      </c>
      <c r="E1061" s="352">
        <v>14</v>
      </c>
      <c r="F1061" s="352">
        <v>0.2</v>
      </c>
    </row>
    <row r="1062" spans="1:6" ht="15.75" customHeight="1">
      <c r="A1062" s="350" t="s">
        <v>1973</v>
      </c>
      <c r="B1062" s="351">
        <v>100</v>
      </c>
      <c r="C1062" s="351" t="s">
        <v>913</v>
      </c>
      <c r="D1062" s="352">
        <v>26</v>
      </c>
      <c r="E1062" s="352">
        <v>14.5</v>
      </c>
      <c r="F1062" s="352">
        <v>0.2</v>
      </c>
    </row>
    <row r="1063" spans="1:6" ht="15.75" customHeight="1">
      <c r="A1063" s="350" t="s">
        <v>1974</v>
      </c>
      <c r="B1063" s="351">
        <v>100</v>
      </c>
      <c r="C1063" s="351" t="s">
        <v>913</v>
      </c>
      <c r="D1063" s="352">
        <v>31</v>
      </c>
      <c r="E1063" s="352">
        <v>9.9</v>
      </c>
      <c r="F1063" s="352">
        <v>0</v>
      </c>
    </row>
    <row r="1064" spans="1:6" ht="15.75" customHeight="1">
      <c r="A1064" s="350" t="s">
        <v>1975</v>
      </c>
      <c r="B1064" s="351">
        <v>100</v>
      </c>
      <c r="C1064" s="351" t="s">
        <v>913</v>
      </c>
      <c r="D1064" s="352">
        <v>21</v>
      </c>
      <c r="E1064" s="352">
        <v>7.5</v>
      </c>
      <c r="F1064" s="352">
        <v>0</v>
      </c>
    </row>
    <row r="1065" spans="1:6" ht="15.75" customHeight="1">
      <c r="A1065" s="350" t="s">
        <v>1976</v>
      </c>
      <c r="B1065" s="351">
        <v>100</v>
      </c>
      <c r="C1065" s="351" t="s">
        <v>913</v>
      </c>
      <c r="D1065" s="352">
        <v>22.4</v>
      </c>
      <c r="E1065" s="352">
        <v>11.9</v>
      </c>
      <c r="F1065" s="352">
        <v>0.7</v>
      </c>
    </row>
    <row r="1066" spans="1:6" ht="15.75" customHeight="1">
      <c r="A1066" s="350" t="s">
        <v>1977</v>
      </c>
      <c r="B1066" s="351">
        <v>100</v>
      </c>
      <c r="C1066" s="351" t="s">
        <v>913</v>
      </c>
      <c r="D1066" s="352">
        <v>22.4</v>
      </c>
      <c r="E1066" s="352">
        <v>11.6</v>
      </c>
      <c r="F1066" s="352">
        <v>0.7</v>
      </c>
    </row>
    <row r="1067" spans="1:6" ht="15.75" customHeight="1">
      <c r="A1067" s="350" t="s">
        <v>1978</v>
      </c>
      <c r="B1067" s="351">
        <v>100</v>
      </c>
      <c r="C1067" s="351" t="s">
        <v>913</v>
      </c>
      <c r="D1067" s="352">
        <v>22.4</v>
      </c>
      <c r="E1067" s="352">
        <v>11.1</v>
      </c>
      <c r="F1067" s="352">
        <v>0.7</v>
      </c>
    </row>
    <row r="1068" spans="1:6" ht="15.75" customHeight="1">
      <c r="A1068" s="350" t="s">
        <v>1979</v>
      </c>
      <c r="B1068" s="351">
        <v>100</v>
      </c>
      <c r="C1068" s="351" t="s">
        <v>913</v>
      </c>
      <c r="D1068" s="352">
        <v>22.4</v>
      </c>
      <c r="E1068" s="352">
        <v>11.9</v>
      </c>
      <c r="F1068" s="352">
        <v>0.7</v>
      </c>
    </row>
    <row r="1069" spans="1:6" ht="15.75" customHeight="1">
      <c r="A1069" s="350" t="s">
        <v>1980</v>
      </c>
      <c r="B1069" s="351">
        <v>100</v>
      </c>
      <c r="C1069" s="351" t="s">
        <v>913</v>
      </c>
      <c r="D1069" s="352">
        <v>28.6</v>
      </c>
      <c r="E1069" s="352">
        <v>11</v>
      </c>
      <c r="F1069" s="352">
        <v>0</v>
      </c>
    </row>
    <row r="1070" spans="1:6" ht="15.75" customHeight="1">
      <c r="A1070" s="350" t="s">
        <v>1981</v>
      </c>
      <c r="B1070" s="351">
        <v>100</v>
      </c>
      <c r="C1070" s="351" t="s">
        <v>913</v>
      </c>
      <c r="D1070" s="352">
        <v>27.5</v>
      </c>
      <c r="E1070" s="352">
        <v>11.7</v>
      </c>
      <c r="F1070" s="352">
        <v>0</v>
      </c>
    </row>
    <row r="1071" spans="1:6" ht="15.75" customHeight="1">
      <c r="A1071" s="350" t="s">
        <v>1982</v>
      </c>
      <c r="B1071" s="351">
        <v>100</v>
      </c>
      <c r="C1071" s="351" t="s">
        <v>913</v>
      </c>
      <c r="D1071" s="352">
        <v>20.5</v>
      </c>
      <c r="E1071" s="352">
        <v>6.1</v>
      </c>
      <c r="F1071" s="352">
        <v>0</v>
      </c>
    </row>
    <row r="1072" spans="1:6" ht="15.75" customHeight="1">
      <c r="A1072" s="350" t="s">
        <v>1983</v>
      </c>
      <c r="B1072" s="351">
        <v>100</v>
      </c>
      <c r="C1072" s="351" t="s">
        <v>913</v>
      </c>
      <c r="D1072" s="352">
        <v>19.2</v>
      </c>
      <c r="E1072" s="352">
        <v>3.6</v>
      </c>
      <c r="F1072" s="352">
        <v>0</v>
      </c>
    </row>
    <row r="1073" spans="1:6" ht="15.75" customHeight="1">
      <c r="A1073" s="350" t="s">
        <v>1984</v>
      </c>
      <c r="B1073" s="351">
        <v>100</v>
      </c>
      <c r="C1073" s="351" t="s">
        <v>913</v>
      </c>
      <c r="D1073" s="352">
        <v>17.600000000000001</v>
      </c>
      <c r="E1073" s="352">
        <v>1.4</v>
      </c>
      <c r="F1073" s="352">
        <v>0</v>
      </c>
    </row>
    <row r="1074" spans="1:6" ht="15.75" customHeight="1">
      <c r="A1074" s="350" t="s">
        <v>1985</v>
      </c>
      <c r="B1074" s="351">
        <v>100</v>
      </c>
      <c r="C1074" s="351" t="s">
        <v>913</v>
      </c>
      <c r="D1074" s="352">
        <v>18.899999999999999</v>
      </c>
      <c r="E1074" s="352">
        <v>3.8</v>
      </c>
      <c r="F1074" s="352">
        <v>0</v>
      </c>
    </row>
    <row r="1075" spans="1:6" ht="15.75" customHeight="1">
      <c r="A1075" s="350" t="s">
        <v>1986</v>
      </c>
      <c r="B1075" s="351">
        <v>100</v>
      </c>
      <c r="C1075" s="351" t="s">
        <v>913</v>
      </c>
      <c r="D1075" s="352">
        <v>17.2</v>
      </c>
      <c r="E1075" s="352">
        <v>1.3</v>
      </c>
      <c r="F1075" s="352">
        <v>0</v>
      </c>
    </row>
    <row r="1076" spans="1:6" ht="15.75" customHeight="1">
      <c r="A1076" s="350" t="s">
        <v>1987</v>
      </c>
      <c r="B1076" s="351">
        <v>100</v>
      </c>
      <c r="C1076" s="351" t="s">
        <v>913</v>
      </c>
      <c r="D1076" s="352">
        <v>23.2</v>
      </c>
      <c r="E1076" s="352">
        <v>8.4</v>
      </c>
      <c r="F1076" s="352">
        <v>1.7</v>
      </c>
    </row>
    <row r="1077" spans="1:6" ht="15.75" customHeight="1">
      <c r="A1077" s="350" t="s">
        <v>1988</v>
      </c>
      <c r="B1077" s="351">
        <v>100</v>
      </c>
      <c r="C1077" s="351" t="s">
        <v>913</v>
      </c>
      <c r="D1077" s="352">
        <v>19.5</v>
      </c>
      <c r="E1077" s="352">
        <v>3.3</v>
      </c>
      <c r="F1077" s="352">
        <v>0</v>
      </c>
    </row>
    <row r="1078" spans="1:6" ht="15.75" customHeight="1">
      <c r="A1078" s="350" t="s">
        <v>1989</v>
      </c>
      <c r="B1078" s="351">
        <v>100</v>
      </c>
      <c r="C1078" s="351" t="s">
        <v>913</v>
      </c>
      <c r="D1078" s="352">
        <v>18</v>
      </c>
      <c r="E1078" s="352">
        <v>1.5</v>
      </c>
      <c r="F1078" s="352">
        <v>0</v>
      </c>
    </row>
    <row r="1079" spans="1:6" ht="15.75" customHeight="1">
      <c r="A1079" s="350" t="s">
        <v>1990</v>
      </c>
      <c r="B1079" s="351">
        <v>100</v>
      </c>
      <c r="C1079" s="351" t="s">
        <v>913</v>
      </c>
      <c r="D1079" s="352">
        <v>20.3</v>
      </c>
      <c r="E1079" s="352">
        <v>8.8000000000000007</v>
      </c>
      <c r="F1079" s="352">
        <v>2.6</v>
      </c>
    </row>
    <row r="1080" spans="1:6" ht="15.75" customHeight="1">
      <c r="A1080" s="350" t="s">
        <v>1991</v>
      </c>
      <c r="B1080" s="351">
        <v>100</v>
      </c>
      <c r="C1080" s="351" t="s">
        <v>913</v>
      </c>
      <c r="D1080" s="352">
        <v>20.100000000000001</v>
      </c>
      <c r="E1080" s="352">
        <v>3.7</v>
      </c>
      <c r="F1080" s="352">
        <v>0</v>
      </c>
    </row>
    <row r="1081" spans="1:6" ht="15.75" customHeight="1">
      <c r="A1081" s="350" t="s">
        <v>1992</v>
      </c>
      <c r="B1081" s="351">
        <v>100</v>
      </c>
      <c r="C1081" s="351" t="s">
        <v>913</v>
      </c>
      <c r="D1081" s="352">
        <v>17</v>
      </c>
      <c r="E1081" s="352">
        <v>0.8</v>
      </c>
      <c r="F1081" s="352">
        <v>0</v>
      </c>
    </row>
    <row r="1082" spans="1:6" ht="15.75" customHeight="1">
      <c r="A1082" s="350" t="s">
        <v>1993</v>
      </c>
      <c r="B1082" s="351">
        <v>100</v>
      </c>
      <c r="C1082" s="351" t="s">
        <v>913</v>
      </c>
      <c r="D1082" s="352">
        <v>21.7</v>
      </c>
      <c r="E1082" s="352">
        <v>7.9</v>
      </c>
      <c r="F1082" s="352">
        <v>1.4</v>
      </c>
    </row>
    <row r="1083" spans="1:6" ht="15.75" customHeight="1">
      <c r="A1083" s="350" t="s">
        <v>1994</v>
      </c>
      <c r="B1083" s="351">
        <v>100</v>
      </c>
      <c r="C1083" s="351" t="s">
        <v>913</v>
      </c>
      <c r="D1083" s="352">
        <v>21.7</v>
      </c>
      <c r="E1083" s="352">
        <v>8.6</v>
      </c>
      <c r="F1083" s="352">
        <v>2.1</v>
      </c>
    </row>
    <row r="1084" spans="1:6" ht="15.75" customHeight="1">
      <c r="A1084" s="350" t="s">
        <v>1995</v>
      </c>
      <c r="B1084" s="351">
        <v>100</v>
      </c>
      <c r="C1084" s="351" t="s">
        <v>913</v>
      </c>
      <c r="D1084" s="352">
        <v>0.6</v>
      </c>
      <c r="E1084" s="352">
        <v>0.3</v>
      </c>
      <c r="F1084" s="352">
        <v>8.1</v>
      </c>
    </row>
    <row r="1085" spans="1:6" ht="15.75" customHeight="1">
      <c r="A1085" s="350" t="s">
        <v>1996</v>
      </c>
      <c r="B1085" s="351">
        <v>100</v>
      </c>
      <c r="C1085" s="351" t="s">
        <v>913</v>
      </c>
      <c r="D1085" s="352">
        <v>0.2</v>
      </c>
      <c r="E1085" s="352">
        <v>0.1</v>
      </c>
      <c r="F1085" s="352">
        <v>20.6</v>
      </c>
    </row>
    <row r="1086" spans="1:6" ht="15.75" customHeight="1">
      <c r="A1086" s="350" t="s">
        <v>1997</v>
      </c>
      <c r="B1086" s="351">
        <v>100</v>
      </c>
      <c r="C1086" s="351" t="s">
        <v>913</v>
      </c>
      <c r="D1086" s="352">
        <v>21.7</v>
      </c>
      <c r="E1086" s="352">
        <v>11.9</v>
      </c>
      <c r="F1086" s="352">
        <v>0</v>
      </c>
    </row>
    <row r="1087" spans="1:6" ht="15.75" customHeight="1">
      <c r="A1087" s="350" t="s">
        <v>1998</v>
      </c>
      <c r="B1087" s="351">
        <v>100</v>
      </c>
      <c r="C1087" s="351" t="s">
        <v>913</v>
      </c>
      <c r="D1087" s="352">
        <v>0.5</v>
      </c>
      <c r="E1087" s="352">
        <v>0.5</v>
      </c>
      <c r="F1087" s="352">
        <v>16.5</v>
      </c>
    </row>
    <row r="1088" spans="1:6" ht="15.75" customHeight="1">
      <c r="A1088" s="350" t="s">
        <v>1999</v>
      </c>
      <c r="B1088" s="351">
        <v>100</v>
      </c>
      <c r="C1088" s="351" t="s">
        <v>913</v>
      </c>
      <c r="D1088" s="352">
        <v>10.4</v>
      </c>
      <c r="E1088" s="352">
        <v>2.1</v>
      </c>
      <c r="F1088" s="352">
        <v>48.3</v>
      </c>
    </row>
    <row r="1089" spans="1:6" ht="15.75" customHeight="1">
      <c r="A1089" s="350" t="s">
        <v>2000</v>
      </c>
      <c r="B1089" s="351">
        <v>100</v>
      </c>
      <c r="C1089" s="351" t="s">
        <v>913</v>
      </c>
      <c r="D1089" s="352">
        <v>10.7</v>
      </c>
      <c r="E1089" s="352">
        <v>2.7</v>
      </c>
      <c r="F1089" s="352">
        <v>38.299999999999997</v>
      </c>
    </row>
    <row r="1090" spans="1:6" ht="15.75" customHeight="1">
      <c r="A1090" s="350" t="s">
        <v>2001</v>
      </c>
      <c r="B1090" s="351">
        <v>100</v>
      </c>
      <c r="C1090" s="351" t="s">
        <v>913</v>
      </c>
      <c r="D1090" s="352">
        <v>10.7</v>
      </c>
      <c r="E1090" s="352">
        <v>3.3</v>
      </c>
      <c r="F1090" s="352">
        <v>44.5</v>
      </c>
    </row>
    <row r="1091" spans="1:6" ht="15.75" customHeight="1">
      <c r="A1091" s="350" t="s">
        <v>2002</v>
      </c>
      <c r="B1091" s="351">
        <v>100</v>
      </c>
      <c r="C1091" s="351" t="s">
        <v>913</v>
      </c>
      <c r="D1091" s="352">
        <v>1.6</v>
      </c>
      <c r="E1091" s="352">
        <v>0.6</v>
      </c>
      <c r="F1091" s="352">
        <v>2.7</v>
      </c>
    </row>
    <row r="1092" spans="1:6" ht="15.75" customHeight="1">
      <c r="A1092" s="350" t="s">
        <v>2003</v>
      </c>
      <c r="B1092" s="351">
        <v>100</v>
      </c>
      <c r="C1092" s="351" t="s">
        <v>913</v>
      </c>
      <c r="D1092" s="352">
        <v>2.7</v>
      </c>
      <c r="E1092" s="352">
        <v>0.6</v>
      </c>
      <c r="F1092" s="352">
        <v>3.7</v>
      </c>
    </row>
    <row r="1093" spans="1:6" ht="15.75" customHeight="1">
      <c r="A1093" s="350" t="s">
        <v>2004</v>
      </c>
      <c r="B1093" s="351">
        <v>100</v>
      </c>
      <c r="C1093" s="351" t="s">
        <v>913</v>
      </c>
      <c r="D1093" s="352">
        <v>33.200000000000003</v>
      </c>
      <c r="E1093" s="352">
        <v>51.7</v>
      </c>
      <c r="F1093" s="352">
        <v>5</v>
      </c>
    </row>
    <row r="1094" spans="1:6" ht="15.75" customHeight="1">
      <c r="A1094" s="350" t="s">
        <v>2005</v>
      </c>
      <c r="B1094" s="351">
        <v>100</v>
      </c>
      <c r="C1094" s="351" t="s">
        <v>913</v>
      </c>
      <c r="D1094" s="352">
        <v>18</v>
      </c>
      <c r="E1094" s="352">
        <v>53</v>
      </c>
      <c r="F1094" s="352">
        <v>12.6</v>
      </c>
    </row>
    <row r="1095" spans="1:6" ht="15.75" customHeight="1">
      <c r="A1095" s="350" t="s">
        <v>2006</v>
      </c>
      <c r="B1095" s="351">
        <v>100</v>
      </c>
      <c r="C1095" s="351" t="s">
        <v>913</v>
      </c>
      <c r="D1095" s="352">
        <v>18</v>
      </c>
      <c r="E1095" s="352">
        <v>53</v>
      </c>
      <c r="F1095" s="352">
        <v>12.6</v>
      </c>
    </row>
    <row r="1096" spans="1:6" ht="15.75" customHeight="1">
      <c r="A1096" s="350" t="s">
        <v>2007</v>
      </c>
      <c r="B1096" s="351">
        <v>100</v>
      </c>
      <c r="C1096" s="351" t="s">
        <v>913</v>
      </c>
      <c r="D1096" s="352">
        <v>10.5</v>
      </c>
      <c r="E1096" s="352">
        <v>10.1</v>
      </c>
      <c r="F1096" s="352">
        <v>33.200000000000003</v>
      </c>
    </row>
    <row r="1097" spans="1:6" ht="15.75" customHeight="1">
      <c r="A1097" s="350" t="s">
        <v>2008</v>
      </c>
      <c r="B1097" s="351">
        <v>100</v>
      </c>
      <c r="C1097" s="351" t="s">
        <v>913</v>
      </c>
      <c r="D1097" s="352">
        <v>11.7</v>
      </c>
      <c r="E1097" s="352">
        <v>12.5</v>
      </c>
      <c r="F1097" s="352">
        <v>29.2</v>
      </c>
    </row>
    <row r="1098" spans="1:6" ht="15.75" customHeight="1">
      <c r="A1098" s="350" t="s">
        <v>2009</v>
      </c>
      <c r="B1098" s="351">
        <v>100</v>
      </c>
      <c r="C1098" s="351" t="s">
        <v>913</v>
      </c>
      <c r="D1098" s="352">
        <v>12</v>
      </c>
      <c r="E1098" s="352">
        <v>10.6</v>
      </c>
      <c r="F1098" s="352">
        <v>70.599999999999994</v>
      </c>
    </row>
    <row r="1099" spans="1:6" ht="15.75" customHeight="1">
      <c r="A1099" s="350" t="s">
        <v>2010</v>
      </c>
      <c r="B1099" s="351">
        <v>100</v>
      </c>
      <c r="C1099" s="351" t="s">
        <v>913</v>
      </c>
      <c r="D1099" s="352">
        <v>6.5</v>
      </c>
      <c r="E1099" s="352">
        <v>2.5</v>
      </c>
      <c r="F1099" s="352">
        <v>86.2</v>
      </c>
    </row>
    <row r="1100" spans="1:6" ht="15.75" customHeight="1">
      <c r="A1100" s="350" t="s">
        <v>2011</v>
      </c>
      <c r="B1100" s="351">
        <v>100</v>
      </c>
      <c r="C1100" s="351" t="s">
        <v>913</v>
      </c>
      <c r="D1100" s="352">
        <v>22.7</v>
      </c>
      <c r="E1100" s="352">
        <v>1.3</v>
      </c>
      <c r="F1100" s="352">
        <v>0</v>
      </c>
    </row>
    <row r="1101" spans="1:6" ht="15.75" customHeight="1">
      <c r="A1101" s="350" t="s">
        <v>2012</v>
      </c>
      <c r="B1101" s="351">
        <v>100</v>
      </c>
      <c r="C1101" s="351" t="s">
        <v>913</v>
      </c>
      <c r="D1101" s="352">
        <v>15.6</v>
      </c>
      <c r="E1101" s="352">
        <v>1.2</v>
      </c>
      <c r="F1101" s="352">
        <v>0</v>
      </c>
    </row>
    <row r="1102" spans="1:6" ht="15.75" customHeight="1">
      <c r="A1102" s="350" t="s">
        <v>2013</v>
      </c>
      <c r="B1102" s="351">
        <v>100</v>
      </c>
      <c r="C1102" s="351" t="s">
        <v>913</v>
      </c>
      <c r="D1102" s="352">
        <v>20.3</v>
      </c>
      <c r="E1102" s="352">
        <v>16.7</v>
      </c>
      <c r="F1102" s="352">
        <v>0</v>
      </c>
    </row>
    <row r="1103" spans="1:6" ht="15.75" customHeight="1">
      <c r="A1103" s="350" t="s">
        <v>2014</v>
      </c>
      <c r="B1103" s="351">
        <v>100</v>
      </c>
      <c r="C1103" s="351" t="s">
        <v>913</v>
      </c>
      <c r="D1103" s="352">
        <v>16.3</v>
      </c>
      <c r="E1103" s="352">
        <v>1.1000000000000001</v>
      </c>
      <c r="F1103" s="352">
        <v>0</v>
      </c>
    </row>
    <row r="1104" spans="1:6" ht="15.75" customHeight="1">
      <c r="A1104" s="350" t="s">
        <v>2015</v>
      </c>
      <c r="B1104" s="351">
        <v>100</v>
      </c>
      <c r="C1104" s="351" t="s">
        <v>913</v>
      </c>
      <c r="D1104" s="352">
        <v>3</v>
      </c>
      <c r="E1104" s="352">
        <v>2.4</v>
      </c>
      <c r="F1104" s="352">
        <v>5.9</v>
      </c>
    </row>
    <row r="1105" spans="1:6" ht="15.75" customHeight="1">
      <c r="A1105" s="350" t="s">
        <v>2016</v>
      </c>
      <c r="B1105" s="351">
        <v>100</v>
      </c>
      <c r="C1105" s="351" t="s">
        <v>913</v>
      </c>
      <c r="D1105" s="352">
        <v>25</v>
      </c>
      <c r="E1105" s="352">
        <v>12.8</v>
      </c>
      <c r="F1105" s="352">
        <v>0</v>
      </c>
    </row>
    <row r="1106" spans="1:6" ht="15.75" customHeight="1">
      <c r="A1106" s="350" t="s">
        <v>2017</v>
      </c>
      <c r="B1106" s="351">
        <v>100</v>
      </c>
      <c r="C1106" s="351" t="s">
        <v>913</v>
      </c>
      <c r="D1106" s="352">
        <v>53</v>
      </c>
      <c r="E1106" s="352">
        <v>1.4</v>
      </c>
      <c r="F1106" s="352">
        <v>17.2</v>
      </c>
    </row>
    <row r="1107" spans="1:6" ht="15.75" customHeight="1">
      <c r="A1107" s="350" t="s">
        <v>2018</v>
      </c>
      <c r="B1107" s="351">
        <v>100</v>
      </c>
      <c r="C1107" s="351" t="s">
        <v>913</v>
      </c>
      <c r="D1107" s="352">
        <v>6.1</v>
      </c>
      <c r="E1107" s="352">
        <v>4.7</v>
      </c>
      <c r="F1107" s="352">
        <v>44.8</v>
      </c>
    </row>
    <row r="1108" spans="1:6" ht="15.75" customHeight="1">
      <c r="A1108" s="350" t="s">
        <v>2019</v>
      </c>
      <c r="B1108" s="351">
        <v>100</v>
      </c>
      <c r="C1108" s="351" t="s">
        <v>913</v>
      </c>
      <c r="D1108" s="352">
        <v>6.2</v>
      </c>
      <c r="E1108" s="352">
        <v>4.5</v>
      </c>
      <c r="F1108" s="352">
        <v>36.299999999999997</v>
      </c>
    </row>
    <row r="1109" spans="1:6" ht="15.75" customHeight="1">
      <c r="A1109" s="350" t="s">
        <v>2020</v>
      </c>
      <c r="B1109" s="351">
        <v>100</v>
      </c>
      <c r="C1109" s="351" t="s">
        <v>913</v>
      </c>
      <c r="D1109" s="352">
        <v>2</v>
      </c>
      <c r="E1109" s="352">
        <v>9.4</v>
      </c>
      <c r="F1109" s="352">
        <v>79.400000000000006</v>
      </c>
    </row>
    <row r="1110" spans="1:6" ht="15.75" customHeight="1">
      <c r="A1110" s="350" t="s">
        <v>2021</v>
      </c>
      <c r="B1110" s="351">
        <v>100</v>
      </c>
      <c r="C1110" s="351" t="s">
        <v>913</v>
      </c>
      <c r="D1110" s="352">
        <v>3.2</v>
      </c>
      <c r="E1110" s="352">
        <v>1.9</v>
      </c>
      <c r="F1110" s="352">
        <v>18.3</v>
      </c>
    </row>
    <row r="1111" spans="1:6" ht="15.75" customHeight="1">
      <c r="A1111" s="350" t="s">
        <v>2022</v>
      </c>
      <c r="B1111" s="351">
        <v>100</v>
      </c>
      <c r="C1111" s="351" t="s">
        <v>913</v>
      </c>
      <c r="D1111" s="352">
        <v>3.1</v>
      </c>
      <c r="E1111" s="352">
        <v>3</v>
      </c>
      <c r="F1111" s="352">
        <v>18.3</v>
      </c>
    </row>
    <row r="1112" spans="1:6" ht="15.75" customHeight="1">
      <c r="A1112" s="350" t="s">
        <v>2023</v>
      </c>
      <c r="B1112" s="351">
        <v>100</v>
      </c>
      <c r="C1112" s="351" t="s">
        <v>913</v>
      </c>
      <c r="D1112" s="352">
        <v>13.9</v>
      </c>
      <c r="E1112" s="352">
        <v>5</v>
      </c>
      <c r="F1112" s="352">
        <v>0.2</v>
      </c>
    </row>
    <row r="1113" spans="1:6" ht="15.75" customHeight="1">
      <c r="A1113" s="350" t="s">
        <v>2024</v>
      </c>
      <c r="B1113" s="351">
        <v>100</v>
      </c>
      <c r="C1113" s="351" t="s">
        <v>913</v>
      </c>
      <c r="D1113" s="352">
        <v>2.2999999999999998</v>
      </c>
      <c r="E1113" s="352">
        <v>5.2</v>
      </c>
      <c r="F1113" s="352">
        <v>16.8</v>
      </c>
    </row>
    <row r="1114" spans="1:6" ht="15.75" customHeight="1">
      <c r="A1114" s="350" t="s">
        <v>2025</v>
      </c>
      <c r="B1114" s="351">
        <v>100</v>
      </c>
      <c r="C1114" s="351" t="s">
        <v>913</v>
      </c>
      <c r="D1114" s="352">
        <v>7.5</v>
      </c>
      <c r="E1114" s="352">
        <v>4.7</v>
      </c>
      <c r="F1114" s="352">
        <v>56.7</v>
      </c>
    </row>
    <row r="1115" spans="1:6" ht="15.75" customHeight="1">
      <c r="A1115" s="350" t="s">
        <v>2026</v>
      </c>
      <c r="B1115" s="351">
        <v>100</v>
      </c>
      <c r="C1115" s="351" t="s">
        <v>913</v>
      </c>
      <c r="D1115" s="352">
        <v>6.7</v>
      </c>
      <c r="E1115" s="352">
        <v>4.7</v>
      </c>
      <c r="F1115" s="352">
        <v>55.4</v>
      </c>
    </row>
    <row r="1116" spans="1:6" ht="15.75" customHeight="1">
      <c r="A1116" s="350" t="s">
        <v>2027</v>
      </c>
      <c r="B1116" s="351">
        <v>100</v>
      </c>
      <c r="C1116" s="351" t="s">
        <v>913</v>
      </c>
      <c r="D1116" s="352">
        <v>7.2</v>
      </c>
      <c r="E1116" s="352">
        <v>13.1</v>
      </c>
      <c r="F1116" s="352">
        <v>40.799999999999997</v>
      </c>
    </row>
    <row r="1117" spans="1:6" ht="15.75" customHeight="1">
      <c r="A1117" s="350" t="s">
        <v>2028</v>
      </c>
      <c r="B1117" s="351">
        <v>100</v>
      </c>
      <c r="C1117" s="351" t="s">
        <v>913</v>
      </c>
      <c r="D1117" s="352">
        <v>18.8</v>
      </c>
      <c r="E1117" s="352">
        <v>27.3</v>
      </c>
      <c r="F1117" s="352">
        <v>0</v>
      </c>
    </row>
    <row r="1118" spans="1:6" ht="15.75" customHeight="1">
      <c r="A1118" s="350" t="s">
        <v>2029</v>
      </c>
      <c r="B1118" s="351">
        <v>100</v>
      </c>
      <c r="C1118" s="351" t="s">
        <v>913</v>
      </c>
      <c r="D1118" s="352">
        <v>19.2</v>
      </c>
      <c r="E1118" s="352">
        <v>19.600000000000001</v>
      </c>
      <c r="F1118" s="352">
        <v>0.2</v>
      </c>
    </row>
    <row r="1119" spans="1:6" ht="15.75" customHeight="1">
      <c r="A1119" s="350" t="s">
        <v>2030</v>
      </c>
      <c r="B1119" s="351">
        <v>100</v>
      </c>
      <c r="C1119" s="351" t="s">
        <v>913</v>
      </c>
      <c r="D1119" s="352">
        <v>25.4</v>
      </c>
      <c r="E1119" s="352">
        <v>34.9</v>
      </c>
      <c r="F1119" s="352">
        <v>0.1</v>
      </c>
    </row>
    <row r="1120" spans="1:6" ht="15.75" customHeight="1">
      <c r="A1120" s="350" t="s">
        <v>2031</v>
      </c>
      <c r="B1120" s="351">
        <v>100</v>
      </c>
      <c r="C1120" s="351" t="s">
        <v>913</v>
      </c>
      <c r="D1120" s="352">
        <v>9.3000000000000007</v>
      </c>
      <c r="E1120" s="352">
        <v>22</v>
      </c>
      <c r="F1120" s="352">
        <v>6.9</v>
      </c>
    </row>
    <row r="1121" spans="1:6" ht="15.75" customHeight="1">
      <c r="A1121" s="350" t="s">
        <v>2032</v>
      </c>
      <c r="B1121" s="351">
        <v>100</v>
      </c>
      <c r="C1121" s="351" t="s">
        <v>913</v>
      </c>
      <c r="D1121" s="352">
        <v>9.3000000000000007</v>
      </c>
      <c r="E1121" s="352">
        <v>22</v>
      </c>
      <c r="F1121" s="352">
        <v>6.9</v>
      </c>
    </row>
    <row r="1122" spans="1:6" ht="15.75" customHeight="1">
      <c r="A1122" s="350" t="s">
        <v>2033</v>
      </c>
      <c r="B1122" s="351">
        <v>100</v>
      </c>
      <c r="C1122" s="351" t="s">
        <v>913</v>
      </c>
      <c r="D1122" s="352">
        <v>31.5</v>
      </c>
      <c r="E1122" s="352">
        <v>25.7</v>
      </c>
      <c r="F1122" s="352">
        <v>0.2</v>
      </c>
    </row>
    <row r="1123" spans="1:6" ht="15.75" customHeight="1">
      <c r="A1123" s="350" t="s">
        <v>2034</v>
      </c>
      <c r="B1123" s="351">
        <v>100</v>
      </c>
      <c r="C1123" s="351" t="s">
        <v>913</v>
      </c>
      <c r="D1123" s="352">
        <v>21</v>
      </c>
      <c r="E1123" s="352">
        <v>25</v>
      </c>
      <c r="F1123" s="352">
        <v>0.1</v>
      </c>
    </row>
    <row r="1124" spans="1:6" ht="15.75" customHeight="1">
      <c r="A1124" s="350" t="s">
        <v>2035</v>
      </c>
      <c r="B1124" s="351">
        <v>100</v>
      </c>
      <c r="C1124" s="351" t="s">
        <v>913</v>
      </c>
      <c r="D1124" s="352">
        <v>26.3</v>
      </c>
      <c r="E1124" s="352">
        <v>33.5</v>
      </c>
      <c r="F1124" s="352">
        <v>1.3</v>
      </c>
    </row>
    <row r="1125" spans="1:6" ht="15.75" customHeight="1">
      <c r="A1125" s="350" t="s">
        <v>2036</v>
      </c>
      <c r="B1125" s="351">
        <v>100</v>
      </c>
      <c r="C1125" s="351" t="s">
        <v>913</v>
      </c>
      <c r="D1125" s="352">
        <v>28.9</v>
      </c>
      <c r="E1125" s="352">
        <v>29.7</v>
      </c>
      <c r="F1125" s="352">
        <v>0</v>
      </c>
    </row>
    <row r="1126" spans="1:6" ht="15.75" customHeight="1">
      <c r="A1126" s="350" t="s">
        <v>2037</v>
      </c>
      <c r="B1126" s="351">
        <v>100</v>
      </c>
      <c r="C1126" s="351" t="s">
        <v>913</v>
      </c>
      <c r="D1126" s="352">
        <v>28</v>
      </c>
      <c r="E1126" s="352">
        <v>18.7</v>
      </c>
      <c r="F1126" s="352">
        <v>0.2</v>
      </c>
    </row>
    <row r="1127" spans="1:6" ht="15.75" customHeight="1">
      <c r="A1127" s="350" t="s">
        <v>2038</v>
      </c>
      <c r="B1127" s="351">
        <v>100</v>
      </c>
      <c r="C1127" s="351" t="s">
        <v>913</v>
      </c>
      <c r="D1127" s="352">
        <v>30</v>
      </c>
      <c r="E1127" s="352">
        <v>14</v>
      </c>
      <c r="F1127" s="352">
        <v>0.2</v>
      </c>
    </row>
    <row r="1128" spans="1:6" ht="15.75" customHeight="1">
      <c r="A1128" s="350" t="s">
        <v>2039</v>
      </c>
      <c r="B1128" s="351">
        <v>100</v>
      </c>
      <c r="C1128" s="351" t="s">
        <v>913</v>
      </c>
      <c r="D1128" s="352">
        <v>26</v>
      </c>
      <c r="E1128" s="352">
        <v>23.4</v>
      </c>
      <c r="F1128" s="352">
        <v>0.2</v>
      </c>
    </row>
    <row r="1129" spans="1:6" ht="15.75" customHeight="1">
      <c r="A1129" s="350" t="s">
        <v>2040</v>
      </c>
      <c r="B1129" s="351">
        <v>100</v>
      </c>
      <c r="C1129" s="351" t="s">
        <v>913</v>
      </c>
      <c r="D1129" s="352">
        <v>7.3</v>
      </c>
      <c r="E1129" s="352">
        <v>3.6</v>
      </c>
      <c r="F1129" s="352">
        <v>11.6</v>
      </c>
    </row>
    <row r="1130" spans="1:6" ht="15.75" customHeight="1">
      <c r="A1130" s="350" t="s">
        <v>2041</v>
      </c>
      <c r="B1130" s="351">
        <v>100</v>
      </c>
      <c r="C1130" s="351" t="s">
        <v>913</v>
      </c>
      <c r="D1130" s="352">
        <v>12</v>
      </c>
      <c r="E1130" s="352">
        <v>13.8</v>
      </c>
      <c r="F1130" s="352">
        <v>2.1</v>
      </c>
    </row>
    <row r="1131" spans="1:6" ht="15.75" customHeight="1">
      <c r="A1131" s="350" t="s">
        <v>2042</v>
      </c>
      <c r="B1131" s="351">
        <v>100</v>
      </c>
      <c r="C1131" s="351" t="s">
        <v>913</v>
      </c>
      <c r="D1131" s="352">
        <v>19</v>
      </c>
      <c r="E1131" s="352">
        <v>22.9</v>
      </c>
      <c r="F1131" s="352">
        <v>0.1</v>
      </c>
    </row>
    <row r="1132" spans="1:6" ht="15.75" customHeight="1">
      <c r="A1132" s="350" t="s">
        <v>2043</v>
      </c>
      <c r="B1132" s="351">
        <v>100</v>
      </c>
      <c r="C1132" s="351" t="s">
        <v>913</v>
      </c>
      <c r="D1132" s="352">
        <v>13</v>
      </c>
      <c r="E1132" s="352">
        <v>1.8</v>
      </c>
      <c r="F1132" s="352">
        <v>5.7</v>
      </c>
    </row>
    <row r="1133" spans="1:6" ht="15.75" customHeight="1">
      <c r="A1133" s="350" t="s">
        <v>2044</v>
      </c>
      <c r="B1133" s="351">
        <v>100</v>
      </c>
      <c r="C1133" s="351" t="s">
        <v>913</v>
      </c>
      <c r="D1133" s="352">
        <v>9.1999999999999993</v>
      </c>
      <c r="E1133" s="352">
        <v>11.9</v>
      </c>
      <c r="F1133" s="352">
        <v>2.7</v>
      </c>
    </row>
    <row r="1134" spans="1:6" ht="15.75" customHeight="1">
      <c r="A1134" s="350" t="s">
        <v>2045</v>
      </c>
      <c r="B1134" s="351">
        <v>100</v>
      </c>
      <c r="C1134" s="351" t="s">
        <v>913</v>
      </c>
      <c r="D1134" s="352">
        <v>22.5</v>
      </c>
      <c r="E1134" s="352">
        <v>25.7</v>
      </c>
      <c r="F1134" s="352">
        <v>0.2</v>
      </c>
    </row>
    <row r="1135" spans="1:6" ht="15.75" customHeight="1">
      <c r="A1135" s="350" t="s">
        <v>2046</v>
      </c>
      <c r="B1135" s="351">
        <v>100</v>
      </c>
      <c r="C1135" s="351" t="s">
        <v>913</v>
      </c>
      <c r="D1135" s="352">
        <v>25.3</v>
      </c>
      <c r="E1135" s="352">
        <v>30.6</v>
      </c>
      <c r="F1135" s="352">
        <v>0</v>
      </c>
    </row>
    <row r="1136" spans="1:6" ht="15.75" customHeight="1">
      <c r="A1136" s="350" t="s">
        <v>2047</v>
      </c>
      <c r="B1136" s="351">
        <v>100</v>
      </c>
      <c r="C1136" s="351" t="s">
        <v>913</v>
      </c>
      <c r="D1136" s="352">
        <v>27.2</v>
      </c>
      <c r="E1136" s="352">
        <v>33.299999999999997</v>
      </c>
      <c r="F1136" s="352">
        <v>1.4</v>
      </c>
    </row>
    <row r="1137" spans="1:6" ht="15.75" customHeight="1">
      <c r="A1137" s="350" t="s">
        <v>2048</v>
      </c>
      <c r="B1137" s="351">
        <v>100</v>
      </c>
      <c r="C1137" s="351" t="s">
        <v>913</v>
      </c>
      <c r="D1137" s="352">
        <v>7.6</v>
      </c>
      <c r="E1137" s="352">
        <v>47</v>
      </c>
      <c r="F1137" s="352">
        <v>0.3</v>
      </c>
    </row>
    <row r="1138" spans="1:6" ht="15.75" customHeight="1">
      <c r="A1138" s="350" t="s">
        <v>2049</v>
      </c>
      <c r="B1138" s="351">
        <v>100</v>
      </c>
      <c r="C1138" s="351" t="s">
        <v>913</v>
      </c>
      <c r="D1138" s="352">
        <v>18.7</v>
      </c>
      <c r="E1138" s="352">
        <v>19.5</v>
      </c>
      <c r="F1138" s="352">
        <v>1.3</v>
      </c>
    </row>
    <row r="1139" spans="1:6" ht="15.75" customHeight="1">
      <c r="A1139" s="350" t="s">
        <v>2050</v>
      </c>
      <c r="B1139" s="351">
        <v>100</v>
      </c>
      <c r="C1139" s="351" t="s">
        <v>913</v>
      </c>
      <c r="D1139" s="352">
        <v>37.700000000000003</v>
      </c>
      <c r="E1139" s="352">
        <v>27.8</v>
      </c>
      <c r="F1139" s="352">
        <v>0.1</v>
      </c>
    </row>
    <row r="1140" spans="1:6" ht="15.75" customHeight="1">
      <c r="A1140" s="350" t="s">
        <v>2051</v>
      </c>
      <c r="B1140" s="351">
        <v>100</v>
      </c>
      <c r="C1140" s="351" t="s">
        <v>913</v>
      </c>
      <c r="D1140" s="352">
        <v>8.4</v>
      </c>
      <c r="E1140" s="352">
        <v>0.1</v>
      </c>
      <c r="F1140" s="352">
        <v>10.8</v>
      </c>
    </row>
    <row r="1141" spans="1:6" ht="15.75" customHeight="1">
      <c r="A1141" s="350" t="s">
        <v>2052</v>
      </c>
      <c r="B1141" s="351">
        <v>100</v>
      </c>
      <c r="C1141" s="351" t="s">
        <v>913</v>
      </c>
      <c r="D1141" s="352">
        <v>10.3</v>
      </c>
      <c r="E1141" s="352">
        <v>0.3</v>
      </c>
      <c r="F1141" s="352">
        <v>4</v>
      </c>
    </row>
    <row r="1142" spans="1:6" ht="15.75" customHeight="1">
      <c r="A1142" s="350" t="s">
        <v>2053</v>
      </c>
      <c r="B1142" s="351">
        <v>100</v>
      </c>
      <c r="C1142" s="351" t="s">
        <v>913</v>
      </c>
      <c r="D1142" s="352">
        <v>8.1</v>
      </c>
      <c r="E1142" s="352">
        <v>8.5</v>
      </c>
      <c r="F1142" s="352">
        <v>3.9</v>
      </c>
    </row>
    <row r="1143" spans="1:6" ht="15.75" customHeight="1">
      <c r="A1143" s="350" t="s">
        <v>2054</v>
      </c>
      <c r="B1143" s="351">
        <v>100</v>
      </c>
      <c r="C1143" s="351" t="s">
        <v>913</v>
      </c>
      <c r="D1143" s="352">
        <v>25.5</v>
      </c>
      <c r="E1143" s="352">
        <v>27.8</v>
      </c>
      <c r="F1143" s="352">
        <v>0.4</v>
      </c>
    </row>
    <row r="1144" spans="1:6" ht="15.75" customHeight="1">
      <c r="A1144" s="350" t="s">
        <v>2055</v>
      </c>
      <c r="B1144" s="351">
        <v>100</v>
      </c>
      <c r="C1144" s="351" t="s">
        <v>913</v>
      </c>
      <c r="D1144" s="352">
        <v>22</v>
      </c>
      <c r="E1144" s="352">
        <v>31.5</v>
      </c>
      <c r="F1144" s="352">
        <v>0.2</v>
      </c>
    </row>
    <row r="1145" spans="1:6" ht="15.75" customHeight="1">
      <c r="A1145" s="350" t="s">
        <v>2056</v>
      </c>
      <c r="B1145" s="351">
        <v>100</v>
      </c>
      <c r="C1145" s="351" t="s">
        <v>913</v>
      </c>
      <c r="D1145" s="352">
        <v>24.8</v>
      </c>
      <c r="E1145" s="352">
        <v>25.7</v>
      </c>
      <c r="F1145" s="352">
        <v>0.3</v>
      </c>
    </row>
    <row r="1146" spans="1:6" ht="15.75" customHeight="1">
      <c r="A1146" s="350" t="s">
        <v>2057</v>
      </c>
      <c r="B1146" s="351">
        <v>100</v>
      </c>
      <c r="C1146" s="351" t="s">
        <v>913</v>
      </c>
      <c r="D1146" s="352">
        <v>21</v>
      </c>
      <c r="E1146" s="352">
        <v>27</v>
      </c>
      <c r="F1146" s="352">
        <v>0.2</v>
      </c>
    </row>
    <row r="1147" spans="1:6" ht="15.75" customHeight="1">
      <c r="A1147" s="350" t="s">
        <v>2058</v>
      </c>
      <c r="B1147" s="351">
        <v>100</v>
      </c>
      <c r="C1147" s="351" t="s">
        <v>913</v>
      </c>
      <c r="D1147" s="352">
        <v>25.5</v>
      </c>
      <c r="E1147" s="352">
        <v>31.5</v>
      </c>
      <c r="F1147" s="352">
        <v>0.2</v>
      </c>
    </row>
    <row r="1148" spans="1:6" ht="15.75" customHeight="1">
      <c r="A1148" s="350" t="s">
        <v>2059</v>
      </c>
      <c r="B1148" s="351">
        <v>100</v>
      </c>
      <c r="C1148" s="351" t="s">
        <v>913</v>
      </c>
      <c r="D1148" s="352">
        <v>6.7</v>
      </c>
      <c r="E1148" s="352">
        <v>18.2</v>
      </c>
      <c r="F1148" s="352">
        <v>53.8</v>
      </c>
    </row>
    <row r="1149" spans="1:6" ht="15.75" customHeight="1">
      <c r="A1149" s="350" t="s">
        <v>2060</v>
      </c>
      <c r="B1149" s="351">
        <v>100</v>
      </c>
      <c r="C1149" s="351" t="s">
        <v>913</v>
      </c>
      <c r="D1149" s="352">
        <v>2.8</v>
      </c>
      <c r="E1149" s="352">
        <v>1</v>
      </c>
      <c r="F1149" s="352">
        <v>3</v>
      </c>
    </row>
    <row r="1150" spans="1:6" ht="15.75" customHeight="1">
      <c r="A1150" s="350" t="s">
        <v>2061</v>
      </c>
      <c r="B1150" s="351">
        <v>100</v>
      </c>
      <c r="C1150" s="351" t="s">
        <v>913</v>
      </c>
      <c r="D1150" s="352">
        <v>12.6</v>
      </c>
      <c r="E1150" s="352">
        <v>19.100000000000001</v>
      </c>
      <c r="F1150" s="352">
        <v>12.4</v>
      </c>
    </row>
    <row r="1151" spans="1:6" ht="15.75" customHeight="1">
      <c r="A1151" s="350" t="s">
        <v>2062</v>
      </c>
      <c r="B1151" s="351">
        <v>100</v>
      </c>
      <c r="C1151" s="351" t="s">
        <v>913</v>
      </c>
      <c r="D1151" s="352">
        <v>11.9</v>
      </c>
      <c r="E1151" s="352">
        <v>22.2</v>
      </c>
      <c r="F1151" s="352">
        <v>12.9</v>
      </c>
    </row>
    <row r="1152" spans="1:6" ht="15.75" customHeight="1">
      <c r="A1152" s="350" t="s">
        <v>2063</v>
      </c>
      <c r="B1152" s="351">
        <v>100</v>
      </c>
      <c r="C1152" s="351" t="s">
        <v>913</v>
      </c>
      <c r="D1152" s="352">
        <v>14.4</v>
      </c>
      <c r="E1152" s="352">
        <v>24.5</v>
      </c>
      <c r="F1152" s="352">
        <v>23.5</v>
      </c>
    </row>
    <row r="1153" spans="1:6" ht="15.75" customHeight="1">
      <c r="A1153" s="350" t="s">
        <v>2064</v>
      </c>
      <c r="B1153" s="351">
        <v>100</v>
      </c>
      <c r="C1153" s="351" t="s">
        <v>913</v>
      </c>
      <c r="D1153" s="352">
        <v>1.1000000000000001</v>
      </c>
      <c r="E1153" s="352">
        <v>0.5</v>
      </c>
      <c r="F1153" s="352">
        <v>10.9</v>
      </c>
    </row>
    <row r="1154" spans="1:6" ht="15.75" customHeight="1">
      <c r="A1154" s="350" t="s">
        <v>2065</v>
      </c>
      <c r="B1154" s="351">
        <v>100</v>
      </c>
      <c r="C1154" s="351" t="s">
        <v>913</v>
      </c>
      <c r="D1154" s="352">
        <v>6.1</v>
      </c>
      <c r="E1154" s="352">
        <v>2.8</v>
      </c>
      <c r="F1154" s="352">
        <v>60.6</v>
      </c>
    </row>
    <row r="1155" spans="1:6" ht="15.75" customHeight="1">
      <c r="A1155" s="350" t="s">
        <v>2066</v>
      </c>
      <c r="B1155" s="351">
        <v>100</v>
      </c>
      <c r="C1155" s="351" t="s">
        <v>913</v>
      </c>
      <c r="D1155" s="352">
        <v>4.7</v>
      </c>
      <c r="E1155" s="352">
        <v>16.600000000000001</v>
      </c>
      <c r="F1155" s="352">
        <v>31.3</v>
      </c>
    </row>
    <row r="1156" spans="1:6" ht="15.75" customHeight="1">
      <c r="A1156" s="350" t="s">
        <v>2067</v>
      </c>
      <c r="B1156" s="351">
        <v>100</v>
      </c>
      <c r="C1156" s="351" t="s">
        <v>913</v>
      </c>
      <c r="D1156" s="352">
        <v>1</v>
      </c>
      <c r="E1156" s="352">
        <v>0.2</v>
      </c>
      <c r="F1156" s="352">
        <v>1.9</v>
      </c>
    </row>
    <row r="1157" spans="1:6" ht="15.75" customHeight="1">
      <c r="A1157" s="350" t="s">
        <v>2068</v>
      </c>
      <c r="B1157" s="351">
        <v>100</v>
      </c>
      <c r="C1157" s="351" t="s">
        <v>913</v>
      </c>
      <c r="D1157" s="352">
        <v>6</v>
      </c>
      <c r="E1157" s="352">
        <v>0.7</v>
      </c>
      <c r="F1157" s="352">
        <v>10.7</v>
      </c>
    </row>
    <row r="1158" spans="1:6" ht="15.75" customHeight="1">
      <c r="A1158" s="350" t="s">
        <v>2069</v>
      </c>
      <c r="B1158" s="351">
        <v>100</v>
      </c>
      <c r="C1158" s="351" t="s">
        <v>913</v>
      </c>
      <c r="D1158" s="352">
        <v>14.1</v>
      </c>
      <c r="E1158" s="352">
        <v>0.2</v>
      </c>
      <c r="F1158" s="352">
        <v>0</v>
      </c>
    </row>
    <row r="1159" spans="1:6" ht="15.75" customHeight="1">
      <c r="A1159" s="350" t="s">
        <v>2070</v>
      </c>
      <c r="B1159" s="351">
        <v>100</v>
      </c>
      <c r="C1159" s="351" t="s">
        <v>913</v>
      </c>
      <c r="D1159" s="352">
        <v>5.0999999999999996</v>
      </c>
      <c r="E1159" s="352">
        <v>3.9</v>
      </c>
      <c r="F1159" s="352">
        <v>6.5</v>
      </c>
    </row>
    <row r="1160" spans="1:6" ht="15.75" customHeight="1">
      <c r="A1160" s="350" t="s">
        <v>2071</v>
      </c>
      <c r="B1160" s="351">
        <v>100</v>
      </c>
      <c r="C1160" s="351" t="s">
        <v>913</v>
      </c>
      <c r="D1160" s="352">
        <v>4.8</v>
      </c>
      <c r="E1160" s="352">
        <v>6.2</v>
      </c>
      <c r="F1160" s="352">
        <v>6.8</v>
      </c>
    </row>
    <row r="1161" spans="1:6" ht="15.75" customHeight="1">
      <c r="A1161" s="350" t="s">
        <v>2072</v>
      </c>
      <c r="B1161" s="351">
        <v>100</v>
      </c>
      <c r="C1161" s="351" t="s">
        <v>913</v>
      </c>
      <c r="D1161" s="352">
        <v>4</v>
      </c>
      <c r="E1161" s="352">
        <v>0.7</v>
      </c>
      <c r="F1161" s="352">
        <v>0.3</v>
      </c>
    </row>
    <row r="1162" spans="1:6" ht="15.75" customHeight="1">
      <c r="A1162" s="350" t="s">
        <v>2073</v>
      </c>
      <c r="B1162" s="351">
        <v>100</v>
      </c>
      <c r="C1162" s="351" t="s">
        <v>913</v>
      </c>
      <c r="D1162" s="352">
        <v>3.1</v>
      </c>
      <c r="E1162" s="352">
        <v>0.3</v>
      </c>
      <c r="F1162" s="352">
        <v>1</v>
      </c>
    </row>
    <row r="1163" spans="1:6" ht="15.75" customHeight="1">
      <c r="A1163" s="350" t="s">
        <v>2074</v>
      </c>
      <c r="B1163" s="351">
        <v>100</v>
      </c>
      <c r="C1163" s="351" t="s">
        <v>913</v>
      </c>
      <c r="D1163" s="352">
        <v>9.1999999999999993</v>
      </c>
      <c r="E1163" s="352">
        <v>3.9</v>
      </c>
      <c r="F1163" s="352">
        <v>5.8</v>
      </c>
    </row>
    <row r="1164" spans="1:6" ht="15.75" customHeight="1">
      <c r="A1164" s="350" t="s">
        <v>2075</v>
      </c>
      <c r="B1164" s="351">
        <v>100</v>
      </c>
      <c r="C1164" s="351" t="s">
        <v>913</v>
      </c>
      <c r="D1164" s="352">
        <v>0.3</v>
      </c>
      <c r="E1164" s="352">
        <v>0</v>
      </c>
      <c r="F1164" s="352">
        <v>95</v>
      </c>
    </row>
    <row r="1165" spans="1:6" ht="15.75" customHeight="1">
      <c r="A1165" s="350" t="s">
        <v>2076</v>
      </c>
      <c r="B1165" s="351">
        <v>100</v>
      </c>
      <c r="C1165" s="351" t="s">
        <v>913</v>
      </c>
      <c r="D1165" s="352">
        <v>10.5</v>
      </c>
      <c r="E1165" s="352">
        <v>12</v>
      </c>
      <c r="F1165" s="352">
        <v>4.5999999999999996</v>
      </c>
    </row>
    <row r="1166" spans="1:6" ht="15.75" customHeight="1">
      <c r="A1166" s="350" t="s">
        <v>2077</v>
      </c>
      <c r="B1166" s="351">
        <v>100</v>
      </c>
      <c r="C1166" s="351" t="s">
        <v>913</v>
      </c>
      <c r="D1166" s="352">
        <v>13</v>
      </c>
      <c r="E1166" s="352">
        <v>12.7</v>
      </c>
      <c r="F1166" s="352">
        <v>5.0999999999999996</v>
      </c>
    </row>
    <row r="1167" spans="1:6" ht="15.75" customHeight="1">
      <c r="A1167" s="350" t="s">
        <v>2078</v>
      </c>
      <c r="B1167" s="351">
        <v>100</v>
      </c>
      <c r="C1167" s="351" t="s">
        <v>913</v>
      </c>
      <c r="D1167" s="352">
        <v>8</v>
      </c>
      <c r="E1167" s="352">
        <v>11.3</v>
      </c>
      <c r="F1167" s="352">
        <v>4.0999999999999996</v>
      </c>
    </row>
    <row r="1168" spans="1:6" ht="15.75" customHeight="1">
      <c r="A1168" s="350" t="s">
        <v>2079</v>
      </c>
      <c r="B1168" s="351">
        <v>100</v>
      </c>
      <c r="C1168" s="351" t="s">
        <v>913</v>
      </c>
      <c r="D1168" s="352">
        <v>16.2</v>
      </c>
      <c r="E1168" s="352">
        <v>3</v>
      </c>
      <c r="F1168" s="352">
        <v>0</v>
      </c>
    </row>
    <row r="1169" spans="1:6" ht="15.75" customHeight="1">
      <c r="A1169" s="350" t="s">
        <v>2080</v>
      </c>
      <c r="B1169" s="351">
        <v>100</v>
      </c>
      <c r="C1169" s="351" t="s">
        <v>913</v>
      </c>
      <c r="D1169" s="352">
        <v>22.3</v>
      </c>
      <c r="E1169" s="352">
        <v>12.9</v>
      </c>
      <c r="F1169" s="352">
        <v>0</v>
      </c>
    </row>
    <row r="1170" spans="1:6" ht="15.75" customHeight="1">
      <c r="A1170" s="350" t="s">
        <v>2081</v>
      </c>
      <c r="B1170" s="351">
        <v>100</v>
      </c>
      <c r="C1170" s="351" t="s">
        <v>913</v>
      </c>
      <c r="D1170" s="352">
        <v>17</v>
      </c>
      <c r="E1170" s="352">
        <v>3</v>
      </c>
      <c r="F1170" s="352">
        <v>0</v>
      </c>
    </row>
    <row r="1171" spans="1:6" ht="15.75" customHeight="1">
      <c r="A1171" s="350" t="s">
        <v>2082</v>
      </c>
      <c r="B1171" s="351">
        <v>100</v>
      </c>
      <c r="C1171" s="351" t="s">
        <v>913</v>
      </c>
      <c r="D1171" s="352">
        <v>23.6</v>
      </c>
      <c r="E1171" s="352">
        <v>12.4</v>
      </c>
      <c r="F1171" s="352">
        <v>0</v>
      </c>
    </row>
    <row r="1172" spans="1:6" ht="15.75" customHeight="1">
      <c r="A1172" s="350" t="s">
        <v>2083</v>
      </c>
      <c r="B1172" s="351">
        <v>100</v>
      </c>
      <c r="C1172" s="351" t="s">
        <v>913</v>
      </c>
      <c r="D1172" s="352">
        <v>18</v>
      </c>
      <c r="E1172" s="352">
        <v>2.2000000000000002</v>
      </c>
      <c r="F1172" s="352">
        <v>0</v>
      </c>
    </row>
    <row r="1173" spans="1:6" ht="15.75" customHeight="1">
      <c r="A1173" s="350" t="s">
        <v>2084</v>
      </c>
      <c r="B1173" s="351">
        <v>100</v>
      </c>
      <c r="C1173" s="351" t="s">
        <v>913</v>
      </c>
      <c r="D1173" s="352">
        <v>7.3</v>
      </c>
      <c r="E1173" s="352">
        <v>13.4</v>
      </c>
      <c r="F1173" s="352">
        <v>31.8</v>
      </c>
    </row>
    <row r="1174" spans="1:6" ht="15.75" customHeight="1">
      <c r="A1174" s="350" t="s">
        <v>2085</v>
      </c>
      <c r="B1174" s="351">
        <v>100</v>
      </c>
      <c r="C1174" s="351" t="s">
        <v>913</v>
      </c>
      <c r="D1174" s="352">
        <v>6.1</v>
      </c>
      <c r="E1174" s="352">
        <v>8.6</v>
      </c>
      <c r="F1174" s="352">
        <v>26.6</v>
      </c>
    </row>
    <row r="1175" spans="1:6" ht="15.75" customHeight="1">
      <c r="A1175" s="350" t="s">
        <v>2086</v>
      </c>
      <c r="B1175" s="351">
        <v>100</v>
      </c>
      <c r="C1175" s="351" t="s">
        <v>913</v>
      </c>
      <c r="D1175" s="352">
        <v>7.3</v>
      </c>
      <c r="E1175" s="352">
        <v>14.1</v>
      </c>
      <c r="F1175" s="352">
        <v>19.8</v>
      </c>
    </row>
    <row r="1176" spans="1:6" ht="15.75" customHeight="1">
      <c r="A1176" s="350" t="s">
        <v>2087</v>
      </c>
      <c r="B1176" s="351">
        <v>100</v>
      </c>
      <c r="C1176" s="351" t="s">
        <v>913</v>
      </c>
      <c r="D1176" s="352">
        <v>7.3</v>
      </c>
      <c r="E1176" s="352">
        <v>13.9</v>
      </c>
      <c r="F1176" s="352">
        <v>19.7</v>
      </c>
    </row>
    <row r="1177" spans="1:6" ht="15.75" customHeight="1">
      <c r="A1177" s="350" t="s">
        <v>2088</v>
      </c>
      <c r="B1177" s="351">
        <v>100</v>
      </c>
      <c r="C1177" s="351" t="s">
        <v>913</v>
      </c>
      <c r="D1177" s="352">
        <v>20.399999999999999</v>
      </c>
      <c r="E1177" s="352">
        <v>11.8</v>
      </c>
      <c r="F1177" s="352">
        <v>0.6</v>
      </c>
    </row>
    <row r="1178" spans="1:6" ht="15.75" customHeight="1">
      <c r="A1178" s="350" t="s">
        <v>2089</v>
      </c>
      <c r="B1178" s="351">
        <v>100</v>
      </c>
      <c r="C1178" s="351" t="s">
        <v>913</v>
      </c>
      <c r="D1178" s="352">
        <v>21</v>
      </c>
      <c r="E1178" s="352">
        <v>10.9</v>
      </c>
      <c r="F1178" s="352">
        <v>0</v>
      </c>
    </row>
    <row r="1179" spans="1:6" ht="15.75" customHeight="1">
      <c r="A1179" s="350" t="s">
        <v>2090</v>
      </c>
      <c r="B1179" s="351">
        <v>100</v>
      </c>
      <c r="C1179" s="351" t="s">
        <v>913</v>
      </c>
      <c r="D1179" s="352">
        <v>18.5</v>
      </c>
      <c r="E1179" s="352">
        <v>3.5</v>
      </c>
      <c r="F1179" s="352">
        <v>0</v>
      </c>
    </row>
    <row r="1180" spans="1:6" ht="15.75" customHeight="1">
      <c r="A1180" s="350" t="s">
        <v>2091</v>
      </c>
      <c r="B1180" s="351">
        <v>100</v>
      </c>
      <c r="C1180" s="351" t="s">
        <v>913</v>
      </c>
      <c r="D1180" s="352">
        <v>23</v>
      </c>
      <c r="E1180" s="352">
        <v>13</v>
      </c>
      <c r="F1180" s="352">
        <v>0</v>
      </c>
    </row>
    <row r="1181" spans="1:6" ht="15.75" customHeight="1">
      <c r="A1181" s="350" t="s">
        <v>2092</v>
      </c>
      <c r="B1181" s="351">
        <v>100</v>
      </c>
      <c r="C1181" s="351" t="s">
        <v>913</v>
      </c>
      <c r="D1181" s="352">
        <v>14.9</v>
      </c>
      <c r="E1181" s="352">
        <v>19</v>
      </c>
      <c r="F1181" s="352">
        <v>0.8</v>
      </c>
    </row>
    <row r="1182" spans="1:6" ht="15.75" customHeight="1">
      <c r="A1182" s="350" t="s">
        <v>2093</v>
      </c>
      <c r="B1182" s="351">
        <v>100</v>
      </c>
      <c r="C1182" s="351" t="s">
        <v>913</v>
      </c>
      <c r="D1182" s="352">
        <v>11.1</v>
      </c>
      <c r="E1182" s="352">
        <v>5.6</v>
      </c>
      <c r="F1182" s="352">
        <v>8.6999999999999993</v>
      </c>
    </row>
    <row r="1183" spans="1:6" ht="15.75" customHeight="1">
      <c r="A1183" s="350" t="s">
        <v>2094</v>
      </c>
      <c r="B1183" s="351">
        <v>100</v>
      </c>
      <c r="C1183" s="351" t="s">
        <v>913</v>
      </c>
      <c r="D1183" s="352">
        <v>0.4</v>
      </c>
      <c r="E1183" s="352">
        <v>0.4</v>
      </c>
      <c r="F1183" s="352">
        <v>12</v>
      </c>
    </row>
    <row r="1184" spans="1:6" ht="15.75" customHeight="1">
      <c r="A1184" s="350" t="s">
        <v>2095</v>
      </c>
      <c r="B1184" s="351">
        <v>100</v>
      </c>
      <c r="C1184" s="351" t="s">
        <v>913</v>
      </c>
      <c r="D1184" s="352">
        <v>2.6</v>
      </c>
      <c r="E1184" s="352">
        <v>0.7</v>
      </c>
      <c r="F1184" s="352">
        <v>2.2000000000000002</v>
      </c>
    </row>
    <row r="1185" spans="1:6" ht="15.75" customHeight="1">
      <c r="A1185" s="350" t="s">
        <v>2096</v>
      </c>
      <c r="B1185" s="351">
        <v>100</v>
      </c>
      <c r="C1185" s="351" t="s">
        <v>913</v>
      </c>
      <c r="D1185" s="352">
        <v>17.7</v>
      </c>
      <c r="E1185" s="352">
        <v>4.2</v>
      </c>
      <c r="F1185" s="352">
        <v>0</v>
      </c>
    </row>
    <row r="1186" spans="1:6" ht="15.75" customHeight="1">
      <c r="A1186" s="350" t="s">
        <v>2097</v>
      </c>
      <c r="B1186" s="351">
        <v>100</v>
      </c>
      <c r="C1186" s="351" t="s">
        <v>913</v>
      </c>
      <c r="D1186" s="352">
        <v>0</v>
      </c>
      <c r="E1186" s="352">
        <v>0</v>
      </c>
      <c r="F1186" s="352">
        <v>0</v>
      </c>
    </row>
    <row r="1187" spans="1:6" ht="15.75" customHeight="1">
      <c r="A1187" s="350" t="s">
        <v>2098</v>
      </c>
      <c r="B1187" s="351">
        <v>100</v>
      </c>
      <c r="C1187" s="351" t="s">
        <v>913</v>
      </c>
      <c r="D1187" s="352">
        <v>1.1000000000000001</v>
      </c>
      <c r="E1187" s="352">
        <v>1.4</v>
      </c>
      <c r="F1187" s="352">
        <v>2.6</v>
      </c>
    </row>
    <row r="1188" spans="1:6" ht="15.75" customHeight="1">
      <c r="A1188" s="350" t="s">
        <v>2099</v>
      </c>
      <c r="B1188" s="351">
        <v>100</v>
      </c>
      <c r="C1188" s="351" t="s">
        <v>913</v>
      </c>
      <c r="D1188" s="352">
        <v>6.9</v>
      </c>
      <c r="E1188" s="352">
        <v>4.3</v>
      </c>
      <c r="F1188" s="352">
        <v>8.4</v>
      </c>
    </row>
    <row r="1189" spans="1:6" ht="15.75" customHeight="1">
      <c r="A1189" s="350" t="s">
        <v>2100</v>
      </c>
      <c r="B1189" s="351">
        <v>100</v>
      </c>
      <c r="C1189" s="351" t="s">
        <v>913</v>
      </c>
      <c r="D1189" s="352">
        <v>8.6999999999999993</v>
      </c>
      <c r="E1189" s="352">
        <v>4.9000000000000004</v>
      </c>
      <c r="F1189" s="352">
        <v>7.6</v>
      </c>
    </row>
    <row r="1190" spans="1:6" ht="15.75" customHeight="1">
      <c r="A1190" s="350" t="s">
        <v>2101</v>
      </c>
      <c r="B1190" s="351">
        <v>100</v>
      </c>
      <c r="C1190" s="351" t="s">
        <v>913</v>
      </c>
      <c r="D1190" s="352">
        <v>1.4</v>
      </c>
      <c r="E1190" s="352">
        <v>9.3000000000000007</v>
      </c>
      <c r="F1190" s="352">
        <v>5.6</v>
      </c>
    </row>
    <row r="1191" spans="1:6" ht="15.75" customHeight="1">
      <c r="A1191" s="350" t="s">
        <v>2102</v>
      </c>
      <c r="B1191" s="351">
        <v>100</v>
      </c>
      <c r="C1191" s="351" t="s">
        <v>913</v>
      </c>
      <c r="D1191" s="352">
        <v>19.5</v>
      </c>
      <c r="E1191" s="352">
        <v>37.6</v>
      </c>
      <c r="F1191" s="352">
        <v>1.3</v>
      </c>
    </row>
    <row r="1192" spans="1:6" ht="15.75" customHeight="1">
      <c r="A1192" s="350" t="s">
        <v>2103</v>
      </c>
      <c r="B1192" s="351">
        <v>100</v>
      </c>
      <c r="C1192" s="351" t="s">
        <v>913</v>
      </c>
      <c r="D1192" s="352">
        <v>20.7</v>
      </c>
      <c r="E1192" s="352">
        <v>21.1</v>
      </c>
      <c r="F1192" s="352">
        <v>0</v>
      </c>
    </row>
    <row r="1193" spans="1:6" ht="15.75" customHeight="1">
      <c r="A1193" s="350" t="s">
        <v>930</v>
      </c>
      <c r="B1193" s="351">
        <v>100</v>
      </c>
      <c r="C1193" s="351" t="s">
        <v>913</v>
      </c>
      <c r="D1193" s="352">
        <v>16.2</v>
      </c>
      <c r="E1193" s="352">
        <v>21.9</v>
      </c>
      <c r="F1193" s="352">
        <v>0</v>
      </c>
    </row>
    <row r="1194" spans="1:6" ht="15.75" customHeight="1">
      <c r="A1194" s="350" t="s">
        <v>2104</v>
      </c>
      <c r="B1194" s="351">
        <v>100</v>
      </c>
      <c r="C1194" s="351" t="s">
        <v>913</v>
      </c>
      <c r="D1194" s="352">
        <v>23.8</v>
      </c>
      <c r="E1194" s="352">
        <v>23.7</v>
      </c>
      <c r="F1194" s="352">
        <v>0</v>
      </c>
    </row>
    <row r="1195" spans="1:6" ht="15.75" customHeight="1">
      <c r="A1195" s="350" t="s">
        <v>939</v>
      </c>
      <c r="B1195" s="351">
        <v>100</v>
      </c>
      <c r="C1195" s="351" t="s">
        <v>913</v>
      </c>
      <c r="D1195" s="352">
        <v>21.7</v>
      </c>
      <c r="E1195" s="352">
        <v>5.5</v>
      </c>
      <c r="F1195" s="352">
        <v>0.1</v>
      </c>
    </row>
    <row r="1196" spans="1:6" ht="15.75" customHeight="1">
      <c r="A1196" s="350" t="s">
        <v>2105</v>
      </c>
      <c r="B1196" s="351">
        <v>100</v>
      </c>
      <c r="C1196" s="351" t="s">
        <v>913</v>
      </c>
      <c r="D1196" s="352">
        <v>20.5</v>
      </c>
      <c r="E1196" s="352">
        <v>36.700000000000003</v>
      </c>
      <c r="F1196" s="352">
        <v>0</v>
      </c>
    </row>
    <row r="1197" spans="1:6" ht="15.75" customHeight="1">
      <c r="A1197" s="350" t="s">
        <v>2106</v>
      </c>
      <c r="B1197" s="351">
        <v>100</v>
      </c>
      <c r="C1197" s="351" t="s">
        <v>913</v>
      </c>
      <c r="D1197" s="352">
        <v>3.1</v>
      </c>
      <c r="E1197" s="352">
        <v>0</v>
      </c>
      <c r="F1197" s="352">
        <v>0.4</v>
      </c>
    </row>
    <row r="1198" spans="1:6" ht="15.75" customHeight="1">
      <c r="A1198" s="350" t="s">
        <v>2107</v>
      </c>
      <c r="B1198" s="351">
        <v>100</v>
      </c>
      <c r="C1198" s="351" t="s">
        <v>913</v>
      </c>
      <c r="D1198" s="352">
        <v>15.8</v>
      </c>
      <c r="E1198" s="352">
        <v>7</v>
      </c>
      <c r="F1198" s="352">
        <v>14.5</v>
      </c>
    </row>
    <row r="1199" spans="1:6" ht="15.75" customHeight="1">
      <c r="A1199" s="350" t="s">
        <v>2108</v>
      </c>
      <c r="B1199" s="351">
        <v>100</v>
      </c>
      <c r="C1199" s="351" t="s">
        <v>913</v>
      </c>
      <c r="D1199" s="352">
        <v>13.5</v>
      </c>
      <c r="E1199" s="352">
        <v>20.9</v>
      </c>
      <c r="F1199" s="352">
        <v>0.6</v>
      </c>
    </row>
    <row r="1200" spans="1:6" ht="15.75" customHeight="1">
      <c r="A1200" s="350" t="s">
        <v>2109</v>
      </c>
      <c r="B1200" s="351">
        <v>100</v>
      </c>
      <c r="C1200" s="351" t="s">
        <v>913</v>
      </c>
      <c r="D1200" s="352">
        <v>15.5</v>
      </c>
      <c r="E1200" s="352">
        <v>16.399999999999999</v>
      </c>
      <c r="F1200" s="352">
        <v>0</v>
      </c>
    </row>
    <row r="1201" spans="1:6" ht="15.75" customHeight="1">
      <c r="A1201" s="350" t="s">
        <v>2110</v>
      </c>
      <c r="B1201" s="351">
        <v>100</v>
      </c>
      <c r="C1201" s="351" t="s">
        <v>913</v>
      </c>
      <c r="D1201" s="352">
        <v>7.2</v>
      </c>
      <c r="E1201" s="352">
        <v>11.6</v>
      </c>
      <c r="F1201" s="352">
        <v>1.1000000000000001</v>
      </c>
    </row>
    <row r="1202" spans="1:6" ht="15.75" customHeight="1">
      <c r="A1202" s="350" t="s">
        <v>2111</v>
      </c>
      <c r="B1202" s="351">
        <v>100</v>
      </c>
      <c r="C1202" s="351" t="s">
        <v>913</v>
      </c>
      <c r="D1202" s="352">
        <v>5.9</v>
      </c>
      <c r="E1202" s="352">
        <v>8.9</v>
      </c>
      <c r="F1202" s="352">
        <v>3.7</v>
      </c>
    </row>
    <row r="1203" spans="1:6" ht="15.75" customHeight="1">
      <c r="A1203" s="350" t="s">
        <v>2112</v>
      </c>
      <c r="B1203" s="351">
        <v>100</v>
      </c>
      <c r="C1203" s="351" t="s">
        <v>913</v>
      </c>
      <c r="D1203" s="352">
        <v>9</v>
      </c>
      <c r="E1203" s="352">
        <v>14.7</v>
      </c>
      <c r="F1203" s="352">
        <v>2.4</v>
      </c>
    </row>
    <row r="1204" spans="1:6" ht="15.75" customHeight="1">
      <c r="A1204" s="350" t="s">
        <v>2113</v>
      </c>
      <c r="B1204" s="351">
        <v>100</v>
      </c>
      <c r="C1204" s="351" t="s">
        <v>913</v>
      </c>
      <c r="D1204" s="352">
        <v>10.199999999999999</v>
      </c>
      <c r="E1204" s="352">
        <v>16.5</v>
      </c>
      <c r="F1204" s="352">
        <v>2.8</v>
      </c>
    </row>
    <row r="1205" spans="1:6" ht="15.75" customHeight="1">
      <c r="A1205" s="350" t="s">
        <v>2114</v>
      </c>
      <c r="B1205" s="351">
        <v>100</v>
      </c>
      <c r="C1205" s="351" t="s">
        <v>913</v>
      </c>
      <c r="D1205" s="352">
        <v>12</v>
      </c>
      <c r="E1205" s="352">
        <v>16.7</v>
      </c>
      <c r="F1205" s="352">
        <v>3.2</v>
      </c>
    </row>
    <row r="1206" spans="1:6" ht="15.75" customHeight="1">
      <c r="A1206" s="350" t="s">
        <v>2115</v>
      </c>
      <c r="B1206" s="351">
        <v>100</v>
      </c>
      <c r="C1206" s="351" t="s">
        <v>913</v>
      </c>
      <c r="D1206" s="352">
        <v>16.600000000000001</v>
      </c>
      <c r="E1206" s="352">
        <v>0.4</v>
      </c>
      <c r="F1206" s="352">
        <v>0.4</v>
      </c>
    </row>
    <row r="1207" spans="1:6" ht="15.75" customHeight="1">
      <c r="A1207" s="350" t="s">
        <v>2116</v>
      </c>
      <c r="B1207" s="351">
        <v>100</v>
      </c>
      <c r="C1207" s="351" t="s">
        <v>913</v>
      </c>
      <c r="D1207" s="352">
        <v>19.5</v>
      </c>
      <c r="E1207" s="352">
        <v>2.9</v>
      </c>
      <c r="F1207" s="352">
        <v>0</v>
      </c>
    </row>
    <row r="1208" spans="1:6" ht="15.75" customHeight="1">
      <c r="A1208" s="350" t="s">
        <v>2117</v>
      </c>
      <c r="B1208" s="351">
        <v>100</v>
      </c>
      <c r="C1208" s="351" t="s">
        <v>913</v>
      </c>
      <c r="D1208" s="352">
        <v>19.7</v>
      </c>
      <c r="E1208" s="352">
        <v>10.6</v>
      </c>
      <c r="F1208" s="352">
        <v>0</v>
      </c>
    </row>
    <row r="1209" spans="1:6" ht="15.75" customHeight="1">
      <c r="A1209" s="350" t="s">
        <v>2118</v>
      </c>
      <c r="B1209" s="351">
        <v>100</v>
      </c>
      <c r="C1209" s="351" t="s">
        <v>913</v>
      </c>
      <c r="D1209" s="352">
        <v>19</v>
      </c>
      <c r="E1209" s="352">
        <v>11.7</v>
      </c>
      <c r="F1209" s="352">
        <v>0</v>
      </c>
    </row>
    <row r="1210" spans="1:6" ht="15.75" customHeight="1">
      <c r="A1210" s="350" t="s">
        <v>2119</v>
      </c>
      <c r="B1210" s="351">
        <v>100</v>
      </c>
      <c r="C1210" s="351" t="s">
        <v>913</v>
      </c>
      <c r="D1210" s="352">
        <v>22.5</v>
      </c>
      <c r="E1210" s="352">
        <v>11.2</v>
      </c>
      <c r="F1210" s="352">
        <v>0</v>
      </c>
    </row>
    <row r="1211" spans="1:6" ht="15.75" customHeight="1">
      <c r="A1211" s="350" t="s">
        <v>2120</v>
      </c>
      <c r="B1211" s="351">
        <v>100</v>
      </c>
      <c r="C1211" s="351" t="s">
        <v>913</v>
      </c>
      <c r="D1211" s="352">
        <v>22.5</v>
      </c>
      <c r="E1211" s="352">
        <v>19.399999999999999</v>
      </c>
      <c r="F1211" s="352">
        <v>8.6999999999999993</v>
      </c>
    </row>
    <row r="1212" spans="1:6" ht="15.75" customHeight="1">
      <c r="A1212" s="350" t="s">
        <v>2121</v>
      </c>
      <c r="B1212" s="351">
        <v>100</v>
      </c>
      <c r="C1212" s="351" t="s">
        <v>913</v>
      </c>
      <c r="D1212" s="352">
        <v>18.399999999999999</v>
      </c>
      <c r="E1212" s="352">
        <v>16.399999999999999</v>
      </c>
      <c r="F1212" s="352">
        <v>0</v>
      </c>
    </row>
    <row r="1213" spans="1:6" ht="15.75" customHeight="1">
      <c r="A1213" s="350" t="s">
        <v>2122</v>
      </c>
      <c r="B1213" s="351">
        <v>100</v>
      </c>
      <c r="C1213" s="351" t="s">
        <v>913</v>
      </c>
      <c r="D1213" s="352">
        <v>23</v>
      </c>
      <c r="E1213" s="352">
        <v>15.6</v>
      </c>
      <c r="F1213" s="352">
        <v>3.5</v>
      </c>
    </row>
    <row r="1214" spans="1:6" ht="15.75" customHeight="1">
      <c r="A1214" s="350" t="s">
        <v>2123</v>
      </c>
      <c r="B1214" s="351">
        <v>100</v>
      </c>
      <c r="C1214" s="351" t="s">
        <v>913</v>
      </c>
      <c r="D1214" s="352">
        <v>25</v>
      </c>
      <c r="E1214" s="352">
        <v>12.3</v>
      </c>
      <c r="F1214" s="352">
        <v>0</v>
      </c>
    </row>
    <row r="1215" spans="1:6" ht="15.75" customHeight="1">
      <c r="A1215" s="350" t="s">
        <v>2124</v>
      </c>
      <c r="B1215" s="351">
        <v>100</v>
      </c>
      <c r="C1215" s="351" t="s">
        <v>913</v>
      </c>
      <c r="D1215" s="352">
        <v>22</v>
      </c>
      <c r="E1215" s="352">
        <v>9.6</v>
      </c>
      <c r="F1215" s="352">
        <v>0</v>
      </c>
    </row>
    <row r="1216" spans="1:6" ht="15.75" customHeight="1">
      <c r="A1216" s="350" t="s">
        <v>2125</v>
      </c>
      <c r="B1216" s="351">
        <v>100</v>
      </c>
      <c r="C1216" s="351" t="s">
        <v>913</v>
      </c>
      <c r="D1216" s="352">
        <v>24</v>
      </c>
      <c r="E1216" s="352">
        <v>12</v>
      </c>
      <c r="F1216" s="352">
        <v>0</v>
      </c>
    </row>
    <row r="1217" spans="1:6" ht="15.75" customHeight="1">
      <c r="A1217" s="350" t="s">
        <v>2126</v>
      </c>
      <c r="B1217" s="351">
        <v>100</v>
      </c>
      <c r="C1217" s="351" t="s">
        <v>913</v>
      </c>
      <c r="D1217" s="352">
        <v>26.3</v>
      </c>
      <c r="E1217" s="352">
        <v>9</v>
      </c>
      <c r="F1217" s="352">
        <v>0</v>
      </c>
    </row>
    <row r="1218" spans="1:6" ht="15.75" customHeight="1">
      <c r="A1218" s="350" t="s">
        <v>2127</v>
      </c>
      <c r="B1218" s="351">
        <v>100</v>
      </c>
      <c r="C1218" s="351" t="s">
        <v>913</v>
      </c>
      <c r="D1218" s="352">
        <v>18.899999999999999</v>
      </c>
      <c r="E1218" s="352">
        <v>9.1</v>
      </c>
      <c r="F1218" s="352">
        <v>0</v>
      </c>
    </row>
    <row r="1219" spans="1:6" ht="15.75" customHeight="1">
      <c r="A1219" s="350" t="s">
        <v>2128</v>
      </c>
      <c r="B1219" s="351">
        <v>100</v>
      </c>
      <c r="C1219" s="351" t="s">
        <v>913</v>
      </c>
      <c r="D1219" s="352">
        <v>20</v>
      </c>
      <c r="E1219" s="352">
        <v>10.199999999999999</v>
      </c>
      <c r="F1219" s="352">
        <v>0.5</v>
      </c>
    </row>
    <row r="1220" spans="1:6" ht="15.75" customHeight="1">
      <c r="A1220" s="350" t="s">
        <v>2129</v>
      </c>
      <c r="B1220" s="351">
        <v>100</v>
      </c>
      <c r="C1220" s="351" t="s">
        <v>913</v>
      </c>
      <c r="D1220" s="352">
        <v>25.9</v>
      </c>
      <c r="E1220" s="352">
        <v>7.2</v>
      </c>
      <c r="F1220" s="352">
        <v>0</v>
      </c>
    </row>
    <row r="1221" spans="1:6" ht="15.75" customHeight="1">
      <c r="A1221" s="350" t="s">
        <v>2130</v>
      </c>
      <c r="B1221" s="351">
        <v>100</v>
      </c>
      <c r="C1221" s="351" t="s">
        <v>913</v>
      </c>
      <c r="D1221" s="352">
        <v>25</v>
      </c>
      <c r="E1221" s="352">
        <v>1.7</v>
      </c>
      <c r="F1221" s="352">
        <v>5.4</v>
      </c>
    </row>
    <row r="1222" spans="1:6" ht="15.75" customHeight="1">
      <c r="A1222" s="350" t="s">
        <v>2131</v>
      </c>
      <c r="B1222" s="351">
        <v>100</v>
      </c>
      <c r="C1222" s="351" t="s">
        <v>913</v>
      </c>
      <c r="D1222" s="352">
        <v>24.4</v>
      </c>
      <c r="E1222" s="352">
        <v>45.6</v>
      </c>
      <c r="F1222" s="352">
        <v>13.9</v>
      </c>
    </row>
    <row r="1223" spans="1:6" ht="15.75" customHeight="1">
      <c r="A1223" s="350" t="s">
        <v>2132</v>
      </c>
      <c r="B1223" s="351">
        <v>100</v>
      </c>
      <c r="C1223" s="351" t="s">
        <v>913</v>
      </c>
      <c r="D1223" s="352">
        <v>29.5</v>
      </c>
      <c r="E1223" s="352">
        <v>27.9</v>
      </c>
      <c r="F1223" s="352">
        <v>2.4</v>
      </c>
    </row>
    <row r="1224" spans="1:6" ht="15.75" customHeight="1">
      <c r="A1224" s="350" t="s">
        <v>2133</v>
      </c>
      <c r="B1224" s="351">
        <v>100</v>
      </c>
      <c r="C1224" s="351" t="s">
        <v>913</v>
      </c>
      <c r="D1224" s="352">
        <v>14.4</v>
      </c>
      <c r="E1224" s="352">
        <v>34.4</v>
      </c>
      <c r="F1224" s="352">
        <v>4.5999999999999996</v>
      </c>
    </row>
    <row r="1225" spans="1:6" ht="15.75" customHeight="1">
      <c r="A1225" s="350" t="s">
        <v>2134</v>
      </c>
      <c r="B1225" s="351">
        <v>100</v>
      </c>
      <c r="C1225" s="351" t="s">
        <v>913</v>
      </c>
      <c r="D1225" s="352">
        <v>12.4</v>
      </c>
      <c r="E1225" s="352">
        <v>17.8</v>
      </c>
      <c r="F1225" s="352">
        <v>16.2</v>
      </c>
    </row>
    <row r="1226" spans="1:6" ht="15.75" customHeight="1">
      <c r="A1226" s="350" t="s">
        <v>2135</v>
      </c>
      <c r="B1226" s="351">
        <v>100</v>
      </c>
      <c r="C1226" s="351" t="s">
        <v>913</v>
      </c>
      <c r="D1226" s="352">
        <v>19.8</v>
      </c>
      <c r="E1226" s="352">
        <v>47.5</v>
      </c>
      <c r="F1226" s="352">
        <v>17</v>
      </c>
    </row>
    <row r="1227" spans="1:6" ht="15.75" customHeight="1">
      <c r="A1227" s="350" t="s">
        <v>2136</v>
      </c>
      <c r="B1227" s="351">
        <v>100</v>
      </c>
      <c r="C1227" s="351" t="s">
        <v>913</v>
      </c>
      <c r="D1227" s="352">
        <v>25</v>
      </c>
      <c r="E1227" s="352">
        <v>31</v>
      </c>
      <c r="F1227" s="352">
        <v>18.100000000000001</v>
      </c>
    </row>
    <row r="1228" spans="1:6" ht="15.75" customHeight="1">
      <c r="A1228" s="350" t="s">
        <v>2137</v>
      </c>
      <c r="B1228" s="351">
        <v>100</v>
      </c>
      <c r="C1228" s="351" t="s">
        <v>913</v>
      </c>
      <c r="D1228" s="352">
        <v>28.5</v>
      </c>
      <c r="E1228" s="352">
        <v>47.7</v>
      </c>
      <c r="F1228" s="352">
        <v>9</v>
      </c>
    </row>
    <row r="1229" spans="1:6" ht="15.75" customHeight="1">
      <c r="A1229" s="350" t="s">
        <v>2138</v>
      </c>
      <c r="B1229" s="351">
        <v>100</v>
      </c>
      <c r="C1229" s="351" t="s">
        <v>913</v>
      </c>
      <c r="D1229" s="352">
        <v>25.5</v>
      </c>
      <c r="E1229" s="352">
        <v>28.8</v>
      </c>
      <c r="F1229" s="352">
        <v>15.9</v>
      </c>
    </row>
    <row r="1230" spans="1:6" ht="15.75" customHeight="1">
      <c r="A1230" s="350" t="s">
        <v>2139</v>
      </c>
      <c r="B1230" s="351">
        <v>100</v>
      </c>
      <c r="C1230" s="351" t="s">
        <v>913</v>
      </c>
      <c r="D1230" s="352">
        <v>19.3</v>
      </c>
      <c r="E1230" s="352">
        <v>45.9</v>
      </c>
      <c r="F1230" s="352">
        <v>13.7</v>
      </c>
    </row>
    <row r="1231" spans="1:6" ht="15.75" customHeight="1">
      <c r="A1231" s="350" t="s">
        <v>2140</v>
      </c>
      <c r="B1231" s="351">
        <v>100</v>
      </c>
      <c r="C1231" s="351" t="s">
        <v>913</v>
      </c>
      <c r="D1231" s="352">
        <v>22.1</v>
      </c>
      <c r="E1231" s="352">
        <v>55</v>
      </c>
      <c r="F1231" s="352">
        <v>6.4</v>
      </c>
    </row>
    <row r="1232" spans="1:6" ht="15.75" customHeight="1">
      <c r="A1232" s="350" t="s">
        <v>2141</v>
      </c>
      <c r="B1232" s="351">
        <v>100</v>
      </c>
      <c r="C1232" s="351" t="s">
        <v>913</v>
      </c>
      <c r="D1232" s="352">
        <v>8.8000000000000007</v>
      </c>
      <c r="E1232" s="352">
        <v>1.1000000000000001</v>
      </c>
      <c r="F1232" s="352">
        <v>73.8</v>
      </c>
    </row>
    <row r="1233" spans="1:6" ht="15.75" customHeight="1">
      <c r="A1233" s="350" t="s">
        <v>2142</v>
      </c>
      <c r="B1233" s="351">
        <v>100</v>
      </c>
      <c r="C1233" s="351" t="s">
        <v>913</v>
      </c>
      <c r="D1233" s="352">
        <v>0</v>
      </c>
      <c r="E1233" s="352">
        <v>97.5</v>
      </c>
      <c r="F1233" s="352">
        <v>0</v>
      </c>
    </row>
    <row r="1234" spans="1:6" ht="15.75" customHeight="1">
      <c r="A1234" s="350" t="s">
        <v>2143</v>
      </c>
      <c r="B1234" s="351">
        <v>100</v>
      </c>
      <c r="C1234" s="351" t="s">
        <v>913</v>
      </c>
      <c r="D1234" s="352">
        <v>0</v>
      </c>
      <c r="E1234" s="352">
        <v>100</v>
      </c>
      <c r="F1234" s="352">
        <v>0</v>
      </c>
    </row>
    <row r="1235" spans="1:6" ht="15.75" customHeight="1">
      <c r="A1235" s="350" t="s">
        <v>2144</v>
      </c>
      <c r="B1235" s="351">
        <v>100</v>
      </c>
      <c r="C1235" s="351" t="s">
        <v>913</v>
      </c>
      <c r="D1235" s="352">
        <v>0</v>
      </c>
      <c r="E1235" s="352">
        <v>0</v>
      </c>
      <c r="F1235" s="352">
        <v>2.2999999999999998</v>
      </c>
    </row>
    <row r="1236" spans="1:6" ht="15.75" customHeight="1">
      <c r="A1236" s="350" t="s">
        <v>2145</v>
      </c>
      <c r="B1236" s="351">
        <v>100</v>
      </c>
      <c r="C1236" s="351" t="s">
        <v>913</v>
      </c>
      <c r="D1236" s="352">
        <v>3.5</v>
      </c>
      <c r="E1236" s="352">
        <v>1.8</v>
      </c>
      <c r="F1236" s="352">
        <v>15.8</v>
      </c>
    </row>
    <row r="1237" spans="1:6" ht="15.75" customHeight="1">
      <c r="A1237" s="350" t="s">
        <v>2146</v>
      </c>
      <c r="B1237" s="351">
        <v>100</v>
      </c>
      <c r="C1237" s="351" t="s">
        <v>913</v>
      </c>
      <c r="D1237" s="352">
        <v>12.5</v>
      </c>
      <c r="E1237" s="352">
        <v>7.5</v>
      </c>
      <c r="F1237" s="352">
        <v>5.6</v>
      </c>
    </row>
    <row r="1238" spans="1:6" ht="15.75" customHeight="1">
      <c r="A1238" s="350" t="s">
        <v>2147</v>
      </c>
      <c r="B1238" s="351">
        <v>100</v>
      </c>
      <c r="C1238" s="351" t="s">
        <v>913</v>
      </c>
      <c r="D1238" s="352">
        <v>44</v>
      </c>
      <c r="E1238" s="352">
        <v>2.6</v>
      </c>
      <c r="F1238" s="352">
        <v>21.8</v>
      </c>
    </row>
    <row r="1239" spans="1:6" ht="15.75" customHeight="1">
      <c r="A1239" s="350" t="s">
        <v>2148</v>
      </c>
      <c r="B1239" s="351">
        <v>100</v>
      </c>
      <c r="C1239" s="351" t="s">
        <v>913</v>
      </c>
      <c r="D1239" s="352">
        <v>32.799999999999997</v>
      </c>
      <c r="E1239" s="352">
        <v>19.3</v>
      </c>
      <c r="F1239" s="352">
        <v>18.3</v>
      </c>
    </row>
    <row r="1240" spans="1:6" ht="15.75" customHeight="1">
      <c r="A1240" s="350" t="s">
        <v>2149</v>
      </c>
      <c r="B1240" s="351">
        <v>100</v>
      </c>
      <c r="C1240" s="351" t="s">
        <v>913</v>
      </c>
      <c r="D1240" s="352">
        <v>19</v>
      </c>
      <c r="E1240" s="352">
        <v>1.6</v>
      </c>
      <c r="F1240" s="352">
        <v>0</v>
      </c>
    </row>
    <row r="1241" spans="1:6" ht="15.75" customHeight="1">
      <c r="A1241" s="350" t="s">
        <v>2150</v>
      </c>
      <c r="B1241" s="351">
        <v>100</v>
      </c>
      <c r="C1241" s="351" t="s">
        <v>913</v>
      </c>
      <c r="D1241" s="352">
        <v>23</v>
      </c>
      <c r="E1241" s="352">
        <v>2</v>
      </c>
      <c r="F1241" s="352">
        <v>8.9</v>
      </c>
    </row>
    <row r="1242" spans="1:6" ht="15.75" customHeight="1">
      <c r="A1242" s="350" t="s">
        <v>2151</v>
      </c>
      <c r="B1242" s="351">
        <v>100</v>
      </c>
      <c r="C1242" s="351" t="s">
        <v>913</v>
      </c>
      <c r="D1242" s="352">
        <v>21.9</v>
      </c>
      <c r="E1242" s="352">
        <v>1.8</v>
      </c>
      <c r="F1242" s="352">
        <v>0</v>
      </c>
    </row>
    <row r="1243" spans="1:6" ht="15.75" customHeight="1">
      <c r="A1243" s="350" t="s">
        <v>2152</v>
      </c>
      <c r="B1243" s="351">
        <v>100</v>
      </c>
      <c r="C1243" s="351" t="s">
        <v>913</v>
      </c>
      <c r="D1243" s="352">
        <v>8.6999999999999993</v>
      </c>
      <c r="E1243" s="352">
        <v>26.2</v>
      </c>
      <c r="F1243" s="352">
        <v>29.2</v>
      </c>
    </row>
    <row r="1244" spans="1:6" ht="15.75" customHeight="1">
      <c r="A1244" s="350" t="s">
        <v>2153</v>
      </c>
      <c r="B1244" s="351">
        <v>100</v>
      </c>
      <c r="C1244" s="351" t="s">
        <v>913</v>
      </c>
      <c r="D1244" s="352">
        <v>1.2</v>
      </c>
      <c r="E1244" s="352">
        <v>1.5</v>
      </c>
      <c r="F1244" s="352">
        <v>7.6</v>
      </c>
    </row>
    <row r="1245" spans="1:6" ht="15.75" customHeight="1">
      <c r="A1245" s="350" t="s">
        <v>2154</v>
      </c>
      <c r="B1245" s="351">
        <v>100</v>
      </c>
      <c r="C1245" s="351" t="s">
        <v>913</v>
      </c>
      <c r="D1245" s="352">
        <v>1.3</v>
      </c>
      <c r="E1245" s="352">
        <v>1.7</v>
      </c>
      <c r="F1245" s="352">
        <v>5.3</v>
      </c>
    </row>
    <row r="1246" spans="1:6" ht="15.75" customHeight="1">
      <c r="A1246" s="350" t="s">
        <v>2155</v>
      </c>
      <c r="B1246" s="351">
        <v>100</v>
      </c>
      <c r="C1246" s="351" t="s">
        <v>913</v>
      </c>
      <c r="D1246" s="352">
        <v>2</v>
      </c>
      <c r="E1246" s="352">
        <v>0.9</v>
      </c>
      <c r="F1246" s="352">
        <v>5.8</v>
      </c>
    </row>
    <row r="1247" spans="1:6" ht="15.75" customHeight="1">
      <c r="A1247" s="350" t="s">
        <v>2156</v>
      </c>
      <c r="B1247" s="351">
        <v>100</v>
      </c>
      <c r="C1247" s="351" t="s">
        <v>913</v>
      </c>
      <c r="D1247" s="352">
        <v>0.6</v>
      </c>
      <c r="E1247" s="352">
        <v>1.4</v>
      </c>
      <c r="F1247" s="352">
        <v>4.4000000000000004</v>
      </c>
    </row>
    <row r="1248" spans="1:6" ht="15.75" customHeight="1">
      <c r="A1248" s="350" t="s">
        <v>2157</v>
      </c>
      <c r="B1248" s="351">
        <v>100</v>
      </c>
      <c r="C1248" s="351" t="s">
        <v>913</v>
      </c>
      <c r="D1248" s="352">
        <v>0.6</v>
      </c>
      <c r="E1248" s="352">
        <v>1.5</v>
      </c>
      <c r="F1248" s="352">
        <v>4</v>
      </c>
    </row>
    <row r="1249" spans="1:6" ht="15.75" customHeight="1">
      <c r="A1249" s="350" t="s">
        <v>2158</v>
      </c>
      <c r="B1249" s="351">
        <v>100</v>
      </c>
      <c r="C1249" s="351" t="s">
        <v>913</v>
      </c>
      <c r="D1249" s="352">
        <v>1</v>
      </c>
      <c r="E1249" s="352">
        <v>1.6</v>
      </c>
      <c r="F1249" s="352">
        <v>4.2</v>
      </c>
    </row>
    <row r="1250" spans="1:6" ht="15.75" customHeight="1">
      <c r="A1250" s="350" t="s">
        <v>2159</v>
      </c>
      <c r="B1250" s="351">
        <v>100</v>
      </c>
      <c r="C1250" s="351" t="s">
        <v>913</v>
      </c>
      <c r="D1250" s="352">
        <v>1.3</v>
      </c>
      <c r="E1250" s="352">
        <v>0.5</v>
      </c>
      <c r="F1250" s="352">
        <v>5.3</v>
      </c>
    </row>
    <row r="1251" spans="1:6" ht="15.75" customHeight="1">
      <c r="A1251" s="350" t="s">
        <v>2160</v>
      </c>
      <c r="B1251" s="351">
        <v>100</v>
      </c>
      <c r="C1251" s="351" t="s">
        <v>913</v>
      </c>
      <c r="D1251" s="352">
        <v>1.1000000000000001</v>
      </c>
      <c r="E1251" s="352">
        <v>1.6</v>
      </c>
      <c r="F1251" s="352">
        <v>2</v>
      </c>
    </row>
    <row r="1252" spans="1:6" ht="15.75" customHeight="1">
      <c r="A1252" s="350" t="s">
        <v>2161</v>
      </c>
      <c r="B1252" s="351">
        <v>100</v>
      </c>
      <c r="C1252" s="351" t="s">
        <v>913</v>
      </c>
      <c r="D1252" s="352">
        <v>4</v>
      </c>
      <c r="E1252" s="352">
        <v>0.9</v>
      </c>
      <c r="F1252" s="352">
        <v>7.3</v>
      </c>
    </row>
    <row r="1253" spans="1:6" ht="15.75" customHeight="1">
      <c r="A1253" s="350" t="s">
        <v>2162</v>
      </c>
      <c r="B1253" s="351">
        <v>100</v>
      </c>
      <c r="C1253" s="351" t="s">
        <v>913</v>
      </c>
      <c r="D1253" s="352">
        <v>0.8</v>
      </c>
      <c r="E1253" s="352">
        <v>1.5</v>
      </c>
      <c r="F1253" s="352">
        <v>5.4</v>
      </c>
    </row>
    <row r="1254" spans="1:6" ht="15.75" customHeight="1">
      <c r="A1254" s="350" t="s">
        <v>2163</v>
      </c>
      <c r="B1254" s="351">
        <v>100</v>
      </c>
      <c r="C1254" s="351" t="s">
        <v>913</v>
      </c>
      <c r="D1254" s="352">
        <v>0.9</v>
      </c>
      <c r="E1254" s="352">
        <v>0.6</v>
      </c>
      <c r="F1254" s="352">
        <v>4.4000000000000004</v>
      </c>
    </row>
    <row r="1255" spans="1:6" ht="15.75" customHeight="1">
      <c r="A1255" s="350" t="s">
        <v>2164</v>
      </c>
      <c r="B1255" s="351">
        <v>100</v>
      </c>
      <c r="C1255" s="351" t="s">
        <v>913</v>
      </c>
      <c r="D1255" s="352">
        <v>0.8</v>
      </c>
      <c r="E1255" s="352">
        <v>1.5</v>
      </c>
      <c r="F1255" s="352">
        <v>5.4</v>
      </c>
    </row>
    <row r="1256" spans="1:6" ht="15.75" customHeight="1">
      <c r="A1256" s="350" t="s">
        <v>2165</v>
      </c>
      <c r="B1256" s="351">
        <v>100</v>
      </c>
      <c r="C1256" s="351" t="s">
        <v>913</v>
      </c>
      <c r="D1256" s="352">
        <v>0.9</v>
      </c>
      <c r="E1256" s="352">
        <v>1.5</v>
      </c>
      <c r="F1256" s="352">
        <v>5.3</v>
      </c>
    </row>
    <row r="1257" spans="1:6" ht="15.75" customHeight="1">
      <c r="A1257" s="350" t="s">
        <v>2166</v>
      </c>
      <c r="B1257" s="351">
        <v>100</v>
      </c>
      <c r="C1257" s="351" t="s">
        <v>913</v>
      </c>
      <c r="D1257" s="352">
        <v>2.6</v>
      </c>
      <c r="E1257" s="352">
        <v>1.4</v>
      </c>
      <c r="F1257" s="352">
        <v>2.9</v>
      </c>
    </row>
    <row r="1258" spans="1:6" ht="15.75" customHeight="1">
      <c r="A1258" s="350" t="s">
        <v>2167</v>
      </c>
      <c r="B1258" s="351">
        <v>100</v>
      </c>
      <c r="C1258" s="351" t="s">
        <v>913</v>
      </c>
      <c r="D1258" s="352">
        <v>1.6</v>
      </c>
      <c r="E1258" s="352">
        <v>1.5</v>
      </c>
      <c r="F1258" s="352">
        <v>6.4</v>
      </c>
    </row>
    <row r="1259" spans="1:6" ht="15.75" customHeight="1">
      <c r="A1259" s="350" t="s">
        <v>2168</v>
      </c>
      <c r="B1259" s="351">
        <v>100</v>
      </c>
      <c r="C1259" s="351" t="s">
        <v>913</v>
      </c>
      <c r="D1259" s="352">
        <v>1</v>
      </c>
      <c r="E1259" s="352">
        <v>1.6</v>
      </c>
      <c r="F1259" s="352">
        <v>4.8</v>
      </c>
    </row>
    <row r="1260" spans="1:6" ht="15.75" customHeight="1">
      <c r="A1260" s="350" t="s">
        <v>2169</v>
      </c>
      <c r="B1260" s="351">
        <v>100</v>
      </c>
      <c r="C1260" s="351" t="s">
        <v>913</v>
      </c>
      <c r="D1260" s="352">
        <v>2.5</v>
      </c>
      <c r="E1260" s="352">
        <v>6.9</v>
      </c>
      <c r="F1260" s="352">
        <v>4.7</v>
      </c>
    </row>
    <row r="1261" spans="1:6" ht="15.75" customHeight="1">
      <c r="A1261" s="350" t="s">
        <v>2170</v>
      </c>
      <c r="B1261" s="351">
        <v>100</v>
      </c>
      <c r="C1261" s="351" t="s">
        <v>913</v>
      </c>
      <c r="D1261" s="352">
        <v>1.8</v>
      </c>
      <c r="E1261" s="352">
        <v>1.5</v>
      </c>
      <c r="F1261" s="352">
        <v>6.4</v>
      </c>
    </row>
    <row r="1262" spans="1:6" ht="15.75" customHeight="1">
      <c r="A1262" s="350" t="s">
        <v>2171</v>
      </c>
      <c r="B1262" s="351">
        <v>100</v>
      </c>
      <c r="C1262" s="351" t="s">
        <v>913</v>
      </c>
      <c r="D1262" s="352">
        <v>2.5</v>
      </c>
      <c r="E1262" s="352">
        <v>2.1</v>
      </c>
      <c r="F1262" s="352">
        <v>4.0999999999999996</v>
      </c>
    </row>
    <row r="1263" spans="1:6" ht="15.75" customHeight="1">
      <c r="A1263" s="350" t="s">
        <v>2172</v>
      </c>
      <c r="B1263" s="351">
        <v>100</v>
      </c>
      <c r="C1263" s="351" t="s">
        <v>913</v>
      </c>
      <c r="D1263" s="352">
        <v>2.5</v>
      </c>
      <c r="E1263" s="352">
        <v>1.3</v>
      </c>
      <c r="F1263" s="352">
        <v>4.9000000000000004</v>
      </c>
    </row>
    <row r="1264" spans="1:6" ht="15.75" customHeight="1">
      <c r="A1264" s="350" t="s">
        <v>2173</v>
      </c>
      <c r="B1264" s="351">
        <v>100</v>
      </c>
      <c r="C1264" s="351" t="s">
        <v>913</v>
      </c>
      <c r="D1264" s="352">
        <v>1.2</v>
      </c>
      <c r="E1264" s="352">
        <v>0.4</v>
      </c>
      <c r="F1264" s="352">
        <v>8.6999999999999993</v>
      </c>
    </row>
    <row r="1265" spans="1:6" ht="15.75" customHeight="1">
      <c r="A1265" s="350" t="s">
        <v>2174</v>
      </c>
      <c r="B1265" s="351">
        <v>100</v>
      </c>
      <c r="C1265" s="351" t="s">
        <v>913</v>
      </c>
      <c r="D1265" s="352">
        <v>2.1</v>
      </c>
      <c r="E1265" s="352">
        <v>1.8</v>
      </c>
      <c r="F1265" s="352">
        <v>3.5</v>
      </c>
    </row>
    <row r="1266" spans="1:6" ht="15.75" customHeight="1">
      <c r="A1266" s="350" t="s">
        <v>2175</v>
      </c>
      <c r="B1266" s="351">
        <v>100</v>
      </c>
      <c r="C1266" s="351" t="s">
        <v>913</v>
      </c>
      <c r="D1266" s="352">
        <v>0.7</v>
      </c>
      <c r="E1266" s="352">
        <v>1.5</v>
      </c>
      <c r="F1266" s="352">
        <v>3.5</v>
      </c>
    </row>
    <row r="1267" spans="1:6" ht="15.75" customHeight="1">
      <c r="A1267" s="350" t="s">
        <v>2176</v>
      </c>
      <c r="B1267" s="351">
        <v>100</v>
      </c>
      <c r="C1267" s="351" t="s">
        <v>913</v>
      </c>
      <c r="D1267" s="352">
        <v>0.9</v>
      </c>
      <c r="E1267" s="352">
        <v>1.5</v>
      </c>
      <c r="F1267" s="352">
        <v>5.8</v>
      </c>
    </row>
    <row r="1268" spans="1:6" ht="15.75" customHeight="1">
      <c r="A1268" s="350" t="s">
        <v>2177</v>
      </c>
      <c r="B1268" s="351">
        <v>100</v>
      </c>
      <c r="C1268" s="351" t="s">
        <v>913</v>
      </c>
      <c r="D1268" s="352">
        <v>0.7</v>
      </c>
      <c r="E1268" s="352">
        <v>1.9</v>
      </c>
      <c r="F1268" s="352">
        <v>3.4</v>
      </c>
    </row>
    <row r="1269" spans="1:6" ht="15.75" customHeight="1">
      <c r="A1269" s="350" t="s">
        <v>2178</v>
      </c>
      <c r="B1269" s="351">
        <v>100</v>
      </c>
      <c r="C1269" s="351" t="s">
        <v>913</v>
      </c>
      <c r="D1269" s="352">
        <v>4.7</v>
      </c>
      <c r="E1269" s="352">
        <v>2.2999999999999998</v>
      </c>
      <c r="F1269" s="352">
        <v>15.1</v>
      </c>
    </row>
    <row r="1270" spans="1:6" ht="15.75" customHeight="1">
      <c r="A1270" s="350" t="s">
        <v>2179</v>
      </c>
      <c r="B1270" s="351">
        <v>100</v>
      </c>
      <c r="C1270" s="351" t="s">
        <v>913</v>
      </c>
      <c r="D1270" s="352">
        <v>2.1</v>
      </c>
      <c r="E1270" s="352">
        <v>1.3</v>
      </c>
      <c r="F1270" s="352">
        <v>5.3</v>
      </c>
    </row>
    <row r="1271" spans="1:6" ht="15.75" customHeight="1">
      <c r="A1271" s="350" t="s">
        <v>2180</v>
      </c>
      <c r="B1271" s="351">
        <v>100</v>
      </c>
      <c r="C1271" s="351" t="s">
        <v>913</v>
      </c>
      <c r="D1271" s="352">
        <v>2.4</v>
      </c>
      <c r="E1271" s="352">
        <v>2.1</v>
      </c>
      <c r="F1271" s="352">
        <v>7</v>
      </c>
    </row>
    <row r="1272" spans="1:6" ht="15.75" customHeight="1">
      <c r="A1272" s="350" t="s">
        <v>2181</v>
      </c>
      <c r="B1272" s="351">
        <v>100</v>
      </c>
      <c r="C1272" s="351" t="s">
        <v>913</v>
      </c>
      <c r="D1272" s="352">
        <v>2.6</v>
      </c>
      <c r="E1272" s="352">
        <v>2.2999999999999998</v>
      </c>
      <c r="F1272" s="352">
        <v>5.0999999999999996</v>
      </c>
    </row>
    <row r="1273" spans="1:6" ht="15.75" customHeight="1">
      <c r="A1273" s="350" t="s">
        <v>2182</v>
      </c>
      <c r="B1273" s="351">
        <v>100</v>
      </c>
      <c r="C1273" s="351" t="s">
        <v>913</v>
      </c>
      <c r="D1273" s="352">
        <v>1</v>
      </c>
      <c r="E1273" s="352">
        <v>1.2</v>
      </c>
      <c r="F1273" s="352">
        <v>5.8</v>
      </c>
    </row>
    <row r="1274" spans="1:6" ht="15.75" customHeight="1">
      <c r="A1274" s="350" t="s">
        <v>2183</v>
      </c>
      <c r="B1274" s="351">
        <v>100</v>
      </c>
      <c r="C1274" s="351" t="s">
        <v>913</v>
      </c>
      <c r="D1274" s="352">
        <v>1.3</v>
      </c>
      <c r="E1274" s="352">
        <v>0.6</v>
      </c>
      <c r="F1274" s="352">
        <v>1.3</v>
      </c>
    </row>
    <row r="1275" spans="1:6" ht="15.75" customHeight="1">
      <c r="A1275" s="350" t="s">
        <v>2184</v>
      </c>
      <c r="B1275" s="351">
        <v>100</v>
      </c>
      <c r="C1275" s="351" t="s">
        <v>913</v>
      </c>
      <c r="D1275" s="352">
        <v>2.8</v>
      </c>
      <c r="E1275" s="352">
        <v>1.1000000000000001</v>
      </c>
      <c r="F1275" s="352">
        <v>5.8</v>
      </c>
    </row>
    <row r="1276" spans="1:6" ht="15.75" customHeight="1">
      <c r="A1276" s="350" t="s">
        <v>2185</v>
      </c>
      <c r="B1276" s="351">
        <v>100</v>
      </c>
      <c r="C1276" s="351" t="s">
        <v>913</v>
      </c>
      <c r="D1276" s="352">
        <v>1.1000000000000001</v>
      </c>
      <c r="E1276" s="352">
        <v>0.8</v>
      </c>
      <c r="F1276" s="352">
        <v>4.4000000000000004</v>
      </c>
    </row>
    <row r="1277" spans="1:6" ht="15.75" customHeight="1">
      <c r="A1277" s="350" t="s">
        <v>2186</v>
      </c>
      <c r="B1277" s="351">
        <v>100</v>
      </c>
      <c r="C1277" s="351" t="s">
        <v>913</v>
      </c>
      <c r="D1277" s="352">
        <v>0.8</v>
      </c>
      <c r="E1277" s="352">
        <v>0.2</v>
      </c>
      <c r="F1277" s="352">
        <v>1.2</v>
      </c>
    </row>
    <row r="1278" spans="1:6" ht="15.75" customHeight="1">
      <c r="A1278" s="350" t="s">
        <v>2187</v>
      </c>
      <c r="B1278" s="351">
        <v>100</v>
      </c>
      <c r="C1278" s="351" t="s">
        <v>913</v>
      </c>
      <c r="D1278" s="352">
        <v>0.9</v>
      </c>
      <c r="E1278" s="352">
        <v>0.9</v>
      </c>
      <c r="F1278" s="352">
        <v>4.3</v>
      </c>
    </row>
    <row r="1279" spans="1:6" ht="15.75" customHeight="1">
      <c r="A1279" s="350" t="s">
        <v>2188</v>
      </c>
      <c r="B1279" s="351">
        <v>100</v>
      </c>
      <c r="C1279" s="351" t="s">
        <v>913</v>
      </c>
      <c r="D1279" s="352">
        <v>1.6</v>
      </c>
      <c r="E1279" s="352">
        <v>1.6</v>
      </c>
      <c r="F1279" s="352">
        <v>4.5</v>
      </c>
    </row>
    <row r="1280" spans="1:6" ht="15.75" customHeight="1">
      <c r="A1280" s="350" t="s">
        <v>2189</v>
      </c>
      <c r="B1280" s="351">
        <v>100</v>
      </c>
      <c r="C1280" s="351" t="s">
        <v>913</v>
      </c>
      <c r="D1280" s="352">
        <v>1</v>
      </c>
      <c r="E1280" s="352">
        <v>1.5</v>
      </c>
      <c r="F1280" s="352">
        <v>5.5</v>
      </c>
    </row>
    <row r="1281" spans="1:6" ht="15.75" customHeight="1">
      <c r="A1281" s="350" t="s">
        <v>2190</v>
      </c>
      <c r="B1281" s="351">
        <v>100</v>
      </c>
      <c r="C1281" s="351" t="s">
        <v>913</v>
      </c>
      <c r="D1281" s="352">
        <v>5</v>
      </c>
      <c r="E1281" s="352">
        <v>3.4</v>
      </c>
      <c r="F1281" s="352">
        <v>81</v>
      </c>
    </row>
    <row r="1282" spans="1:6" ht="15.75" customHeight="1">
      <c r="A1282" s="350" t="s">
        <v>2191</v>
      </c>
      <c r="B1282" s="351">
        <v>100</v>
      </c>
      <c r="C1282" s="351" t="s">
        <v>913</v>
      </c>
      <c r="D1282" s="352">
        <v>6.5</v>
      </c>
      <c r="E1282" s="352">
        <v>2.8</v>
      </c>
      <c r="F1282" s="352">
        <v>77</v>
      </c>
    </row>
    <row r="1283" spans="1:6" ht="15.75" customHeight="1">
      <c r="A1283" s="350" t="s">
        <v>2192</v>
      </c>
      <c r="B1283" s="351">
        <v>100</v>
      </c>
      <c r="C1283" s="351" t="s">
        <v>913</v>
      </c>
      <c r="D1283" s="352">
        <v>2.7</v>
      </c>
      <c r="E1283" s="352">
        <v>0.4</v>
      </c>
      <c r="F1283" s="352">
        <v>69.400000000000006</v>
      </c>
    </row>
    <row r="1284" spans="1:6" ht="15.75" customHeight="1">
      <c r="A1284" s="350" t="s">
        <v>2193</v>
      </c>
      <c r="B1284" s="351">
        <v>100</v>
      </c>
      <c r="C1284" s="351" t="s">
        <v>913</v>
      </c>
      <c r="D1284" s="352">
        <v>0.2</v>
      </c>
      <c r="E1284" s="352">
        <v>0.1</v>
      </c>
      <c r="F1284" s="352">
        <v>9.5</v>
      </c>
    </row>
    <row r="1285" spans="1:6" ht="15.75" customHeight="1">
      <c r="A1285" s="350" t="s">
        <v>2194</v>
      </c>
      <c r="B1285" s="351">
        <v>100</v>
      </c>
      <c r="C1285" s="351" t="s">
        <v>913</v>
      </c>
      <c r="D1285" s="352">
        <v>0</v>
      </c>
      <c r="E1285" s="352">
        <v>0</v>
      </c>
      <c r="F1285" s="352">
        <v>64.7</v>
      </c>
    </row>
    <row r="1286" spans="1:6" ht="15.75" customHeight="1">
      <c r="A1286" s="350" t="s">
        <v>2195</v>
      </c>
      <c r="B1286" s="351">
        <v>100</v>
      </c>
      <c r="C1286" s="351" t="s">
        <v>913</v>
      </c>
      <c r="D1286" s="352">
        <v>0.3</v>
      </c>
      <c r="E1286" s="352">
        <v>0.1</v>
      </c>
      <c r="F1286" s="352">
        <v>9.5</v>
      </c>
    </row>
    <row r="1287" spans="1:6" ht="15.75" customHeight="1">
      <c r="A1287" s="350" t="s">
        <v>2196</v>
      </c>
      <c r="B1287" s="351">
        <v>100</v>
      </c>
      <c r="C1287" s="351" t="s">
        <v>913</v>
      </c>
      <c r="D1287" s="352">
        <v>0.1</v>
      </c>
      <c r="E1287" s="352">
        <v>0.7</v>
      </c>
      <c r="F1287" s="352">
        <v>64.900000000000006</v>
      </c>
    </row>
    <row r="1288" spans="1:6" ht="15.75" customHeight="1">
      <c r="A1288" s="350" t="s">
        <v>2197</v>
      </c>
      <c r="B1288" s="351">
        <v>100</v>
      </c>
      <c r="C1288" s="351" t="s">
        <v>913</v>
      </c>
      <c r="D1288" s="352">
        <v>0.3</v>
      </c>
      <c r="E1288" s="352">
        <v>0</v>
      </c>
      <c r="F1288" s="352">
        <v>1.5</v>
      </c>
    </row>
    <row r="1289" spans="1:6" ht="15.75" customHeight="1">
      <c r="A1289" s="350" t="s">
        <v>2198</v>
      </c>
      <c r="B1289" s="351">
        <v>100</v>
      </c>
      <c r="C1289" s="351" t="s">
        <v>913</v>
      </c>
      <c r="D1289" s="352">
        <v>0.1</v>
      </c>
      <c r="E1289" s="352">
        <v>0.1</v>
      </c>
      <c r="F1289" s="352">
        <v>9.9</v>
      </c>
    </row>
    <row r="1290" spans="1:6" ht="15.75" customHeight="1">
      <c r="A1290" s="350" t="s">
        <v>2199</v>
      </c>
      <c r="B1290" s="351">
        <v>100</v>
      </c>
      <c r="C1290" s="351" t="s">
        <v>913</v>
      </c>
      <c r="D1290" s="352">
        <v>0.2</v>
      </c>
      <c r="E1290" s="352">
        <v>0.1</v>
      </c>
      <c r="F1290" s="352">
        <v>11.5</v>
      </c>
    </row>
    <row r="1291" spans="1:6" ht="15.75" customHeight="1">
      <c r="A1291" s="350" t="s">
        <v>2200</v>
      </c>
      <c r="B1291" s="351">
        <v>100</v>
      </c>
      <c r="C1291" s="351" t="s">
        <v>913</v>
      </c>
      <c r="D1291" s="352">
        <v>1.1000000000000001</v>
      </c>
      <c r="E1291" s="352">
        <v>0</v>
      </c>
      <c r="F1291" s="352">
        <v>3.5</v>
      </c>
    </row>
    <row r="1292" spans="1:6" ht="15.75" customHeight="1">
      <c r="A1292" s="350" t="s">
        <v>2201</v>
      </c>
      <c r="B1292" s="351">
        <v>100</v>
      </c>
      <c r="C1292" s="351" t="s">
        <v>913</v>
      </c>
      <c r="D1292" s="352">
        <v>18.5</v>
      </c>
      <c r="E1292" s="352">
        <v>58.9</v>
      </c>
      <c r="F1292" s="352">
        <v>0.9</v>
      </c>
    </row>
    <row r="1293" spans="1:6" ht="15.75" customHeight="1">
      <c r="A1293" s="350" t="s">
        <v>2202</v>
      </c>
      <c r="B1293" s="351">
        <v>100</v>
      </c>
      <c r="C1293" s="351" t="s">
        <v>913</v>
      </c>
      <c r="D1293" s="352">
        <v>1.2</v>
      </c>
      <c r="E1293" s="352">
        <v>0.1</v>
      </c>
      <c r="F1293" s="352">
        <v>33.200000000000003</v>
      </c>
    </row>
    <row r="1294" spans="1:6" ht="15.75" customHeight="1">
      <c r="A1294" s="350" t="s">
        <v>2203</v>
      </c>
      <c r="B1294" s="351">
        <v>100</v>
      </c>
      <c r="C1294" s="351" t="s">
        <v>913</v>
      </c>
      <c r="D1294" s="352">
        <v>2.5</v>
      </c>
      <c r="E1294" s="352">
        <v>0.3</v>
      </c>
      <c r="F1294" s="352">
        <v>67.3</v>
      </c>
    </row>
    <row r="1295" spans="1:6" ht="15.75" customHeight="1">
      <c r="A1295" s="350" t="s">
        <v>2204</v>
      </c>
      <c r="B1295" s="351">
        <v>100</v>
      </c>
      <c r="C1295" s="351" t="s">
        <v>913</v>
      </c>
      <c r="D1295" s="352">
        <v>2</v>
      </c>
      <c r="E1295" s="352">
        <v>0.3</v>
      </c>
      <c r="F1295" s="352">
        <v>0</v>
      </c>
    </row>
    <row r="1296" spans="1:6" ht="15.75" customHeight="1">
      <c r="A1296" s="350" t="s">
        <v>2205</v>
      </c>
      <c r="B1296" s="351">
        <v>100</v>
      </c>
      <c r="C1296" s="351" t="s">
        <v>913</v>
      </c>
      <c r="D1296" s="352">
        <v>2.2999999999999998</v>
      </c>
      <c r="E1296" s="352">
        <v>0.3</v>
      </c>
      <c r="F1296" s="352">
        <v>54.9</v>
      </c>
    </row>
    <row r="1297" spans="1:6" ht="15.75" customHeight="1">
      <c r="A1297" s="350" t="s">
        <v>2206</v>
      </c>
      <c r="B1297" s="351">
        <v>100</v>
      </c>
      <c r="C1297" s="351" t="s">
        <v>913</v>
      </c>
      <c r="D1297" s="352">
        <v>17.899999999999999</v>
      </c>
      <c r="E1297" s="352">
        <v>0.2</v>
      </c>
      <c r="F1297" s="352">
        <v>0</v>
      </c>
    </row>
    <row r="1298" spans="1:6" ht="15.75" customHeight="1">
      <c r="A1298" s="350" t="s">
        <v>2207</v>
      </c>
      <c r="B1298" s="351">
        <v>100</v>
      </c>
      <c r="C1298" s="351" t="s">
        <v>913</v>
      </c>
      <c r="D1298" s="352">
        <v>21.4</v>
      </c>
      <c r="E1298" s="352">
        <v>0.3</v>
      </c>
      <c r="F1298" s="352">
        <v>0</v>
      </c>
    </row>
    <row r="1299" spans="1:6" ht="15.75" customHeight="1">
      <c r="A1299" s="350" t="s">
        <v>2208</v>
      </c>
      <c r="B1299" s="351">
        <v>100</v>
      </c>
      <c r="C1299" s="351" t="s">
        <v>913</v>
      </c>
      <c r="D1299" s="352">
        <v>0.7</v>
      </c>
      <c r="E1299" s="352">
        <v>0.1</v>
      </c>
      <c r="F1299" s="352">
        <v>7.8</v>
      </c>
    </row>
    <row r="1300" spans="1:6" ht="15.75" customHeight="1">
      <c r="A1300" s="350" t="s">
        <v>2209</v>
      </c>
      <c r="B1300" s="351">
        <v>100</v>
      </c>
      <c r="C1300" s="351" t="s">
        <v>913</v>
      </c>
      <c r="D1300" s="352">
        <v>0.7</v>
      </c>
      <c r="E1300" s="352">
        <v>0.1</v>
      </c>
      <c r="F1300" s="352">
        <v>8.6999999999999993</v>
      </c>
    </row>
    <row r="1301" spans="1:6" ht="15.75" customHeight="1">
      <c r="A1301" s="350" t="s">
        <v>2210</v>
      </c>
      <c r="B1301" s="351">
        <v>100</v>
      </c>
      <c r="C1301" s="351" t="s">
        <v>913</v>
      </c>
      <c r="D1301" s="352">
        <v>0.3</v>
      </c>
      <c r="E1301" s="352">
        <v>0.2</v>
      </c>
      <c r="F1301" s="352">
        <v>87.5</v>
      </c>
    </row>
    <row r="1302" spans="1:6" ht="15.75" customHeight="1">
      <c r="A1302" s="350" t="s">
        <v>2211</v>
      </c>
      <c r="B1302" s="351">
        <v>100</v>
      </c>
      <c r="C1302" s="351" t="s">
        <v>913</v>
      </c>
      <c r="D1302" s="352">
        <v>1.8</v>
      </c>
      <c r="E1302" s="352">
        <v>8</v>
      </c>
      <c r="F1302" s="352">
        <v>29.3</v>
      </c>
    </row>
    <row r="1303" spans="1:6" ht="15.75" customHeight="1">
      <c r="A1303" s="350" t="s">
        <v>2212</v>
      </c>
      <c r="B1303" s="351">
        <v>100</v>
      </c>
      <c r="C1303" s="351" t="s">
        <v>913</v>
      </c>
      <c r="D1303" s="352">
        <v>4.4000000000000004</v>
      </c>
      <c r="E1303" s="352">
        <v>6.2</v>
      </c>
      <c r="F1303" s="352">
        <v>36.700000000000003</v>
      </c>
    </row>
    <row r="1304" spans="1:6" ht="15.75" customHeight="1">
      <c r="A1304" s="350" t="s">
        <v>2213</v>
      </c>
      <c r="B1304" s="351">
        <v>100</v>
      </c>
      <c r="C1304" s="351" t="s">
        <v>913</v>
      </c>
      <c r="D1304" s="352">
        <v>0</v>
      </c>
      <c r="E1304" s="352">
        <v>0</v>
      </c>
      <c r="F1304" s="352">
        <v>0.2</v>
      </c>
    </row>
    <row r="1305" spans="1:6" ht="15.75" customHeight="1">
      <c r="A1305" s="350" t="s">
        <v>2214</v>
      </c>
      <c r="B1305" s="351">
        <v>100</v>
      </c>
      <c r="C1305" s="351" t="s">
        <v>913</v>
      </c>
      <c r="D1305" s="352">
        <v>8.6999999999999993</v>
      </c>
      <c r="E1305" s="352">
        <v>7.6</v>
      </c>
      <c r="F1305" s="352">
        <v>1.1000000000000001</v>
      </c>
    </row>
    <row r="1306" spans="1:6" ht="15.75" customHeight="1">
      <c r="A1306" s="350" t="s">
        <v>2215</v>
      </c>
      <c r="B1306" s="351">
        <v>100</v>
      </c>
      <c r="C1306" s="351" t="s">
        <v>913</v>
      </c>
      <c r="D1306" s="352">
        <v>8.6999999999999993</v>
      </c>
      <c r="E1306" s="352">
        <v>7.6</v>
      </c>
      <c r="F1306" s="352">
        <v>1.1000000000000001</v>
      </c>
    </row>
    <row r="1307" spans="1:6" ht="15.75" customHeight="1">
      <c r="A1307" s="350" t="s">
        <v>2216</v>
      </c>
      <c r="B1307" s="351">
        <v>100</v>
      </c>
      <c r="C1307" s="351" t="s">
        <v>913</v>
      </c>
      <c r="D1307" s="352">
        <v>8.5</v>
      </c>
      <c r="E1307" s="352">
        <v>4.4000000000000004</v>
      </c>
      <c r="F1307" s="352">
        <v>0.7</v>
      </c>
    </row>
    <row r="1308" spans="1:6" ht="15.75" customHeight="1">
      <c r="A1308" s="350" t="s">
        <v>2217</v>
      </c>
      <c r="B1308" s="351">
        <v>100</v>
      </c>
      <c r="C1308" s="351" t="s">
        <v>913</v>
      </c>
      <c r="D1308" s="352">
        <v>1</v>
      </c>
      <c r="E1308" s="352">
        <v>0.8</v>
      </c>
      <c r="F1308" s="352">
        <v>4</v>
      </c>
    </row>
    <row r="1309" spans="1:6" ht="15.75" customHeight="1">
      <c r="A1309" s="350" t="s">
        <v>2218</v>
      </c>
      <c r="B1309" s="351">
        <v>100</v>
      </c>
      <c r="C1309" s="351" t="s">
        <v>913</v>
      </c>
      <c r="D1309" s="352">
        <v>3.7</v>
      </c>
      <c r="E1309" s="352">
        <v>0.3</v>
      </c>
      <c r="F1309" s="352">
        <v>14.3</v>
      </c>
    </row>
    <row r="1310" spans="1:6" ht="15.75" customHeight="1">
      <c r="A1310" s="350" t="s">
        <v>2219</v>
      </c>
      <c r="B1310" s="351">
        <v>100</v>
      </c>
      <c r="C1310" s="351" t="s">
        <v>913</v>
      </c>
      <c r="D1310" s="352">
        <v>0.8</v>
      </c>
      <c r="E1310" s="352">
        <v>0.3</v>
      </c>
      <c r="F1310" s="352">
        <v>3.5</v>
      </c>
    </row>
    <row r="1311" spans="1:6" ht="15.75" customHeight="1">
      <c r="A1311" s="350" t="s">
        <v>2220</v>
      </c>
      <c r="B1311" s="351">
        <v>100</v>
      </c>
      <c r="C1311" s="351" t="s">
        <v>913</v>
      </c>
      <c r="D1311" s="352">
        <v>1</v>
      </c>
      <c r="E1311" s="352">
        <v>0.3</v>
      </c>
      <c r="F1311" s="352">
        <v>3.2</v>
      </c>
    </row>
    <row r="1312" spans="1:6" ht="15.75" customHeight="1">
      <c r="A1312" s="350" t="s">
        <v>2221</v>
      </c>
      <c r="B1312" s="351">
        <v>100</v>
      </c>
      <c r="C1312" s="351" t="s">
        <v>913</v>
      </c>
      <c r="D1312" s="352">
        <v>1.5</v>
      </c>
      <c r="E1312" s="352">
        <v>1.2</v>
      </c>
      <c r="F1312" s="352">
        <v>7.4</v>
      </c>
    </row>
    <row r="1313" spans="1:6" ht="15.75" customHeight="1">
      <c r="A1313" s="350" t="s">
        <v>2222</v>
      </c>
      <c r="B1313" s="351">
        <v>100</v>
      </c>
      <c r="C1313" s="351" t="s">
        <v>913</v>
      </c>
      <c r="D1313" s="352">
        <v>9.1</v>
      </c>
      <c r="E1313" s="352">
        <v>7.4</v>
      </c>
      <c r="F1313" s="352">
        <v>45.3</v>
      </c>
    </row>
    <row r="1314" spans="1:6" ht="15.75" customHeight="1">
      <c r="A1314" s="350" t="s">
        <v>2223</v>
      </c>
      <c r="B1314" s="351">
        <v>100</v>
      </c>
      <c r="C1314" s="351" t="s">
        <v>913</v>
      </c>
      <c r="D1314" s="352">
        <v>0.9</v>
      </c>
      <c r="E1314" s="352">
        <v>0.1</v>
      </c>
      <c r="F1314" s="352">
        <v>6</v>
      </c>
    </row>
    <row r="1315" spans="1:6" ht="15.75" customHeight="1">
      <c r="A1315" s="350" t="s">
        <v>2224</v>
      </c>
      <c r="B1315" s="351">
        <v>100</v>
      </c>
      <c r="C1315" s="351" t="s">
        <v>913</v>
      </c>
      <c r="D1315" s="352">
        <v>8</v>
      </c>
      <c r="E1315" s="352">
        <v>23.9</v>
      </c>
      <c r="F1315" s="352">
        <v>29.6</v>
      </c>
    </row>
    <row r="1316" spans="1:6" ht="15.75" customHeight="1">
      <c r="A1316" s="350" t="s">
        <v>2225</v>
      </c>
      <c r="B1316" s="351">
        <v>100</v>
      </c>
      <c r="C1316" s="351" t="s">
        <v>913</v>
      </c>
      <c r="D1316" s="352">
        <v>12.5</v>
      </c>
      <c r="E1316" s="352">
        <v>4.2</v>
      </c>
      <c r="F1316" s="352">
        <v>69.7</v>
      </c>
    </row>
    <row r="1317" spans="1:6" ht="15.75" customHeight="1">
      <c r="A1317" s="350" t="s">
        <v>2226</v>
      </c>
      <c r="B1317" s="351">
        <v>100</v>
      </c>
      <c r="C1317" s="351" t="s">
        <v>913</v>
      </c>
      <c r="D1317" s="352">
        <v>15.4</v>
      </c>
      <c r="E1317" s="352">
        <v>5.0999999999999996</v>
      </c>
      <c r="F1317" s="352">
        <v>62.6</v>
      </c>
    </row>
    <row r="1318" spans="1:6" ht="15.75" customHeight="1">
      <c r="A1318" s="350" t="s">
        <v>2227</v>
      </c>
      <c r="B1318" s="351">
        <v>100</v>
      </c>
      <c r="C1318" s="351" t="s">
        <v>913</v>
      </c>
      <c r="D1318" s="352">
        <v>11.3</v>
      </c>
      <c r="E1318" s="352">
        <v>3.8</v>
      </c>
      <c r="F1318" s="352">
        <v>72.7</v>
      </c>
    </row>
    <row r="1319" spans="1:6" ht="15.75" customHeight="1">
      <c r="A1319" s="350" t="s">
        <v>2228</v>
      </c>
      <c r="B1319" s="351">
        <v>100</v>
      </c>
      <c r="C1319" s="351" t="s">
        <v>913</v>
      </c>
      <c r="D1319" s="352">
        <v>11.3</v>
      </c>
      <c r="E1319" s="352">
        <v>3.8</v>
      </c>
      <c r="F1319" s="352">
        <v>72.7</v>
      </c>
    </row>
    <row r="1320" spans="1:6" ht="15.75" customHeight="1">
      <c r="A1320" s="350" t="s">
        <v>2229</v>
      </c>
      <c r="B1320" s="351">
        <v>100</v>
      </c>
      <c r="C1320" s="351" t="s">
        <v>913</v>
      </c>
      <c r="D1320" s="352">
        <v>8.4</v>
      </c>
      <c r="E1320" s="352">
        <v>72</v>
      </c>
      <c r="F1320" s="352">
        <v>0</v>
      </c>
    </row>
    <row r="1321" spans="1:6" ht="15.75" customHeight="1">
      <c r="A1321" s="350" t="s">
        <v>2230</v>
      </c>
      <c r="B1321" s="351">
        <v>100</v>
      </c>
      <c r="C1321" s="351" t="s">
        <v>913</v>
      </c>
      <c r="D1321" s="352">
        <v>16.100000000000001</v>
      </c>
      <c r="E1321" s="352">
        <v>67.900000000000006</v>
      </c>
      <c r="F1321" s="352">
        <v>0</v>
      </c>
    </row>
    <row r="1322" spans="1:6" ht="15.75" customHeight="1">
      <c r="A1322" s="350" t="s">
        <v>2231</v>
      </c>
      <c r="B1322" s="351">
        <v>100</v>
      </c>
      <c r="C1322" s="351" t="s">
        <v>913</v>
      </c>
      <c r="D1322" s="352">
        <v>16.7</v>
      </c>
      <c r="E1322" s="352">
        <v>33.9</v>
      </c>
      <c r="F1322" s="352">
        <v>0</v>
      </c>
    </row>
    <row r="1323" spans="1:6" ht="15.75" customHeight="1">
      <c r="A1323" s="350" t="s">
        <v>2232</v>
      </c>
      <c r="B1323" s="351">
        <v>100</v>
      </c>
      <c r="C1323" s="351" t="s">
        <v>913</v>
      </c>
      <c r="D1323" s="352">
        <v>13.7</v>
      </c>
      <c r="E1323" s="352">
        <v>50.1</v>
      </c>
      <c r="F1323" s="352">
        <v>0</v>
      </c>
    </row>
    <row r="1324" spans="1:6" ht="15.75" customHeight="1">
      <c r="A1324" s="350" t="s">
        <v>2233</v>
      </c>
      <c r="B1324" s="351">
        <v>100</v>
      </c>
      <c r="C1324" s="351" t="s">
        <v>913</v>
      </c>
      <c r="D1324" s="352">
        <v>17.399999999999999</v>
      </c>
      <c r="E1324" s="352">
        <v>29.1</v>
      </c>
      <c r="F1324" s="352">
        <v>0.5</v>
      </c>
    </row>
    <row r="1325" spans="1:6" ht="15.75" customHeight="1">
      <c r="A1325" s="350" t="s">
        <v>2234</v>
      </c>
      <c r="B1325" s="351">
        <v>100</v>
      </c>
      <c r="C1325" s="351" t="s">
        <v>913</v>
      </c>
      <c r="D1325" s="352">
        <v>16.399999999999999</v>
      </c>
      <c r="E1325" s="352">
        <v>2.4</v>
      </c>
      <c r="F1325" s="352">
        <v>7.2</v>
      </c>
    </row>
    <row r="1326" spans="1:6" ht="15.75" customHeight="1">
      <c r="A1326" s="350" t="s">
        <v>2235</v>
      </c>
      <c r="B1326" s="351">
        <v>100</v>
      </c>
      <c r="C1326" s="351" t="s">
        <v>913</v>
      </c>
      <c r="D1326" s="352">
        <v>16</v>
      </c>
      <c r="E1326" s="352">
        <v>2.4</v>
      </c>
      <c r="F1326" s="352">
        <v>7.2</v>
      </c>
    </row>
    <row r="1327" spans="1:6" ht="15.75" customHeight="1">
      <c r="A1327" s="350" t="s">
        <v>2236</v>
      </c>
      <c r="B1327" s="351">
        <v>100</v>
      </c>
      <c r="C1327" s="351" t="s">
        <v>913</v>
      </c>
      <c r="D1327" s="352">
        <v>12.4</v>
      </c>
      <c r="E1327" s="352">
        <v>2.5</v>
      </c>
      <c r="F1327" s="352">
        <v>61.3</v>
      </c>
    </row>
    <row r="1328" spans="1:6" ht="15.75" customHeight="1">
      <c r="A1328" s="350" t="s">
        <v>2237</v>
      </c>
      <c r="B1328" s="351">
        <v>100</v>
      </c>
      <c r="C1328" s="351" t="s">
        <v>913</v>
      </c>
      <c r="D1328" s="352">
        <v>7.6</v>
      </c>
      <c r="E1328" s="352">
        <v>16.600000000000001</v>
      </c>
      <c r="F1328" s="352">
        <v>0</v>
      </c>
    </row>
    <row r="1329" spans="1:6" ht="15.75" customHeight="1">
      <c r="A1329" s="350" t="s">
        <v>2238</v>
      </c>
      <c r="B1329" s="351">
        <v>100</v>
      </c>
      <c r="C1329" s="351" t="s">
        <v>913</v>
      </c>
      <c r="D1329" s="352">
        <v>16.3</v>
      </c>
      <c r="E1329" s="352">
        <v>10.5</v>
      </c>
      <c r="F1329" s="352">
        <v>0.1</v>
      </c>
    </row>
    <row r="1330" spans="1:6" ht="15.75" customHeight="1">
      <c r="A1330" s="350" t="s">
        <v>2239</v>
      </c>
      <c r="B1330" s="351">
        <v>100</v>
      </c>
      <c r="C1330" s="351" t="s">
        <v>913</v>
      </c>
      <c r="D1330" s="352">
        <v>17.8</v>
      </c>
      <c r="E1330" s="352">
        <v>2.2999999999999998</v>
      </c>
      <c r="F1330" s="352">
        <v>0</v>
      </c>
    </row>
    <row r="1331" spans="1:6" ht="15.75" customHeight="1">
      <c r="A1331" s="350" t="s">
        <v>2240</v>
      </c>
      <c r="B1331" s="351">
        <v>100</v>
      </c>
      <c r="C1331" s="351" t="s">
        <v>913</v>
      </c>
      <c r="D1331" s="352">
        <v>21.3</v>
      </c>
      <c r="E1331" s="352">
        <v>3.7</v>
      </c>
      <c r="F1331" s="352">
        <v>0</v>
      </c>
    </row>
    <row r="1332" spans="1:6" ht="15.75" customHeight="1">
      <c r="A1332" s="350" t="s">
        <v>2241</v>
      </c>
      <c r="B1332" s="351">
        <v>100</v>
      </c>
      <c r="C1332" s="351" t="s">
        <v>913</v>
      </c>
      <c r="D1332" s="352">
        <v>3.3</v>
      </c>
      <c r="E1332" s="352">
        <v>0.3</v>
      </c>
      <c r="F1332" s="352">
        <v>14.5</v>
      </c>
    </row>
    <row r="1333" spans="1:6" ht="15.75" customHeight="1">
      <c r="A1333" s="350" t="s">
        <v>2242</v>
      </c>
      <c r="B1333" s="351">
        <v>100</v>
      </c>
      <c r="C1333" s="351" t="s">
        <v>913</v>
      </c>
      <c r="D1333" s="352">
        <v>0.3</v>
      </c>
      <c r="E1333" s="352">
        <v>0.5</v>
      </c>
      <c r="F1333" s="352">
        <v>17.3</v>
      </c>
    </row>
    <row r="1334" spans="1:6" ht="15.75" customHeight="1">
      <c r="A1334" s="350" t="s">
        <v>2243</v>
      </c>
      <c r="B1334" s="351">
        <v>100</v>
      </c>
      <c r="C1334" s="351" t="s">
        <v>913</v>
      </c>
      <c r="D1334" s="352">
        <v>0.3</v>
      </c>
      <c r="E1334" s="352">
        <v>0.5</v>
      </c>
      <c r="F1334" s="352">
        <v>18</v>
      </c>
    </row>
    <row r="1335" spans="1:6" ht="15.75" customHeight="1">
      <c r="A1335" s="350" t="s">
        <v>2244</v>
      </c>
      <c r="B1335" s="351">
        <v>100</v>
      </c>
      <c r="C1335" s="351" t="s">
        <v>913</v>
      </c>
      <c r="D1335" s="352">
        <v>1.8</v>
      </c>
      <c r="E1335" s="352">
        <v>0.7</v>
      </c>
      <c r="F1335" s="352">
        <v>67</v>
      </c>
    </row>
    <row r="1336" spans="1:6" ht="15.75" customHeight="1">
      <c r="A1336" s="350" t="s">
        <v>2245</v>
      </c>
      <c r="B1336" s="351">
        <v>100</v>
      </c>
      <c r="C1336" s="351" t="s">
        <v>913</v>
      </c>
      <c r="D1336" s="352">
        <v>0.3</v>
      </c>
      <c r="E1336" s="352">
        <v>0.5</v>
      </c>
      <c r="F1336" s="352">
        <v>18.600000000000001</v>
      </c>
    </row>
    <row r="1337" spans="1:6" ht="15.75" customHeight="1">
      <c r="A1337" s="350" t="s">
        <v>2246</v>
      </c>
      <c r="B1337" s="351">
        <v>100</v>
      </c>
      <c r="C1337" s="351" t="s">
        <v>913</v>
      </c>
      <c r="D1337" s="352">
        <v>24.2</v>
      </c>
      <c r="E1337" s="352">
        <v>20.399999999999999</v>
      </c>
      <c r="F1337" s="352">
        <v>0</v>
      </c>
    </row>
    <row r="1338" spans="1:6" ht="15.75" customHeight="1">
      <c r="A1338" s="350" t="s">
        <v>2247</v>
      </c>
      <c r="B1338" s="351">
        <v>100</v>
      </c>
      <c r="C1338" s="351" t="s">
        <v>913</v>
      </c>
      <c r="D1338" s="352">
        <v>24.2</v>
      </c>
      <c r="E1338" s="352">
        <v>20.399999999999999</v>
      </c>
      <c r="F1338" s="352">
        <v>0</v>
      </c>
    </row>
    <row r="1339" spans="1:6" ht="15.75" customHeight="1">
      <c r="A1339" s="350" t="s">
        <v>2248</v>
      </c>
      <c r="B1339" s="351">
        <v>100</v>
      </c>
      <c r="C1339" s="351" t="s">
        <v>913</v>
      </c>
      <c r="D1339" s="352">
        <v>24.2</v>
      </c>
      <c r="E1339" s="352">
        <v>19.600000000000001</v>
      </c>
      <c r="F1339" s="352">
        <v>0</v>
      </c>
    </row>
    <row r="1340" spans="1:6" ht="15.75" customHeight="1">
      <c r="A1340" s="350" t="s">
        <v>2249</v>
      </c>
      <c r="B1340" s="351">
        <v>100</v>
      </c>
      <c r="C1340" s="351" t="s">
        <v>913</v>
      </c>
      <c r="D1340" s="352">
        <v>24.2</v>
      </c>
      <c r="E1340" s="352">
        <v>20.399999999999999</v>
      </c>
      <c r="F1340" s="352">
        <v>0</v>
      </c>
    </row>
    <row r="1341" spans="1:6" ht="15.75" customHeight="1">
      <c r="A1341" s="350" t="s">
        <v>2250</v>
      </c>
      <c r="B1341" s="351">
        <v>100</v>
      </c>
      <c r="C1341" s="351" t="s">
        <v>913</v>
      </c>
      <c r="D1341" s="352">
        <v>26.9</v>
      </c>
      <c r="E1341" s="352">
        <v>9.4</v>
      </c>
      <c r="F1341" s="352">
        <v>0</v>
      </c>
    </row>
    <row r="1342" spans="1:6" ht="15.75" customHeight="1">
      <c r="A1342" s="350" t="s">
        <v>2251</v>
      </c>
      <c r="B1342" s="351">
        <v>100</v>
      </c>
      <c r="C1342" s="351" t="s">
        <v>913</v>
      </c>
      <c r="D1342" s="352">
        <v>33.700000000000003</v>
      </c>
      <c r="E1342" s="352">
        <v>13.8</v>
      </c>
      <c r="F1342" s="352">
        <v>0</v>
      </c>
    </row>
    <row r="1343" spans="1:6" ht="15.75" customHeight="1">
      <c r="A1343" s="350" t="s">
        <v>2252</v>
      </c>
      <c r="B1343" s="351">
        <v>100</v>
      </c>
      <c r="C1343" s="351" t="s">
        <v>913</v>
      </c>
      <c r="D1343" s="352">
        <v>21.8</v>
      </c>
      <c r="E1343" s="352">
        <v>14.2</v>
      </c>
      <c r="F1343" s="352">
        <v>1.2</v>
      </c>
    </row>
    <row r="1344" spans="1:6" ht="15.75" customHeight="1">
      <c r="A1344" s="350" t="s">
        <v>2253</v>
      </c>
      <c r="B1344" s="351">
        <v>100</v>
      </c>
      <c r="C1344" s="351" t="s">
        <v>913</v>
      </c>
      <c r="D1344" s="352">
        <v>5.5</v>
      </c>
      <c r="E1344" s="352">
        <v>4.4000000000000004</v>
      </c>
      <c r="F1344" s="352">
        <v>11.4</v>
      </c>
    </row>
    <row r="1345" spans="1:6" ht="15.75" customHeight="1">
      <c r="A1345" s="350" t="s">
        <v>2254</v>
      </c>
      <c r="B1345" s="351">
        <v>100</v>
      </c>
      <c r="C1345" s="351" t="s">
        <v>913</v>
      </c>
      <c r="D1345" s="352">
        <v>21.8</v>
      </c>
      <c r="E1345" s="352">
        <v>14.2</v>
      </c>
      <c r="F1345" s="352">
        <v>1.2</v>
      </c>
    </row>
    <row r="1346" spans="1:6" ht="15.75" customHeight="1">
      <c r="A1346" s="350" t="s">
        <v>2255</v>
      </c>
      <c r="B1346" s="351">
        <v>100</v>
      </c>
      <c r="C1346" s="351" t="s">
        <v>913</v>
      </c>
      <c r="D1346" s="352">
        <v>21.8</v>
      </c>
      <c r="E1346" s="352">
        <v>13.6</v>
      </c>
      <c r="F1346" s="352">
        <v>1.2</v>
      </c>
    </row>
    <row r="1347" spans="1:6" ht="15.75" customHeight="1">
      <c r="A1347" s="350" t="s">
        <v>2256</v>
      </c>
      <c r="B1347" s="351">
        <v>100</v>
      </c>
      <c r="C1347" s="351" t="s">
        <v>913</v>
      </c>
      <c r="D1347" s="352">
        <v>21.8</v>
      </c>
      <c r="E1347" s="352">
        <v>14.2</v>
      </c>
      <c r="F1347" s="352">
        <v>1.2</v>
      </c>
    </row>
    <row r="1348" spans="1:6" ht="15.75" customHeight="1">
      <c r="A1348" s="350" t="s">
        <v>2257</v>
      </c>
      <c r="B1348" s="351">
        <v>100</v>
      </c>
      <c r="C1348" s="351" t="s">
        <v>913</v>
      </c>
      <c r="D1348" s="352">
        <v>31.5</v>
      </c>
      <c r="E1348" s="352">
        <v>12</v>
      </c>
      <c r="F1348" s="352">
        <v>0</v>
      </c>
    </row>
    <row r="1349" spans="1:6" ht="15.75" customHeight="1">
      <c r="A1349" s="350" t="s">
        <v>2258</v>
      </c>
      <c r="B1349" s="351">
        <v>100</v>
      </c>
      <c r="C1349" s="351" t="s">
        <v>913</v>
      </c>
      <c r="D1349" s="352">
        <v>21.4</v>
      </c>
      <c r="E1349" s="352">
        <v>20.2</v>
      </c>
      <c r="F1349" s="352">
        <v>1.2</v>
      </c>
    </row>
    <row r="1350" spans="1:6" ht="15.75" customHeight="1">
      <c r="A1350" s="350" t="s">
        <v>2259</v>
      </c>
      <c r="B1350" s="351">
        <v>100</v>
      </c>
      <c r="C1350" s="351" t="s">
        <v>913</v>
      </c>
      <c r="D1350" s="352">
        <v>21.4</v>
      </c>
      <c r="E1350" s="352">
        <v>20.2</v>
      </c>
      <c r="F1350" s="352">
        <v>1.2</v>
      </c>
    </row>
    <row r="1351" spans="1:6" ht="15.75" customHeight="1">
      <c r="A1351" s="350" t="s">
        <v>2260</v>
      </c>
      <c r="B1351" s="351">
        <v>100</v>
      </c>
      <c r="C1351" s="351" t="s">
        <v>913</v>
      </c>
      <c r="D1351" s="352">
        <v>21.4</v>
      </c>
      <c r="E1351" s="352">
        <v>19.600000000000001</v>
      </c>
      <c r="F1351" s="352">
        <v>1.2</v>
      </c>
    </row>
    <row r="1352" spans="1:6" ht="15.75" customHeight="1">
      <c r="A1352" s="350" t="s">
        <v>2261</v>
      </c>
      <c r="B1352" s="351">
        <v>100</v>
      </c>
      <c r="C1352" s="351" t="s">
        <v>913</v>
      </c>
      <c r="D1352" s="352">
        <v>21.4</v>
      </c>
      <c r="E1352" s="352">
        <v>20.2</v>
      </c>
      <c r="F1352" s="352">
        <v>1.2</v>
      </c>
    </row>
    <row r="1353" spans="1:6" ht="15.75" customHeight="1">
      <c r="A1353" s="350" t="s">
        <v>2262</v>
      </c>
      <c r="B1353" s="351">
        <v>100</v>
      </c>
      <c r="C1353" s="351" t="s">
        <v>913</v>
      </c>
      <c r="D1353" s="352">
        <v>31.8</v>
      </c>
      <c r="E1353" s="352">
        <v>17</v>
      </c>
      <c r="F1353" s="352">
        <v>0</v>
      </c>
    </row>
    <row r="1354" spans="1:6" ht="15.75" customHeight="1">
      <c r="A1354" s="350" t="s">
        <v>2263</v>
      </c>
      <c r="B1354" s="351">
        <v>100</v>
      </c>
      <c r="C1354" s="351" t="s">
        <v>913</v>
      </c>
      <c r="D1354" s="352">
        <v>19.399999999999999</v>
      </c>
      <c r="E1354" s="352">
        <v>10.7</v>
      </c>
      <c r="F1354" s="352">
        <v>0</v>
      </c>
    </row>
    <row r="1355" spans="1:6" ht="15.75" customHeight="1">
      <c r="A1355" s="350" t="s">
        <v>2264</v>
      </c>
      <c r="B1355" s="351">
        <v>100</v>
      </c>
      <c r="C1355" s="351" t="s">
        <v>913</v>
      </c>
      <c r="D1355" s="352">
        <v>21.7</v>
      </c>
      <c r="E1355" s="352">
        <v>9.8000000000000007</v>
      </c>
      <c r="F1355" s="352">
        <v>0</v>
      </c>
    </row>
    <row r="1356" spans="1:6" ht="15.75" customHeight="1">
      <c r="A1356" s="350" t="s">
        <v>2265</v>
      </c>
      <c r="B1356" s="351">
        <v>100</v>
      </c>
      <c r="C1356" s="351" t="s">
        <v>913</v>
      </c>
      <c r="D1356" s="352">
        <v>21.3</v>
      </c>
      <c r="E1356" s="352">
        <v>15.8</v>
      </c>
      <c r="F1356" s="352">
        <v>0</v>
      </c>
    </row>
    <row r="1357" spans="1:6" ht="15.75" customHeight="1">
      <c r="A1357" s="350" t="s">
        <v>2266</v>
      </c>
      <c r="B1357" s="351">
        <v>100</v>
      </c>
      <c r="C1357" s="351" t="s">
        <v>913</v>
      </c>
      <c r="D1357" s="352">
        <v>20.6</v>
      </c>
      <c r="E1357" s="352">
        <v>3.3</v>
      </c>
      <c r="F1357" s="352">
        <v>0</v>
      </c>
    </row>
    <row r="1358" spans="1:6" ht="15.75" customHeight="1">
      <c r="A1358" s="350" t="s">
        <v>2267</v>
      </c>
      <c r="B1358" s="351">
        <v>100</v>
      </c>
      <c r="C1358" s="351" t="s">
        <v>913</v>
      </c>
      <c r="D1358" s="352">
        <v>18.5</v>
      </c>
      <c r="E1358" s="352">
        <v>1</v>
      </c>
      <c r="F1358" s="352">
        <v>0</v>
      </c>
    </row>
    <row r="1359" spans="1:6" ht="15.75" customHeight="1">
      <c r="A1359" s="350" t="s">
        <v>2268</v>
      </c>
      <c r="B1359" s="351">
        <v>100</v>
      </c>
      <c r="C1359" s="351" t="s">
        <v>913</v>
      </c>
      <c r="D1359" s="352">
        <v>0.3</v>
      </c>
      <c r="E1359" s="352">
        <v>0</v>
      </c>
      <c r="F1359" s="352">
        <v>0.6</v>
      </c>
    </row>
    <row r="1360" spans="1:6" ht="15.75" customHeight="1">
      <c r="A1360" s="350" t="s">
        <v>2269</v>
      </c>
      <c r="B1360" s="351">
        <v>100</v>
      </c>
      <c r="C1360" s="351" t="s">
        <v>913</v>
      </c>
      <c r="D1360" s="352">
        <v>0.1</v>
      </c>
      <c r="E1360" s="352">
        <v>0</v>
      </c>
      <c r="F1360" s="352">
        <v>12</v>
      </c>
    </row>
    <row r="1361" spans="1:6" ht="15.75" customHeight="1">
      <c r="A1361" s="350" t="s">
        <v>2270</v>
      </c>
      <c r="B1361" s="351">
        <v>100</v>
      </c>
      <c r="C1361" s="351" t="s">
        <v>913</v>
      </c>
      <c r="D1361" s="352">
        <v>0.1</v>
      </c>
      <c r="E1361" s="352">
        <v>0</v>
      </c>
      <c r="F1361" s="352">
        <v>0.1</v>
      </c>
    </row>
    <row r="1362" spans="1:6" ht="15.75" customHeight="1">
      <c r="A1362" s="350" t="s">
        <v>2271</v>
      </c>
      <c r="B1362" s="351">
        <v>100</v>
      </c>
      <c r="C1362" s="351" t="s">
        <v>913</v>
      </c>
      <c r="D1362" s="352">
        <v>0.1</v>
      </c>
      <c r="E1362" s="352">
        <v>0</v>
      </c>
      <c r="F1362" s="352">
        <v>4.2</v>
      </c>
    </row>
    <row r="1363" spans="1:6" ht="15.75" customHeight="1">
      <c r="A1363" s="350" t="s">
        <v>2272</v>
      </c>
      <c r="B1363" s="351">
        <v>100</v>
      </c>
      <c r="C1363" s="351" t="s">
        <v>913</v>
      </c>
      <c r="D1363" s="352">
        <v>0.1</v>
      </c>
      <c r="E1363" s="352">
        <v>0</v>
      </c>
      <c r="F1363" s="352">
        <v>2.6</v>
      </c>
    </row>
    <row r="1364" spans="1:6" ht="15.75" customHeight="1">
      <c r="A1364" s="350" t="s">
        <v>2273</v>
      </c>
      <c r="B1364" s="351">
        <v>100</v>
      </c>
      <c r="C1364" s="351" t="s">
        <v>913</v>
      </c>
      <c r="D1364" s="352">
        <v>0.2</v>
      </c>
      <c r="E1364" s="352">
        <v>0</v>
      </c>
      <c r="F1364" s="352">
        <v>9</v>
      </c>
    </row>
    <row r="1365" spans="1:6" ht="15.75" customHeight="1">
      <c r="A1365" s="350" t="s">
        <v>2274</v>
      </c>
      <c r="B1365" s="351">
        <v>100</v>
      </c>
      <c r="C1365" s="351" t="s">
        <v>913</v>
      </c>
      <c r="D1365" s="352">
        <v>0.1</v>
      </c>
      <c r="E1365" s="352">
        <v>0</v>
      </c>
      <c r="F1365" s="352">
        <v>14</v>
      </c>
    </row>
    <row r="1366" spans="1:6" ht="15.75" customHeight="1">
      <c r="A1366" s="350" t="s">
        <v>2275</v>
      </c>
      <c r="B1366" s="351">
        <v>100</v>
      </c>
      <c r="C1366" s="351" t="s">
        <v>913</v>
      </c>
      <c r="D1366" s="352">
        <v>0.1</v>
      </c>
      <c r="E1366" s="352">
        <v>0</v>
      </c>
      <c r="F1366" s="352">
        <v>6.5</v>
      </c>
    </row>
    <row r="1367" spans="1:6" ht="15.75" customHeight="1">
      <c r="A1367" s="350" t="s">
        <v>2276</v>
      </c>
      <c r="B1367" s="351">
        <v>100</v>
      </c>
      <c r="C1367" s="351" t="s">
        <v>913</v>
      </c>
      <c r="D1367" s="352">
        <v>0.1</v>
      </c>
      <c r="E1367" s="352">
        <v>0</v>
      </c>
      <c r="F1367" s="352">
        <v>4</v>
      </c>
    </row>
    <row r="1368" spans="1:6" ht="15.75" customHeight="1">
      <c r="A1368" s="350" t="s">
        <v>2277</v>
      </c>
      <c r="B1368" s="351">
        <v>100</v>
      </c>
      <c r="C1368" s="351" t="s">
        <v>913</v>
      </c>
      <c r="D1368" s="352">
        <v>0.1</v>
      </c>
      <c r="E1368" s="352">
        <v>0</v>
      </c>
      <c r="F1368" s="352">
        <v>1.2</v>
      </c>
    </row>
    <row r="1369" spans="1:6" ht="15.75" customHeight="1">
      <c r="A1369" s="350" t="s">
        <v>2278</v>
      </c>
      <c r="B1369" s="351">
        <v>100</v>
      </c>
      <c r="C1369" s="351" t="s">
        <v>913</v>
      </c>
      <c r="D1369" s="352">
        <v>0.1</v>
      </c>
      <c r="E1369" s="352">
        <v>0</v>
      </c>
      <c r="F1369" s="352">
        <v>0.1</v>
      </c>
    </row>
    <row r="1370" spans="1:6" ht="15.75" customHeight="1">
      <c r="A1370" s="350" t="s">
        <v>2279</v>
      </c>
      <c r="B1370" s="351">
        <v>100</v>
      </c>
      <c r="C1370" s="351" t="s">
        <v>913</v>
      </c>
      <c r="D1370" s="352">
        <v>0.1</v>
      </c>
      <c r="E1370" s="352">
        <v>0</v>
      </c>
      <c r="F1370" s="352">
        <v>0.2</v>
      </c>
    </row>
    <row r="1371" spans="1:6" ht="15.75" customHeight="1">
      <c r="A1371" s="350" t="s">
        <v>2280</v>
      </c>
      <c r="B1371" s="351">
        <v>100</v>
      </c>
      <c r="C1371" s="351" t="s">
        <v>913</v>
      </c>
      <c r="D1371" s="352">
        <v>0.2</v>
      </c>
      <c r="E1371" s="352">
        <v>0</v>
      </c>
      <c r="F1371" s="352">
        <v>2.4</v>
      </c>
    </row>
    <row r="1372" spans="1:6" ht="15.75" customHeight="1">
      <c r="A1372" s="350" t="s">
        <v>2281</v>
      </c>
      <c r="B1372" s="351">
        <v>100</v>
      </c>
      <c r="C1372" s="351" t="s">
        <v>913</v>
      </c>
      <c r="D1372" s="352">
        <v>0</v>
      </c>
      <c r="E1372" s="352">
        <v>0</v>
      </c>
      <c r="F1372" s="352">
        <v>0.1</v>
      </c>
    </row>
    <row r="1373" spans="1:6" ht="15.75" customHeight="1">
      <c r="A1373" s="350" t="s">
        <v>2282</v>
      </c>
      <c r="B1373" s="351">
        <v>100</v>
      </c>
      <c r="C1373" s="351" t="s">
        <v>913</v>
      </c>
      <c r="D1373" s="352">
        <v>0</v>
      </c>
      <c r="E1373" s="352">
        <v>0</v>
      </c>
      <c r="F1373" s="352">
        <v>0.3</v>
      </c>
    </row>
    <row r="1374" spans="1:6" ht="15.75" customHeight="1">
      <c r="A1374" s="350" t="s">
        <v>2283</v>
      </c>
      <c r="B1374" s="351">
        <v>100</v>
      </c>
      <c r="C1374" s="351" t="s">
        <v>913</v>
      </c>
      <c r="D1374" s="352">
        <v>4.8</v>
      </c>
      <c r="E1374" s="352">
        <v>0.6</v>
      </c>
      <c r="F1374" s="352">
        <v>15.8</v>
      </c>
    </row>
    <row r="1375" spans="1:6" ht="15.75" customHeight="1">
      <c r="A1375" s="350" t="s">
        <v>2284</v>
      </c>
      <c r="B1375" s="351">
        <v>100</v>
      </c>
      <c r="C1375" s="351" t="s">
        <v>913</v>
      </c>
      <c r="D1375" s="352"/>
      <c r="E1375" s="352"/>
      <c r="F1375" s="352"/>
    </row>
  </sheetData>
  <dataValidations count="1">
    <dataValidation type="list" allowBlank="1" sqref="C2:C1375" xr:uid="{00000000-0002-0000-0800-000000000000}">
      <formula1>"g,unid"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9</vt:i4>
      </vt:variant>
      <vt:variant>
        <vt:lpstr>Intervalos com Nome</vt:lpstr>
      </vt:variant>
      <vt:variant>
        <vt:i4>1</vt:i4>
      </vt:variant>
    </vt:vector>
  </HeadingPairs>
  <TitlesOfParts>
    <vt:vector size="10" baseType="lpstr">
      <vt:lpstr>Base</vt:lpstr>
      <vt:lpstr>Controle de medidas</vt:lpstr>
      <vt:lpstr>Perimetros</vt:lpstr>
      <vt:lpstr>Plano treino</vt:lpstr>
      <vt:lpstr>Feedback semanal</vt:lpstr>
      <vt:lpstr>Suplementos</vt:lpstr>
      <vt:lpstr>Base dados Exercicios</vt:lpstr>
      <vt:lpstr>Dieta 1</vt:lpstr>
      <vt:lpstr>Base dados dieta</vt:lpstr>
      <vt:lpstr>Proteina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Filipe Guerreiro</cp:lastModifiedBy>
  <dcterms:created xsi:type="dcterms:W3CDTF">2026-09-06T21:51:54Z</dcterms:created>
  <dcterms:modified xsi:type="dcterms:W3CDTF">2026-09-06T21:51:54Z</dcterms:modified>
</cp:coreProperties>
</file>